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ur\Desktop\"/>
    </mc:Choice>
  </mc:AlternateContent>
  <xr:revisionPtr revIDLastSave="0" documentId="13_ncr:1_{44782BBF-44F0-4CD6-ABA1-386A291E0171}" xr6:coauthVersionLast="47" xr6:coauthVersionMax="47" xr10:uidLastSave="{00000000-0000-0000-0000-000000000000}"/>
  <bookViews>
    <workbookView xWindow="19090" yWindow="-110" windowWidth="19420" windowHeight="10300" xr2:uid="{6B96B510-ABB1-4F59-A6AC-D1D456AECA9D}"/>
  </bookViews>
  <sheets>
    <sheet name="Data" sheetId="1" r:id="rId1"/>
    <sheet name="Órbita" sheetId="4" r:id="rId2"/>
  </sheets>
  <definedNames>
    <definedName name="excentricidadMercurio">Data!$H$5</definedName>
    <definedName name="excentricidadTierra">Data!$G$5</definedName>
    <definedName name="precesión">Data!#REF!</definedName>
    <definedName name="precesiónTotal">Data!#REF!</definedName>
    <definedName name="r0Mercurio">Data!$I:$I</definedName>
    <definedName name="r0Tierra">Data!$D:$D</definedName>
    <definedName name="relaciónOrbitas">Data!$G$4</definedName>
    <definedName name="rMercurio">Data!$N:$N</definedName>
    <definedName name="rsSol">Data!$G$3</definedName>
    <definedName name="rTierra">Data!$D:$D</definedName>
    <definedName name="semiejeMayorMercurio">Data!$H$6</definedName>
    <definedName name="semiejeMayorTierra">Data!$G$6</definedName>
    <definedName name="simulaciónÁngulo">Data!$I$9</definedName>
    <definedName name="simulaciónÓrbitas">Data!#REF!</definedName>
    <definedName name="simulaciónRadio">Data!$I$8</definedName>
    <definedName name="u0Mercurio">Data!$H:$H</definedName>
    <definedName name="u0Tierra">Data!$C:$C</definedName>
    <definedName name="uMercurio">Data!$M:$M</definedName>
    <definedName name="uTierra">Data!$C:$C</definedName>
    <definedName name="Φ">Data!$B:$B</definedName>
    <definedName name="ΦLPMercurio">Data!$L:$L</definedName>
    <definedName name="ΦMercurio">Data!$G:$G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4" i="1" l="1"/>
  <c r="G114" i="1" s="1"/>
  <c r="B115" i="1"/>
  <c r="B116" i="1"/>
  <c r="G116" i="1" s="1"/>
  <c r="B117" i="1"/>
  <c r="G117" i="1" s="1"/>
  <c r="B118" i="1"/>
  <c r="G118" i="1" s="1"/>
  <c r="B119" i="1"/>
  <c r="G119" i="1" s="1"/>
  <c r="B120" i="1"/>
  <c r="G120" i="1" s="1"/>
  <c r="B121" i="1"/>
  <c r="G121" i="1" s="1"/>
  <c r="B122" i="1"/>
  <c r="G122" i="1" s="1"/>
  <c r="B123" i="1"/>
  <c r="G123" i="1" s="1"/>
  <c r="B124" i="1"/>
  <c r="G124" i="1" s="1"/>
  <c r="B125" i="1"/>
  <c r="B126" i="1"/>
  <c r="G126" i="1" s="1"/>
  <c r="B127" i="1"/>
  <c r="G127" i="1" s="1"/>
  <c r="B128" i="1"/>
  <c r="G128" i="1" s="1"/>
  <c r="B129" i="1"/>
  <c r="G129" i="1" s="1"/>
  <c r="B130" i="1"/>
  <c r="G130" i="1" s="1"/>
  <c r="B131" i="1"/>
  <c r="B132" i="1"/>
  <c r="G132" i="1" s="1"/>
  <c r="B133" i="1"/>
  <c r="B134" i="1"/>
  <c r="G134" i="1" s="1"/>
  <c r="B135" i="1"/>
  <c r="G135" i="1" s="1"/>
  <c r="B136" i="1"/>
  <c r="G136" i="1" s="1"/>
  <c r="B137" i="1"/>
  <c r="G137" i="1" s="1"/>
  <c r="B138" i="1"/>
  <c r="G138" i="1" s="1"/>
  <c r="B139" i="1"/>
  <c r="G139" i="1" s="1"/>
  <c r="B140" i="1"/>
  <c r="G140" i="1" s="1"/>
  <c r="B141" i="1"/>
  <c r="B142" i="1"/>
  <c r="G142" i="1" s="1"/>
  <c r="B143" i="1"/>
  <c r="G143" i="1" s="1"/>
  <c r="B144" i="1"/>
  <c r="G144" i="1" s="1"/>
  <c r="B145" i="1"/>
  <c r="G145" i="1" s="1"/>
  <c r="B146" i="1"/>
  <c r="G146" i="1" s="1"/>
  <c r="B147" i="1"/>
  <c r="B148" i="1"/>
  <c r="G148" i="1" s="1"/>
  <c r="B149" i="1"/>
  <c r="B150" i="1"/>
  <c r="G150" i="1" s="1"/>
  <c r="B151" i="1"/>
  <c r="B152" i="1"/>
  <c r="G152" i="1" s="1"/>
  <c r="B153" i="1"/>
  <c r="G153" i="1" s="1"/>
  <c r="B154" i="1"/>
  <c r="G154" i="1" s="1"/>
  <c r="B155" i="1"/>
  <c r="G155" i="1" s="1"/>
  <c r="B156" i="1"/>
  <c r="G156" i="1" s="1"/>
  <c r="B157" i="1"/>
  <c r="B158" i="1"/>
  <c r="G158" i="1" s="1"/>
  <c r="B159" i="1"/>
  <c r="G159" i="1" s="1"/>
  <c r="B160" i="1"/>
  <c r="G160" i="1" s="1"/>
  <c r="B161" i="1"/>
  <c r="G161" i="1" s="1"/>
  <c r="B162" i="1"/>
  <c r="G162" i="1" s="1"/>
  <c r="B163" i="1"/>
  <c r="G163" i="1" s="1"/>
  <c r="B164" i="1"/>
  <c r="G164" i="1" s="1"/>
  <c r="B165" i="1"/>
  <c r="B166" i="1"/>
  <c r="B167" i="1"/>
  <c r="G167" i="1" s="1"/>
  <c r="B168" i="1"/>
  <c r="G168" i="1" s="1"/>
  <c r="B169" i="1"/>
  <c r="G169" i="1" s="1"/>
  <c r="B170" i="1"/>
  <c r="G170" i="1" s="1"/>
  <c r="B171" i="1"/>
  <c r="B172" i="1"/>
  <c r="G172" i="1" s="1"/>
  <c r="B173" i="1"/>
  <c r="B174" i="1"/>
  <c r="B175" i="1"/>
  <c r="G175" i="1" s="1"/>
  <c r="B176" i="1"/>
  <c r="G176" i="1" s="1"/>
  <c r="B177" i="1"/>
  <c r="G177" i="1" s="1"/>
  <c r="B178" i="1"/>
  <c r="G178" i="1" s="1"/>
  <c r="B179" i="1"/>
  <c r="B180" i="1"/>
  <c r="G180" i="1" s="1"/>
  <c r="B181" i="1"/>
  <c r="B182" i="1"/>
  <c r="G182" i="1" s="1"/>
  <c r="B183" i="1"/>
  <c r="G183" i="1" s="1"/>
  <c r="B184" i="1"/>
  <c r="G184" i="1" s="1"/>
  <c r="B185" i="1"/>
  <c r="G185" i="1" s="1"/>
  <c r="B186" i="1"/>
  <c r="G186" i="1" s="1"/>
  <c r="B187" i="1"/>
  <c r="G187" i="1" s="1"/>
  <c r="B188" i="1"/>
  <c r="G188" i="1" s="1"/>
  <c r="B189" i="1"/>
  <c r="B190" i="1"/>
  <c r="B191" i="1"/>
  <c r="G191" i="1" s="1"/>
  <c r="B192" i="1"/>
  <c r="B193" i="1"/>
  <c r="G193" i="1" s="1"/>
  <c r="B194" i="1"/>
  <c r="G194" i="1" s="1"/>
  <c r="B195" i="1"/>
  <c r="G195" i="1" s="1"/>
  <c r="B196" i="1"/>
  <c r="G196" i="1" s="1"/>
  <c r="B197" i="1"/>
  <c r="B198" i="1"/>
  <c r="B199" i="1"/>
  <c r="G199" i="1" s="1"/>
  <c r="B200" i="1"/>
  <c r="G200" i="1" s="1"/>
  <c r="B201" i="1"/>
  <c r="G201" i="1" s="1"/>
  <c r="B202" i="1"/>
  <c r="G202" i="1" s="1"/>
  <c r="B203" i="1"/>
  <c r="B204" i="1"/>
  <c r="G204" i="1" s="1"/>
  <c r="B205" i="1"/>
  <c r="B206" i="1"/>
  <c r="G206" i="1" s="1"/>
  <c r="B207" i="1"/>
  <c r="G207" i="1" s="1"/>
  <c r="B208" i="1"/>
  <c r="G208" i="1" s="1"/>
  <c r="B209" i="1"/>
  <c r="G209" i="1" s="1"/>
  <c r="B210" i="1"/>
  <c r="G210" i="1" s="1"/>
  <c r="B211" i="1"/>
  <c r="G211" i="1" s="1"/>
  <c r="B212" i="1"/>
  <c r="G212" i="1" s="1"/>
  <c r="B213" i="1"/>
  <c r="G213" i="1" s="1"/>
  <c r="B214" i="1"/>
  <c r="B215" i="1"/>
  <c r="G215" i="1" s="1"/>
  <c r="B216" i="1"/>
  <c r="G216" i="1" s="1"/>
  <c r="B217" i="1"/>
  <c r="G217" i="1" s="1"/>
  <c r="B218" i="1"/>
  <c r="G218" i="1" s="1"/>
  <c r="B219" i="1"/>
  <c r="G219" i="1" s="1"/>
  <c r="B220" i="1"/>
  <c r="G220" i="1" s="1"/>
  <c r="B221" i="1"/>
  <c r="G221" i="1" s="1"/>
  <c r="B222" i="1"/>
  <c r="B223" i="1"/>
  <c r="G223" i="1" s="1"/>
  <c r="B224" i="1"/>
  <c r="G224" i="1" s="1"/>
  <c r="B225" i="1"/>
  <c r="G225" i="1" s="1"/>
  <c r="B226" i="1"/>
  <c r="G226" i="1" s="1"/>
  <c r="B227" i="1"/>
  <c r="G227" i="1" s="1"/>
  <c r="B228" i="1"/>
  <c r="G228" i="1" s="1"/>
  <c r="B229" i="1"/>
  <c r="G229" i="1" s="1"/>
  <c r="B230" i="1"/>
  <c r="B231" i="1"/>
  <c r="G231" i="1" s="1"/>
  <c r="B232" i="1"/>
  <c r="G232" i="1" s="1"/>
  <c r="B233" i="1"/>
  <c r="G233" i="1" s="1"/>
  <c r="B234" i="1"/>
  <c r="G234" i="1" s="1"/>
  <c r="B235" i="1"/>
  <c r="G235" i="1" s="1"/>
  <c r="B236" i="1"/>
  <c r="G236" i="1" s="1"/>
  <c r="B237" i="1"/>
  <c r="B238" i="1"/>
  <c r="G238" i="1" s="1"/>
  <c r="B239" i="1"/>
  <c r="G239" i="1" s="1"/>
  <c r="B240" i="1"/>
  <c r="G240" i="1" s="1"/>
  <c r="B241" i="1"/>
  <c r="B242" i="1"/>
  <c r="G242" i="1" s="1"/>
  <c r="B243" i="1"/>
  <c r="G243" i="1" s="1"/>
  <c r="B244" i="1"/>
  <c r="B245" i="1"/>
  <c r="G245" i="1" s="1"/>
  <c r="B246" i="1"/>
  <c r="G246" i="1" s="1"/>
  <c r="B247" i="1"/>
  <c r="B248" i="1"/>
  <c r="B249" i="1"/>
  <c r="G249" i="1" s="1"/>
  <c r="B250" i="1"/>
  <c r="G250" i="1" s="1"/>
  <c r="B251" i="1"/>
  <c r="G251" i="1" s="1"/>
  <c r="B252" i="1"/>
  <c r="G252" i="1" s="1"/>
  <c r="B253" i="1"/>
  <c r="G253" i="1" s="1"/>
  <c r="B254" i="1"/>
  <c r="G254" i="1" s="1"/>
  <c r="B255" i="1"/>
  <c r="G255" i="1" s="1"/>
  <c r="B256" i="1"/>
  <c r="B257" i="1"/>
  <c r="B258" i="1"/>
  <c r="G258" i="1" s="1"/>
  <c r="B259" i="1"/>
  <c r="G259" i="1" s="1"/>
  <c r="B260" i="1"/>
  <c r="B261" i="1"/>
  <c r="G261" i="1" s="1"/>
  <c r="B262" i="1"/>
  <c r="G262" i="1" s="1"/>
  <c r="B263" i="1"/>
  <c r="G263" i="1" s="1"/>
  <c r="B264" i="1"/>
  <c r="B265" i="1"/>
  <c r="G265" i="1" s="1"/>
  <c r="B266" i="1"/>
  <c r="G266" i="1" s="1"/>
  <c r="B267" i="1"/>
  <c r="B268" i="1"/>
  <c r="B269" i="1"/>
  <c r="G269" i="1" s="1"/>
  <c r="B270" i="1"/>
  <c r="G270" i="1" s="1"/>
  <c r="B271" i="1"/>
  <c r="B272" i="1"/>
  <c r="B273" i="1"/>
  <c r="G273" i="1" s="1"/>
  <c r="B274" i="1"/>
  <c r="G274" i="1" s="1"/>
  <c r="B275" i="1"/>
  <c r="B276" i="1"/>
  <c r="B277" i="1"/>
  <c r="G277" i="1" s="1"/>
  <c r="B278" i="1"/>
  <c r="G278" i="1" s="1"/>
  <c r="B279" i="1"/>
  <c r="G279" i="1" s="1"/>
  <c r="B280" i="1"/>
  <c r="G280" i="1" s="1"/>
  <c r="B281" i="1"/>
  <c r="G281" i="1" s="1"/>
  <c r="B282" i="1"/>
  <c r="G282" i="1" s="1"/>
  <c r="B283" i="1"/>
  <c r="B284" i="1"/>
  <c r="G284" i="1" s="1"/>
  <c r="B285" i="1"/>
  <c r="G285" i="1" s="1"/>
  <c r="B286" i="1"/>
  <c r="B287" i="1"/>
  <c r="G287" i="1" s="1"/>
  <c r="B288" i="1"/>
  <c r="G288" i="1" s="1"/>
  <c r="B289" i="1"/>
  <c r="G289" i="1" s="1"/>
  <c r="B290" i="1"/>
  <c r="G290" i="1" s="1"/>
  <c r="B291" i="1"/>
  <c r="B292" i="1"/>
  <c r="B293" i="1"/>
  <c r="B294" i="1"/>
  <c r="B295" i="1"/>
  <c r="G295" i="1" s="1"/>
  <c r="B296" i="1"/>
  <c r="G296" i="1" s="1"/>
  <c r="B297" i="1"/>
  <c r="G297" i="1" s="1"/>
  <c r="B298" i="1"/>
  <c r="G298" i="1" s="1"/>
  <c r="B299" i="1"/>
  <c r="G299" i="1" s="1"/>
  <c r="B300" i="1"/>
  <c r="G300" i="1" s="1"/>
  <c r="B301" i="1"/>
  <c r="G301" i="1" s="1"/>
  <c r="B302" i="1"/>
  <c r="B303" i="1"/>
  <c r="G303" i="1" s="1"/>
  <c r="B304" i="1"/>
  <c r="G304" i="1" s="1"/>
  <c r="B305" i="1"/>
  <c r="G305" i="1" s="1"/>
  <c r="B306" i="1"/>
  <c r="B307" i="1"/>
  <c r="G307" i="1" s="1"/>
  <c r="B308" i="1"/>
  <c r="B309" i="1"/>
  <c r="G309" i="1" s="1"/>
  <c r="B310" i="1"/>
  <c r="B311" i="1"/>
  <c r="G311" i="1" s="1"/>
  <c r="B312" i="1"/>
  <c r="G312" i="1" s="1"/>
  <c r="B313" i="1"/>
  <c r="B314" i="1"/>
  <c r="G314" i="1" s="1"/>
  <c r="B315" i="1"/>
  <c r="G315" i="1" s="1"/>
  <c r="B316" i="1"/>
  <c r="B317" i="1"/>
  <c r="G317" i="1" s="1"/>
  <c r="B318" i="1"/>
  <c r="B319" i="1"/>
  <c r="G319" i="1" s="1"/>
  <c r="B320" i="1"/>
  <c r="B321" i="1"/>
  <c r="G321" i="1" s="1"/>
  <c r="B322" i="1"/>
  <c r="G322" i="1" s="1"/>
  <c r="B323" i="1"/>
  <c r="G323" i="1" s="1"/>
  <c r="B324" i="1"/>
  <c r="G324" i="1" s="1"/>
  <c r="B325" i="1"/>
  <c r="G325" i="1" s="1"/>
  <c r="B326" i="1"/>
  <c r="G326" i="1" s="1"/>
  <c r="B327" i="1"/>
  <c r="G327" i="1" s="1"/>
  <c r="B328" i="1"/>
  <c r="G328" i="1" s="1"/>
  <c r="B329" i="1"/>
  <c r="G329" i="1" s="1"/>
  <c r="B330" i="1"/>
  <c r="G330" i="1" s="1"/>
  <c r="B331" i="1"/>
  <c r="B332" i="1"/>
  <c r="G332" i="1" s="1"/>
  <c r="B333" i="1"/>
  <c r="G333" i="1" s="1"/>
  <c r="B334" i="1"/>
  <c r="G334" i="1" s="1"/>
  <c r="B335" i="1"/>
  <c r="G335" i="1" s="1"/>
  <c r="B336" i="1"/>
  <c r="G336" i="1" s="1"/>
  <c r="B337" i="1"/>
  <c r="B338" i="1"/>
  <c r="G338" i="1" s="1"/>
  <c r="B339" i="1"/>
  <c r="G339" i="1" s="1"/>
  <c r="B340" i="1"/>
  <c r="G340" i="1" s="1"/>
  <c r="B341" i="1"/>
  <c r="B342" i="1"/>
  <c r="G342" i="1" s="1"/>
  <c r="B343" i="1"/>
  <c r="B344" i="1"/>
  <c r="G344" i="1" s="1"/>
  <c r="B345" i="1"/>
  <c r="B346" i="1"/>
  <c r="G346" i="1" s="1"/>
  <c r="B347" i="1"/>
  <c r="G347" i="1" s="1"/>
  <c r="B348" i="1"/>
  <c r="B349" i="1"/>
  <c r="G349" i="1" s="1"/>
  <c r="B350" i="1"/>
  <c r="G350" i="1" s="1"/>
  <c r="B351" i="1"/>
  <c r="G351" i="1" s="1"/>
  <c r="B352" i="1"/>
  <c r="G352" i="1" s="1"/>
  <c r="B353" i="1"/>
  <c r="G353" i="1" s="1"/>
  <c r="B354" i="1"/>
  <c r="G354" i="1" s="1"/>
  <c r="B355" i="1"/>
  <c r="B356" i="1"/>
  <c r="G356" i="1" s="1"/>
  <c r="B357" i="1"/>
  <c r="B358" i="1"/>
  <c r="G358" i="1" s="1"/>
  <c r="B359" i="1"/>
  <c r="G359" i="1" s="1"/>
  <c r="B360" i="1"/>
  <c r="B361" i="1"/>
  <c r="G361" i="1" s="1"/>
  <c r="B362" i="1"/>
  <c r="G362" i="1" s="1"/>
  <c r="B363" i="1"/>
  <c r="B364" i="1"/>
  <c r="G364" i="1" s="1"/>
  <c r="B365" i="1"/>
  <c r="G365" i="1" s="1"/>
  <c r="B366" i="1"/>
  <c r="B367" i="1"/>
  <c r="G367" i="1" s="1"/>
  <c r="B368" i="1"/>
  <c r="G368" i="1" s="1"/>
  <c r="B369" i="1"/>
  <c r="B370" i="1"/>
  <c r="B371" i="1"/>
  <c r="G371" i="1" s="1"/>
  <c r="B372" i="1"/>
  <c r="B373" i="1"/>
  <c r="B374" i="1"/>
  <c r="G374" i="1" s="1"/>
  <c r="B375" i="1"/>
  <c r="G375" i="1" s="1"/>
  <c r="B376" i="1"/>
  <c r="G376" i="1" s="1"/>
  <c r="B377" i="1"/>
  <c r="B378" i="1"/>
  <c r="B379" i="1"/>
  <c r="G379" i="1" s="1"/>
  <c r="B380" i="1"/>
  <c r="G380" i="1" s="1"/>
  <c r="B381" i="1"/>
  <c r="B382" i="1"/>
  <c r="B383" i="1"/>
  <c r="G383" i="1" s="1"/>
  <c r="B384" i="1"/>
  <c r="G384" i="1" s="1"/>
  <c r="B385" i="1"/>
  <c r="G385" i="1" s="1"/>
  <c r="B386" i="1"/>
  <c r="G386" i="1" s="1"/>
  <c r="B387" i="1"/>
  <c r="B388" i="1"/>
  <c r="G388" i="1" s="1"/>
  <c r="B389" i="1"/>
  <c r="B390" i="1"/>
  <c r="G390" i="1" s="1"/>
  <c r="B391" i="1"/>
  <c r="G391" i="1" s="1"/>
  <c r="B392" i="1"/>
  <c r="G392" i="1" s="1"/>
  <c r="B393" i="1"/>
  <c r="B394" i="1"/>
  <c r="G394" i="1" s="1"/>
  <c r="B395" i="1"/>
  <c r="G395" i="1" s="1"/>
  <c r="B396" i="1"/>
  <c r="B397" i="1"/>
  <c r="G397" i="1" s="1"/>
  <c r="B398" i="1"/>
  <c r="G398" i="1" s="1"/>
  <c r="B399" i="1"/>
  <c r="G399" i="1" s="1"/>
  <c r="B400" i="1"/>
  <c r="G400" i="1" s="1"/>
  <c r="B401" i="1"/>
  <c r="G401" i="1" s="1"/>
  <c r="B402" i="1"/>
  <c r="B403" i="1"/>
  <c r="G403" i="1" s="1"/>
  <c r="B404" i="1"/>
  <c r="G404" i="1" s="1"/>
  <c r="B405" i="1"/>
  <c r="B406" i="1"/>
  <c r="G406" i="1" s="1"/>
  <c r="B407" i="1"/>
  <c r="G407" i="1" s="1"/>
  <c r="B408" i="1"/>
  <c r="G408" i="1" s="1"/>
  <c r="B409" i="1"/>
  <c r="B410" i="1"/>
  <c r="G410" i="1" s="1"/>
  <c r="B411" i="1"/>
  <c r="G411" i="1" s="1"/>
  <c r="B412" i="1"/>
  <c r="B413" i="1"/>
  <c r="G413" i="1" s="1"/>
  <c r="B414" i="1"/>
  <c r="G414" i="1" s="1"/>
  <c r="B415" i="1"/>
  <c r="G415" i="1" s="1"/>
  <c r="B416" i="1"/>
  <c r="B417" i="1"/>
  <c r="G417" i="1" s="1"/>
  <c r="B418" i="1"/>
  <c r="G418" i="1" s="1"/>
  <c r="B419" i="1"/>
  <c r="B420" i="1"/>
  <c r="G420" i="1" s="1"/>
  <c r="B421" i="1"/>
  <c r="B422" i="1"/>
  <c r="G422" i="1" s="1"/>
  <c r="B423" i="1"/>
  <c r="G423" i="1" s="1"/>
  <c r="B424" i="1"/>
  <c r="G424" i="1" s="1"/>
  <c r="B425" i="1"/>
  <c r="B426" i="1"/>
  <c r="B427" i="1"/>
  <c r="G427" i="1" s="1"/>
  <c r="B428" i="1"/>
  <c r="G428" i="1" s="1"/>
  <c r="B429" i="1"/>
  <c r="G429" i="1" s="1"/>
  <c r="B430" i="1"/>
  <c r="G430" i="1" s="1"/>
  <c r="B431" i="1"/>
  <c r="G431" i="1" s="1"/>
  <c r="B432" i="1"/>
  <c r="B433" i="1"/>
  <c r="G433" i="1" s="1"/>
  <c r="B434" i="1"/>
  <c r="B435" i="1"/>
  <c r="G435" i="1" s="1"/>
  <c r="B436" i="1"/>
  <c r="B437" i="1"/>
  <c r="G437" i="1" s="1"/>
  <c r="B438" i="1"/>
  <c r="B439" i="1"/>
  <c r="G439" i="1" s="1"/>
  <c r="B440" i="1"/>
  <c r="G440" i="1" s="1"/>
  <c r="B441" i="1"/>
  <c r="B442" i="1"/>
  <c r="G442" i="1" s="1"/>
  <c r="B443" i="1"/>
  <c r="G443" i="1" s="1"/>
  <c r="B444" i="1"/>
  <c r="G444" i="1" s="1"/>
  <c r="B445" i="1"/>
  <c r="G445" i="1" s="1"/>
  <c r="B446" i="1"/>
  <c r="B447" i="1"/>
  <c r="G447" i="1" s="1"/>
  <c r="B448" i="1"/>
  <c r="G448" i="1" s="1"/>
  <c r="B449" i="1"/>
  <c r="G449" i="1" s="1"/>
  <c r="B450" i="1"/>
  <c r="G450" i="1" s="1"/>
  <c r="B451" i="1"/>
  <c r="G451" i="1" s="1"/>
  <c r="B452" i="1"/>
  <c r="G452" i="1" s="1"/>
  <c r="B453" i="1"/>
  <c r="B454" i="1"/>
  <c r="B455" i="1"/>
  <c r="G455" i="1" s="1"/>
  <c r="B456" i="1"/>
  <c r="B457" i="1"/>
  <c r="G457" i="1" s="1"/>
  <c r="B458" i="1"/>
  <c r="G458" i="1" s="1"/>
  <c r="B459" i="1"/>
  <c r="G459" i="1" s="1"/>
  <c r="B460" i="1"/>
  <c r="G460" i="1" s="1"/>
  <c r="B461" i="1"/>
  <c r="B462" i="1"/>
  <c r="G462" i="1" s="1"/>
  <c r="B463" i="1"/>
  <c r="G463" i="1" s="1"/>
  <c r="B464" i="1"/>
  <c r="G464" i="1" s="1"/>
  <c r="B465" i="1"/>
  <c r="G465" i="1" s="1"/>
  <c r="B466" i="1"/>
  <c r="G466" i="1" s="1"/>
  <c r="B467" i="1"/>
  <c r="G467" i="1" s="1"/>
  <c r="B468" i="1"/>
  <c r="G468" i="1" s="1"/>
  <c r="B469" i="1"/>
  <c r="G469" i="1" s="1"/>
  <c r="B470" i="1"/>
  <c r="G470" i="1" s="1"/>
  <c r="B471" i="1"/>
  <c r="G471" i="1" s="1"/>
  <c r="B472" i="1"/>
  <c r="B473" i="1"/>
  <c r="B474" i="1"/>
  <c r="G474" i="1" s="1"/>
  <c r="B475" i="1"/>
  <c r="G475" i="1" s="1"/>
  <c r="B476" i="1"/>
  <c r="B477" i="1"/>
  <c r="G477" i="1" s="1"/>
  <c r="B478" i="1"/>
  <c r="B479" i="1"/>
  <c r="B480" i="1"/>
  <c r="G480" i="1" s="1"/>
  <c r="B481" i="1"/>
  <c r="G481" i="1" s="1"/>
  <c r="B482" i="1"/>
  <c r="B483" i="1"/>
  <c r="G483" i="1" s="1"/>
  <c r="B484" i="1"/>
  <c r="B485" i="1"/>
  <c r="B486" i="1"/>
  <c r="G486" i="1" s="1"/>
  <c r="B487" i="1"/>
  <c r="G487" i="1" s="1"/>
  <c r="B488" i="1"/>
  <c r="G488" i="1" s="1"/>
  <c r="B489" i="1"/>
  <c r="B490" i="1"/>
  <c r="B491" i="1"/>
  <c r="B492" i="1"/>
  <c r="B493" i="1"/>
  <c r="B494" i="1"/>
  <c r="B495" i="1"/>
  <c r="G495" i="1" s="1"/>
  <c r="B496" i="1"/>
  <c r="G496" i="1" s="1"/>
  <c r="B497" i="1"/>
  <c r="G497" i="1" s="1"/>
  <c r="B498" i="1"/>
  <c r="G498" i="1" s="1"/>
  <c r="B499" i="1"/>
  <c r="G499" i="1" s="1"/>
  <c r="B500" i="1"/>
  <c r="G500" i="1" s="1"/>
  <c r="B501" i="1"/>
  <c r="G501" i="1" s="1"/>
  <c r="B502" i="1"/>
  <c r="B503" i="1"/>
  <c r="B504" i="1"/>
  <c r="G504" i="1" s="1"/>
  <c r="B505" i="1"/>
  <c r="G505" i="1" s="1"/>
  <c r="B506" i="1"/>
  <c r="G506" i="1" s="1"/>
  <c r="B507" i="1"/>
  <c r="B508" i="1"/>
  <c r="B509" i="1"/>
  <c r="B510" i="1"/>
  <c r="G510" i="1" s="1"/>
  <c r="B511" i="1"/>
  <c r="G511" i="1" s="1"/>
  <c r="B512" i="1"/>
  <c r="G512" i="1" s="1"/>
  <c r="B513" i="1"/>
  <c r="G513" i="1" s="1"/>
  <c r="B514" i="1"/>
  <c r="G514" i="1" s="1"/>
  <c r="B515" i="1"/>
  <c r="G515" i="1" s="1"/>
  <c r="B516" i="1"/>
  <c r="G516" i="1" s="1"/>
  <c r="B517" i="1"/>
  <c r="B518" i="1"/>
  <c r="G518" i="1" s="1"/>
  <c r="B519" i="1"/>
  <c r="G519" i="1" s="1"/>
  <c r="B520" i="1"/>
  <c r="G520" i="1" s="1"/>
  <c r="B521" i="1"/>
  <c r="B522" i="1"/>
  <c r="G522" i="1" s="1"/>
  <c r="B523" i="1"/>
  <c r="B524" i="1"/>
  <c r="G524" i="1" s="1"/>
  <c r="B525" i="1"/>
  <c r="B526" i="1"/>
  <c r="G526" i="1" s="1"/>
  <c r="B527" i="1"/>
  <c r="B528" i="1"/>
  <c r="G528" i="1" s="1"/>
  <c r="B529" i="1"/>
  <c r="B530" i="1"/>
  <c r="G530" i="1" s="1"/>
  <c r="B531" i="1"/>
  <c r="G531" i="1" s="1"/>
  <c r="B532" i="1"/>
  <c r="G532" i="1" s="1"/>
  <c r="B533" i="1"/>
  <c r="G533" i="1" s="1"/>
  <c r="B534" i="1"/>
  <c r="G534" i="1" s="1"/>
  <c r="B535" i="1"/>
  <c r="G535" i="1" s="1"/>
  <c r="B536" i="1"/>
  <c r="G536" i="1" s="1"/>
  <c r="B537" i="1"/>
  <c r="G537" i="1" s="1"/>
  <c r="B538" i="1"/>
  <c r="G538" i="1" s="1"/>
  <c r="B539" i="1"/>
  <c r="B540" i="1"/>
  <c r="G540" i="1" s="1"/>
  <c r="B541" i="1"/>
  <c r="G541" i="1" s="1"/>
  <c r="B542" i="1"/>
  <c r="G542" i="1" s="1"/>
  <c r="B543" i="1"/>
  <c r="G543" i="1" s="1"/>
  <c r="B544" i="1"/>
  <c r="G544" i="1" s="1"/>
  <c r="B545" i="1"/>
  <c r="G545" i="1" s="1"/>
  <c r="B546" i="1"/>
  <c r="G546" i="1" s="1"/>
  <c r="B547" i="1"/>
  <c r="G547" i="1" s="1"/>
  <c r="B548" i="1"/>
  <c r="G548" i="1" s="1"/>
  <c r="B549" i="1"/>
  <c r="G549" i="1" s="1"/>
  <c r="B550" i="1"/>
  <c r="B551" i="1"/>
  <c r="G551" i="1" s="1"/>
  <c r="B552" i="1"/>
  <c r="G552" i="1" s="1"/>
  <c r="B553" i="1"/>
  <c r="G553" i="1" s="1"/>
  <c r="B554" i="1"/>
  <c r="G554" i="1" s="1"/>
  <c r="B555" i="1"/>
  <c r="G555" i="1" s="1"/>
  <c r="B556" i="1"/>
  <c r="G556" i="1" s="1"/>
  <c r="B557" i="1"/>
  <c r="B558" i="1"/>
  <c r="G558" i="1" s="1"/>
  <c r="B559" i="1"/>
  <c r="G559" i="1" s="1"/>
  <c r="B560" i="1"/>
  <c r="G560" i="1" s="1"/>
  <c r="B561" i="1"/>
  <c r="G561" i="1" s="1"/>
  <c r="B562" i="1"/>
  <c r="G562" i="1" s="1"/>
  <c r="B563" i="1"/>
  <c r="G563" i="1" s="1"/>
  <c r="B564" i="1"/>
  <c r="G564" i="1" s="1"/>
  <c r="B565" i="1"/>
  <c r="B566" i="1"/>
  <c r="G566" i="1" s="1"/>
  <c r="B567" i="1"/>
  <c r="G567" i="1" s="1"/>
  <c r="B568" i="1"/>
  <c r="G568" i="1" s="1"/>
  <c r="B569" i="1"/>
  <c r="B570" i="1"/>
  <c r="G570" i="1" s="1"/>
  <c r="B571" i="1"/>
  <c r="B572" i="1"/>
  <c r="G572" i="1" s="1"/>
  <c r="B573" i="1"/>
  <c r="G573" i="1" s="1"/>
  <c r="B574" i="1"/>
  <c r="G574" i="1" s="1"/>
  <c r="B575" i="1"/>
  <c r="G575" i="1" s="1"/>
  <c r="B576" i="1"/>
  <c r="G576" i="1" s="1"/>
  <c r="B577" i="1"/>
  <c r="G577" i="1" s="1"/>
  <c r="B578" i="1"/>
  <c r="G578" i="1" s="1"/>
  <c r="B579" i="1"/>
  <c r="G579" i="1" s="1"/>
  <c r="B580" i="1"/>
  <c r="B581" i="1"/>
  <c r="G581" i="1" s="1"/>
  <c r="B582" i="1"/>
  <c r="B583" i="1"/>
  <c r="G583" i="1" s="1"/>
  <c r="B584" i="1"/>
  <c r="G584" i="1" s="1"/>
  <c r="B585" i="1"/>
  <c r="G585" i="1" s="1"/>
  <c r="B586" i="1"/>
  <c r="B587" i="1"/>
  <c r="G587" i="1" s="1"/>
  <c r="B588" i="1"/>
  <c r="B589" i="1"/>
  <c r="G589" i="1" s="1"/>
  <c r="B590" i="1"/>
  <c r="G590" i="1" s="1"/>
  <c r="B591" i="1"/>
  <c r="G591" i="1" s="1"/>
  <c r="B592" i="1"/>
  <c r="G592" i="1" s="1"/>
  <c r="B593" i="1"/>
  <c r="G593" i="1" s="1"/>
  <c r="B594" i="1"/>
  <c r="G594" i="1" s="1"/>
  <c r="B595" i="1"/>
  <c r="G595" i="1" s="1"/>
  <c r="B596" i="1"/>
  <c r="G596" i="1" s="1"/>
  <c r="B597" i="1"/>
  <c r="G597" i="1" s="1"/>
  <c r="B598" i="1"/>
  <c r="B599" i="1"/>
  <c r="G599" i="1" s="1"/>
  <c r="B600" i="1"/>
  <c r="G600" i="1" s="1"/>
  <c r="B601" i="1"/>
  <c r="G601" i="1" s="1"/>
  <c r="B602" i="1"/>
  <c r="B603" i="1"/>
  <c r="G603" i="1" s="1"/>
  <c r="B604" i="1"/>
  <c r="B605" i="1"/>
  <c r="G605" i="1" s="1"/>
  <c r="B606" i="1"/>
  <c r="G606" i="1" s="1"/>
  <c r="B607" i="1"/>
  <c r="G607" i="1" s="1"/>
  <c r="B608" i="1"/>
  <c r="G608" i="1" s="1"/>
  <c r="B609" i="1"/>
  <c r="G609" i="1" s="1"/>
  <c r="B610" i="1"/>
  <c r="G610" i="1" s="1"/>
  <c r="B611" i="1"/>
  <c r="G611" i="1" s="1"/>
  <c r="B612" i="1"/>
  <c r="G612" i="1" s="1"/>
  <c r="B613" i="1"/>
  <c r="G613" i="1" s="1"/>
  <c r="B614" i="1"/>
  <c r="B615" i="1"/>
  <c r="G615" i="1" s="1"/>
  <c r="B616" i="1"/>
  <c r="G616" i="1" s="1"/>
  <c r="B617" i="1"/>
  <c r="G617" i="1" s="1"/>
  <c r="B618" i="1"/>
  <c r="B619" i="1"/>
  <c r="G619" i="1" s="1"/>
  <c r="B620" i="1"/>
  <c r="B621" i="1"/>
  <c r="G621" i="1" s="1"/>
  <c r="B622" i="1"/>
  <c r="G622" i="1" s="1"/>
  <c r="B623" i="1"/>
  <c r="G623" i="1" s="1"/>
  <c r="B624" i="1"/>
  <c r="G624" i="1" s="1"/>
  <c r="B625" i="1"/>
  <c r="G625" i="1" s="1"/>
  <c r="B626" i="1"/>
  <c r="B627" i="1"/>
  <c r="G627" i="1" s="1"/>
  <c r="B628" i="1"/>
  <c r="G628" i="1" s="1"/>
  <c r="B629" i="1"/>
  <c r="G629" i="1" s="1"/>
  <c r="B630" i="1"/>
  <c r="B631" i="1"/>
  <c r="G631" i="1" s="1"/>
  <c r="B632" i="1"/>
  <c r="G632" i="1" s="1"/>
  <c r="B633" i="1"/>
  <c r="G633" i="1" s="1"/>
  <c r="B634" i="1"/>
  <c r="B635" i="1"/>
  <c r="G635" i="1" s="1"/>
  <c r="B636" i="1"/>
  <c r="B637" i="1"/>
  <c r="G637" i="1" s="1"/>
  <c r="B638" i="1"/>
  <c r="G638" i="1" s="1"/>
  <c r="B639" i="1"/>
  <c r="G639" i="1" s="1"/>
  <c r="B640" i="1"/>
  <c r="G640" i="1" s="1"/>
  <c r="B641" i="1"/>
  <c r="G641" i="1" s="1"/>
  <c r="B642" i="1"/>
  <c r="B643" i="1"/>
  <c r="G643" i="1" s="1"/>
  <c r="B644" i="1"/>
  <c r="G644" i="1" s="1"/>
  <c r="B645" i="1"/>
  <c r="G645" i="1" s="1"/>
  <c r="B646" i="1"/>
  <c r="B647" i="1"/>
  <c r="G647" i="1" s="1"/>
  <c r="B648" i="1"/>
  <c r="G648" i="1" s="1"/>
  <c r="B649" i="1"/>
  <c r="G649" i="1" s="1"/>
  <c r="B650" i="1"/>
  <c r="B651" i="1"/>
  <c r="G651" i="1" s="1"/>
  <c r="B652" i="1"/>
  <c r="B653" i="1"/>
  <c r="G653" i="1" s="1"/>
  <c r="B654" i="1"/>
  <c r="G654" i="1" s="1"/>
  <c r="B655" i="1"/>
  <c r="G655" i="1" s="1"/>
  <c r="B656" i="1"/>
  <c r="G656" i="1" s="1"/>
  <c r="B657" i="1"/>
  <c r="G657" i="1" s="1"/>
  <c r="B658" i="1"/>
  <c r="G658" i="1" s="1"/>
  <c r="B659" i="1"/>
  <c r="G659" i="1" s="1"/>
  <c r="B660" i="1"/>
  <c r="G660" i="1" s="1"/>
  <c r="B661" i="1"/>
  <c r="G661" i="1" s="1"/>
  <c r="B662" i="1"/>
  <c r="B663" i="1"/>
  <c r="G663" i="1" s="1"/>
  <c r="B664" i="1"/>
  <c r="G664" i="1" s="1"/>
  <c r="B665" i="1"/>
  <c r="G665" i="1" s="1"/>
  <c r="B666" i="1"/>
  <c r="B667" i="1"/>
  <c r="G667" i="1" s="1"/>
  <c r="B668" i="1"/>
  <c r="B669" i="1"/>
  <c r="G669" i="1" s="1"/>
  <c r="B670" i="1"/>
  <c r="G670" i="1" s="1"/>
  <c r="B671" i="1"/>
  <c r="G671" i="1" s="1"/>
  <c r="B672" i="1"/>
  <c r="G672" i="1" s="1"/>
  <c r="B673" i="1"/>
  <c r="G673" i="1" s="1"/>
  <c r="B674" i="1"/>
  <c r="G674" i="1" s="1"/>
  <c r="B675" i="1"/>
  <c r="G675" i="1" s="1"/>
  <c r="B676" i="1"/>
  <c r="B677" i="1"/>
  <c r="G677" i="1" s="1"/>
  <c r="B678" i="1"/>
  <c r="B679" i="1"/>
  <c r="G679" i="1" s="1"/>
  <c r="B680" i="1"/>
  <c r="G680" i="1" s="1"/>
  <c r="B681" i="1"/>
  <c r="G681" i="1" s="1"/>
  <c r="B682" i="1"/>
  <c r="B683" i="1"/>
  <c r="B684" i="1"/>
  <c r="B685" i="1"/>
  <c r="G685" i="1" s="1"/>
  <c r="B686" i="1"/>
  <c r="G686" i="1" s="1"/>
  <c r="B687" i="1"/>
  <c r="B688" i="1"/>
  <c r="G688" i="1" s="1"/>
  <c r="B689" i="1"/>
  <c r="G689" i="1" s="1"/>
  <c r="B690" i="1"/>
  <c r="B691" i="1"/>
  <c r="G691" i="1" s="1"/>
  <c r="B692" i="1"/>
  <c r="B693" i="1"/>
  <c r="G693" i="1" s="1"/>
  <c r="B694" i="1"/>
  <c r="B695" i="1"/>
  <c r="G695" i="1" s="1"/>
  <c r="B696" i="1"/>
  <c r="G696" i="1" s="1"/>
  <c r="B697" i="1"/>
  <c r="B698" i="1"/>
  <c r="G698" i="1" s="1"/>
  <c r="B699" i="1"/>
  <c r="G699" i="1" s="1"/>
  <c r="B700" i="1"/>
  <c r="G700" i="1" s="1"/>
  <c r="B701" i="1"/>
  <c r="G701" i="1" s="1"/>
  <c r="B702" i="1"/>
  <c r="G702" i="1" s="1"/>
  <c r="B703" i="1"/>
  <c r="G703" i="1" s="1"/>
  <c r="B704" i="1"/>
  <c r="B705" i="1"/>
  <c r="G705" i="1" s="1"/>
  <c r="B706" i="1"/>
  <c r="G706" i="1" s="1"/>
  <c r="B707" i="1"/>
  <c r="G707" i="1" s="1"/>
  <c r="B708" i="1"/>
  <c r="B709" i="1"/>
  <c r="G709" i="1" s="1"/>
  <c r="B710" i="1"/>
  <c r="G710" i="1" s="1"/>
  <c r="B711" i="1"/>
  <c r="G711" i="1" s="1"/>
  <c r="B712" i="1"/>
  <c r="G712" i="1" s="1"/>
  <c r="B713" i="1"/>
  <c r="B714" i="1"/>
  <c r="G714" i="1" s="1"/>
  <c r="B715" i="1"/>
  <c r="B716" i="1"/>
  <c r="G716" i="1" s="1"/>
  <c r="B717" i="1"/>
  <c r="B718" i="1"/>
  <c r="G718" i="1" s="1"/>
  <c r="B719" i="1"/>
  <c r="G719" i="1" s="1"/>
  <c r="B720" i="1"/>
  <c r="B721" i="1"/>
  <c r="G721" i="1" s="1"/>
  <c r="B722" i="1"/>
  <c r="G722" i="1" s="1"/>
  <c r="B723" i="1"/>
  <c r="G723" i="1" s="1"/>
  <c r="B724" i="1"/>
  <c r="B725" i="1"/>
  <c r="G725" i="1" s="1"/>
  <c r="B726" i="1"/>
  <c r="G726" i="1" s="1"/>
  <c r="B727" i="1"/>
  <c r="G727" i="1" s="1"/>
  <c r="B728" i="1"/>
  <c r="G728" i="1" s="1"/>
  <c r="B729" i="1"/>
  <c r="B730" i="1"/>
  <c r="G730" i="1" s="1"/>
  <c r="B731" i="1"/>
  <c r="B732" i="1"/>
  <c r="G732" i="1" s="1"/>
  <c r="B733" i="1"/>
  <c r="B734" i="1"/>
  <c r="B735" i="1"/>
  <c r="G735" i="1" s="1"/>
  <c r="B736" i="1"/>
  <c r="B737" i="1"/>
  <c r="G737" i="1" s="1"/>
  <c r="B738" i="1"/>
  <c r="G738" i="1" s="1"/>
  <c r="B739" i="1"/>
  <c r="G739" i="1" s="1"/>
  <c r="B740" i="1"/>
  <c r="B741" i="1"/>
  <c r="G741" i="1" s="1"/>
  <c r="B742" i="1"/>
  <c r="B743" i="1"/>
  <c r="G743" i="1" s="1"/>
  <c r="B744" i="1"/>
  <c r="B745" i="1"/>
  <c r="B746" i="1"/>
  <c r="G746" i="1" s="1"/>
  <c r="B747" i="1"/>
  <c r="G747" i="1" s="1"/>
  <c r="B748" i="1"/>
  <c r="G748" i="1" s="1"/>
  <c r="B749" i="1"/>
  <c r="B750" i="1"/>
  <c r="G750" i="1" s="1"/>
  <c r="B751" i="1"/>
  <c r="G751" i="1" s="1"/>
  <c r="B752" i="1"/>
  <c r="G752" i="1" s="1"/>
  <c r="B753" i="1"/>
  <c r="G753" i="1" s="1"/>
  <c r="B754" i="1"/>
  <c r="G754" i="1" s="1"/>
  <c r="B755" i="1"/>
  <c r="G755" i="1" s="1"/>
  <c r="B756" i="1"/>
  <c r="B757" i="1"/>
  <c r="G757" i="1" s="1"/>
  <c r="B758" i="1"/>
  <c r="G758" i="1" s="1"/>
  <c r="B759" i="1"/>
  <c r="G759" i="1" s="1"/>
  <c r="B760" i="1"/>
  <c r="G760" i="1" s="1"/>
  <c r="B761" i="1"/>
  <c r="G761" i="1" s="1"/>
  <c r="B762" i="1"/>
  <c r="G762" i="1" s="1"/>
  <c r="B763" i="1"/>
  <c r="G763" i="1" s="1"/>
  <c r="B764" i="1"/>
  <c r="G764" i="1" s="1"/>
  <c r="B765" i="1"/>
  <c r="B766" i="1"/>
  <c r="B767" i="1"/>
  <c r="G767" i="1" s="1"/>
  <c r="B768" i="1"/>
  <c r="G768" i="1" s="1"/>
  <c r="B769" i="1"/>
  <c r="G769" i="1" s="1"/>
  <c r="B770" i="1"/>
  <c r="G770" i="1" s="1"/>
  <c r="B771" i="1"/>
  <c r="G771" i="1" s="1"/>
  <c r="B772" i="1"/>
  <c r="B773" i="1"/>
  <c r="G773" i="1" s="1"/>
  <c r="B774" i="1"/>
  <c r="B775" i="1"/>
  <c r="G775" i="1" s="1"/>
  <c r="B776" i="1"/>
  <c r="G776" i="1" s="1"/>
  <c r="B777" i="1"/>
  <c r="G777" i="1" s="1"/>
  <c r="B778" i="1"/>
  <c r="G778" i="1" s="1"/>
  <c r="B779" i="1"/>
  <c r="B780" i="1"/>
  <c r="G780" i="1" s="1"/>
  <c r="B781" i="1"/>
  <c r="B782" i="1"/>
  <c r="B783" i="1"/>
  <c r="G783" i="1" s="1"/>
  <c r="B784" i="1"/>
  <c r="B785" i="1"/>
  <c r="G785" i="1" s="1"/>
  <c r="B786" i="1"/>
  <c r="G786" i="1" s="1"/>
  <c r="B787" i="1"/>
  <c r="G787" i="1" s="1"/>
  <c r="B788" i="1"/>
  <c r="B789" i="1"/>
  <c r="B790" i="1"/>
  <c r="G790" i="1" s="1"/>
  <c r="B791" i="1"/>
  <c r="G791" i="1" s="1"/>
  <c r="B792" i="1"/>
  <c r="G792" i="1" s="1"/>
  <c r="B793" i="1"/>
  <c r="G793" i="1" s="1"/>
  <c r="B794" i="1"/>
  <c r="G794" i="1" s="1"/>
  <c r="B795" i="1"/>
  <c r="B796" i="1"/>
  <c r="G796" i="1" s="1"/>
  <c r="B797" i="1"/>
  <c r="B798" i="1"/>
  <c r="G798" i="1" s="1"/>
  <c r="B799" i="1"/>
  <c r="G799" i="1" s="1"/>
  <c r="B800" i="1"/>
  <c r="G800" i="1" s="1"/>
  <c r="B801" i="1"/>
  <c r="G801" i="1" s="1"/>
  <c r="B802" i="1"/>
  <c r="G802" i="1" s="1"/>
  <c r="B803" i="1"/>
  <c r="G803" i="1" s="1"/>
  <c r="B804" i="1"/>
  <c r="B805" i="1"/>
  <c r="G805" i="1" s="1"/>
  <c r="B806" i="1"/>
  <c r="B807" i="1"/>
  <c r="G807" i="1" s="1"/>
  <c r="B808" i="1"/>
  <c r="G808" i="1" s="1"/>
  <c r="B809" i="1"/>
  <c r="G809" i="1" s="1"/>
  <c r="B810" i="1"/>
  <c r="G810" i="1" s="1"/>
  <c r="B811" i="1"/>
  <c r="B812" i="1"/>
  <c r="G812" i="1" s="1"/>
  <c r="B813" i="1"/>
  <c r="B814" i="1"/>
  <c r="B815" i="1"/>
  <c r="G815" i="1" s="1"/>
  <c r="B816" i="1"/>
  <c r="G816" i="1" s="1"/>
  <c r="B817" i="1"/>
  <c r="G817" i="1" s="1"/>
  <c r="B818" i="1"/>
  <c r="G818" i="1" s="1"/>
  <c r="B819" i="1"/>
  <c r="G819" i="1" s="1"/>
  <c r="B820" i="1"/>
  <c r="G820" i="1" s="1"/>
  <c r="B821" i="1"/>
  <c r="B822" i="1"/>
  <c r="B823" i="1"/>
  <c r="G823" i="1" s="1"/>
  <c r="B824" i="1"/>
  <c r="G824" i="1" s="1"/>
  <c r="B825" i="1"/>
  <c r="G825" i="1" s="1"/>
  <c r="B826" i="1"/>
  <c r="G826" i="1" s="1"/>
  <c r="B827" i="1"/>
  <c r="G827" i="1" s="1"/>
  <c r="B828" i="1"/>
  <c r="G828" i="1" s="1"/>
  <c r="B829" i="1"/>
  <c r="G829" i="1" s="1"/>
  <c r="B830" i="1"/>
  <c r="G830" i="1" s="1"/>
  <c r="B831" i="1"/>
  <c r="G831" i="1" s="1"/>
  <c r="B832" i="1"/>
  <c r="G832" i="1" s="1"/>
  <c r="B833" i="1"/>
  <c r="B834" i="1"/>
  <c r="B835" i="1"/>
  <c r="G835" i="1" s="1"/>
  <c r="B836" i="1"/>
  <c r="G836" i="1" s="1"/>
  <c r="B837" i="1"/>
  <c r="B838" i="1"/>
  <c r="G838" i="1" s="1"/>
  <c r="B839" i="1"/>
  <c r="B840" i="1"/>
  <c r="G840" i="1" s="1"/>
  <c r="B841" i="1"/>
  <c r="G841" i="1" s="1"/>
  <c r="B842" i="1"/>
  <c r="G842" i="1" s="1"/>
  <c r="B843" i="1"/>
  <c r="G843" i="1" s="1"/>
  <c r="B844" i="1"/>
  <c r="G844" i="1" s="1"/>
  <c r="B845" i="1"/>
  <c r="G845" i="1" s="1"/>
  <c r="B846" i="1"/>
  <c r="G846" i="1" s="1"/>
  <c r="B847" i="1"/>
  <c r="B848" i="1"/>
  <c r="G848" i="1" s="1"/>
  <c r="B849" i="1"/>
  <c r="B850" i="1"/>
  <c r="B851" i="1"/>
  <c r="G851" i="1" s="1"/>
  <c r="B852" i="1"/>
  <c r="G852" i="1" s="1"/>
  <c r="B853" i="1"/>
  <c r="B854" i="1"/>
  <c r="G854" i="1" s="1"/>
  <c r="B855" i="1"/>
  <c r="G855" i="1" s="1"/>
  <c r="B856" i="1"/>
  <c r="G856" i="1" s="1"/>
  <c r="B857" i="1"/>
  <c r="B858" i="1"/>
  <c r="G858" i="1" s="1"/>
  <c r="B859" i="1"/>
  <c r="B860" i="1"/>
  <c r="G860" i="1" s="1"/>
  <c r="B861" i="1"/>
  <c r="G861" i="1" s="1"/>
  <c r="B862" i="1"/>
  <c r="G862" i="1" s="1"/>
  <c r="B863" i="1"/>
  <c r="G863" i="1" s="1"/>
  <c r="B864" i="1"/>
  <c r="G864" i="1" s="1"/>
  <c r="B865" i="1"/>
  <c r="B866" i="1"/>
  <c r="G866" i="1" s="1"/>
  <c r="B867" i="1"/>
  <c r="G867" i="1" s="1"/>
  <c r="B868" i="1"/>
  <c r="G868" i="1" s="1"/>
  <c r="B869" i="1"/>
  <c r="B870" i="1"/>
  <c r="G870" i="1" s="1"/>
  <c r="B871" i="1"/>
  <c r="G871" i="1" s="1"/>
  <c r="B872" i="1"/>
  <c r="G872" i="1" s="1"/>
  <c r="B873" i="1"/>
  <c r="G873" i="1" s="1"/>
  <c r="B874" i="1"/>
  <c r="G874" i="1" s="1"/>
  <c r="B875" i="1"/>
  <c r="G875" i="1" s="1"/>
  <c r="B876" i="1"/>
  <c r="G876" i="1" s="1"/>
  <c r="B877" i="1"/>
  <c r="G877" i="1" s="1"/>
  <c r="B878" i="1"/>
  <c r="G878" i="1" s="1"/>
  <c r="B879" i="1"/>
  <c r="G879" i="1" s="1"/>
  <c r="B880" i="1"/>
  <c r="B881" i="1"/>
  <c r="G881" i="1" s="1"/>
  <c r="B882" i="1"/>
  <c r="B883" i="1"/>
  <c r="G883" i="1" s="1"/>
  <c r="B884" i="1"/>
  <c r="G884" i="1" s="1"/>
  <c r="B885" i="1"/>
  <c r="B886" i="1"/>
  <c r="G886" i="1" s="1"/>
  <c r="B887" i="1"/>
  <c r="G887" i="1" s="1"/>
  <c r="B888" i="1"/>
  <c r="G888" i="1" s="1"/>
  <c r="B889" i="1"/>
  <c r="G889" i="1" s="1"/>
  <c r="B890" i="1"/>
  <c r="B891" i="1"/>
  <c r="G891" i="1" s="1"/>
  <c r="B892" i="1"/>
  <c r="G892" i="1" s="1"/>
  <c r="B893" i="1"/>
  <c r="G893" i="1" s="1"/>
  <c r="B894" i="1"/>
  <c r="G894" i="1" s="1"/>
  <c r="B895" i="1"/>
  <c r="G895" i="1" s="1"/>
  <c r="B896" i="1"/>
  <c r="G896" i="1" s="1"/>
  <c r="B897" i="1"/>
  <c r="G897" i="1" s="1"/>
  <c r="B898" i="1"/>
  <c r="G898" i="1" s="1"/>
  <c r="B899" i="1"/>
  <c r="G899" i="1" s="1"/>
  <c r="B900" i="1"/>
  <c r="G900" i="1" s="1"/>
  <c r="B901" i="1"/>
  <c r="B902" i="1"/>
  <c r="G902" i="1" s="1"/>
  <c r="B903" i="1"/>
  <c r="B904" i="1"/>
  <c r="G904" i="1" s="1"/>
  <c r="B905" i="1"/>
  <c r="G905" i="1" s="1"/>
  <c r="B906" i="1"/>
  <c r="G906" i="1" s="1"/>
  <c r="B907" i="1"/>
  <c r="G907" i="1" s="1"/>
  <c r="B908" i="1"/>
  <c r="G908" i="1" s="1"/>
  <c r="B909" i="1"/>
  <c r="G909" i="1" s="1"/>
  <c r="B910" i="1"/>
  <c r="G910" i="1" s="1"/>
  <c r="B911" i="1"/>
  <c r="G911" i="1" s="1"/>
  <c r="B912" i="1"/>
  <c r="G912" i="1" s="1"/>
  <c r="B913" i="1"/>
  <c r="G913" i="1" s="1"/>
  <c r="B914" i="1"/>
  <c r="G914" i="1" s="1"/>
  <c r="B915" i="1"/>
  <c r="G915" i="1" s="1"/>
  <c r="B916" i="1"/>
  <c r="G916" i="1" s="1"/>
  <c r="B917" i="1"/>
  <c r="B918" i="1"/>
  <c r="G918" i="1" s="1"/>
  <c r="B919" i="1"/>
  <c r="B920" i="1"/>
  <c r="G920" i="1" s="1"/>
  <c r="B921" i="1"/>
  <c r="G921" i="1" s="1"/>
  <c r="B922" i="1"/>
  <c r="G922" i="1" s="1"/>
  <c r="B923" i="1"/>
  <c r="G923" i="1" s="1"/>
  <c r="B924" i="1"/>
  <c r="G924" i="1" s="1"/>
  <c r="B925" i="1"/>
  <c r="G925" i="1" s="1"/>
  <c r="B926" i="1"/>
  <c r="G926" i="1" s="1"/>
  <c r="B927" i="1"/>
  <c r="G927" i="1" s="1"/>
  <c r="B928" i="1"/>
  <c r="G928" i="1" s="1"/>
  <c r="B929" i="1"/>
  <c r="G929" i="1" s="1"/>
  <c r="B930" i="1"/>
  <c r="G930" i="1" s="1"/>
  <c r="B931" i="1"/>
  <c r="G931" i="1" s="1"/>
  <c r="B932" i="1"/>
  <c r="G932" i="1" s="1"/>
  <c r="B933" i="1"/>
  <c r="G933" i="1" s="1"/>
  <c r="B934" i="1"/>
  <c r="B935" i="1"/>
  <c r="G935" i="1" s="1"/>
  <c r="B936" i="1"/>
  <c r="G936" i="1" s="1"/>
  <c r="B937" i="1"/>
  <c r="B938" i="1"/>
  <c r="G938" i="1" s="1"/>
  <c r="B939" i="1"/>
  <c r="B940" i="1"/>
  <c r="G940" i="1" s="1"/>
  <c r="B941" i="1"/>
  <c r="G941" i="1" s="1"/>
  <c r="B942" i="1"/>
  <c r="G942" i="1" s="1"/>
  <c r="B943" i="1"/>
  <c r="G943" i="1" s="1"/>
  <c r="B944" i="1"/>
  <c r="G944" i="1" s="1"/>
  <c r="B945" i="1"/>
  <c r="G945" i="1" s="1"/>
  <c r="B946" i="1"/>
  <c r="G946" i="1" s="1"/>
  <c r="B947" i="1"/>
  <c r="B948" i="1"/>
  <c r="G948" i="1" s="1"/>
  <c r="B949" i="1"/>
  <c r="G949" i="1" s="1"/>
  <c r="B950" i="1"/>
  <c r="B951" i="1"/>
  <c r="G951" i="1" s="1"/>
  <c r="B952" i="1"/>
  <c r="G952" i="1" s="1"/>
  <c r="B953" i="1"/>
  <c r="B954" i="1"/>
  <c r="G954" i="1" s="1"/>
  <c r="B955" i="1"/>
  <c r="B956" i="1"/>
  <c r="G956" i="1" s="1"/>
  <c r="B957" i="1"/>
  <c r="B958" i="1"/>
  <c r="G958" i="1" s="1"/>
  <c r="B959" i="1"/>
  <c r="G959" i="1" s="1"/>
  <c r="B960" i="1"/>
  <c r="G960" i="1" s="1"/>
  <c r="B961" i="1"/>
  <c r="G961" i="1" s="1"/>
  <c r="B962" i="1"/>
  <c r="G962" i="1" s="1"/>
  <c r="B963" i="1"/>
  <c r="B964" i="1"/>
  <c r="G964" i="1" s="1"/>
  <c r="B965" i="1"/>
  <c r="B966" i="1"/>
  <c r="B967" i="1"/>
  <c r="G967" i="1" s="1"/>
  <c r="B968" i="1"/>
  <c r="G968" i="1" s="1"/>
  <c r="B969" i="1"/>
  <c r="B970" i="1"/>
  <c r="G970" i="1" s="1"/>
  <c r="B971" i="1"/>
  <c r="B972" i="1"/>
  <c r="G972" i="1" s="1"/>
  <c r="B973" i="1"/>
  <c r="B974" i="1"/>
  <c r="G974" i="1" s="1"/>
  <c r="B975" i="1"/>
  <c r="G975" i="1" s="1"/>
  <c r="B976" i="1"/>
  <c r="G976" i="1" s="1"/>
  <c r="B977" i="1"/>
  <c r="B978" i="1"/>
  <c r="G978" i="1" s="1"/>
  <c r="B979" i="1"/>
  <c r="B980" i="1"/>
  <c r="G980" i="1" s="1"/>
  <c r="B981" i="1"/>
  <c r="G981" i="1" s="1"/>
  <c r="B982" i="1"/>
  <c r="B983" i="1"/>
  <c r="G983" i="1" s="1"/>
  <c r="B984" i="1"/>
  <c r="G984" i="1" s="1"/>
  <c r="B985" i="1"/>
  <c r="B986" i="1"/>
  <c r="G986" i="1" s="1"/>
  <c r="B987" i="1"/>
  <c r="B988" i="1"/>
  <c r="G988" i="1" s="1"/>
  <c r="B989" i="1"/>
  <c r="B990" i="1"/>
  <c r="G990" i="1" s="1"/>
  <c r="B991" i="1"/>
  <c r="B992" i="1"/>
  <c r="G992" i="1" s="1"/>
  <c r="B993" i="1"/>
  <c r="B994" i="1"/>
  <c r="G994" i="1" s="1"/>
  <c r="B995" i="1"/>
  <c r="B996" i="1"/>
  <c r="G996" i="1" s="1"/>
  <c r="B997" i="1"/>
  <c r="G997" i="1" s="1"/>
  <c r="B998" i="1"/>
  <c r="B999" i="1"/>
  <c r="G999" i="1" s="1"/>
  <c r="B1000" i="1"/>
  <c r="G1000" i="1" s="1"/>
  <c r="B1001" i="1"/>
  <c r="B1002" i="1"/>
  <c r="G1002" i="1" s="1"/>
  <c r="B1003" i="1"/>
  <c r="B1004" i="1"/>
  <c r="G1004" i="1" s="1"/>
  <c r="B1005" i="1"/>
  <c r="G1005" i="1" s="1"/>
  <c r="B1006" i="1"/>
  <c r="G1006" i="1" s="1"/>
  <c r="B1007" i="1"/>
  <c r="B1008" i="1"/>
  <c r="G1008" i="1" s="1"/>
  <c r="B1009" i="1"/>
  <c r="G1009" i="1" s="1"/>
  <c r="B1010" i="1"/>
  <c r="G1010" i="1" s="1"/>
  <c r="B1011" i="1"/>
  <c r="B1012" i="1"/>
  <c r="G1012" i="1" s="1"/>
  <c r="B1013" i="1"/>
  <c r="G1013" i="1" s="1"/>
  <c r="B15" i="1"/>
  <c r="G15" i="1" s="1"/>
  <c r="B16" i="1"/>
  <c r="B17" i="1"/>
  <c r="G17" i="1" s="1"/>
  <c r="B18" i="1"/>
  <c r="G18" i="1" s="1"/>
  <c r="B19" i="1"/>
  <c r="G19" i="1" s="1"/>
  <c r="B20" i="1"/>
  <c r="B21" i="1"/>
  <c r="G21" i="1" s="1"/>
  <c r="B22" i="1"/>
  <c r="G22" i="1" s="1"/>
  <c r="B23" i="1"/>
  <c r="G23" i="1" s="1"/>
  <c r="B24" i="1"/>
  <c r="G24" i="1" s="1"/>
  <c r="B25" i="1"/>
  <c r="G25" i="1" s="1"/>
  <c r="B26" i="1"/>
  <c r="B27" i="1"/>
  <c r="G27" i="1" s="1"/>
  <c r="B28" i="1"/>
  <c r="G28" i="1" s="1"/>
  <c r="B29" i="1"/>
  <c r="G29" i="1" s="1"/>
  <c r="B30" i="1"/>
  <c r="G30" i="1" s="1"/>
  <c r="B31" i="1"/>
  <c r="G31" i="1" s="1"/>
  <c r="B32" i="1"/>
  <c r="G32" i="1" s="1"/>
  <c r="B33" i="1"/>
  <c r="G33" i="1" s="1"/>
  <c r="B34" i="1"/>
  <c r="G34" i="1" s="1"/>
  <c r="B35" i="1"/>
  <c r="G35" i="1" s="1"/>
  <c r="B36" i="1"/>
  <c r="G36" i="1" s="1"/>
  <c r="B37" i="1"/>
  <c r="G37" i="1" s="1"/>
  <c r="B38" i="1"/>
  <c r="G38" i="1" s="1"/>
  <c r="B39" i="1"/>
  <c r="B40" i="1"/>
  <c r="G40" i="1" s="1"/>
  <c r="B41" i="1"/>
  <c r="G41" i="1" s="1"/>
  <c r="B42" i="1"/>
  <c r="B43" i="1"/>
  <c r="G43" i="1" s="1"/>
  <c r="B44" i="1"/>
  <c r="G44" i="1" s="1"/>
  <c r="B45" i="1"/>
  <c r="G45" i="1" s="1"/>
  <c r="B46" i="1"/>
  <c r="G46" i="1" s="1"/>
  <c r="B47" i="1"/>
  <c r="G47" i="1" s="1"/>
  <c r="B48" i="1"/>
  <c r="B49" i="1"/>
  <c r="G49" i="1" s="1"/>
  <c r="B50" i="1"/>
  <c r="G50" i="1" s="1"/>
  <c r="B51" i="1"/>
  <c r="G51" i="1" s="1"/>
  <c r="B52" i="1"/>
  <c r="G52" i="1" s="1"/>
  <c r="B53" i="1"/>
  <c r="G53" i="1" s="1"/>
  <c r="B54" i="1"/>
  <c r="G54" i="1" s="1"/>
  <c r="B55" i="1"/>
  <c r="G55" i="1" s="1"/>
  <c r="B56" i="1"/>
  <c r="G56" i="1" s="1"/>
  <c r="B57" i="1"/>
  <c r="G57" i="1" s="1"/>
  <c r="B58" i="1"/>
  <c r="G58" i="1" s="1"/>
  <c r="B59" i="1"/>
  <c r="G59" i="1" s="1"/>
  <c r="B60" i="1"/>
  <c r="B61" i="1"/>
  <c r="G61" i="1" s="1"/>
  <c r="B62" i="1"/>
  <c r="G62" i="1" s="1"/>
  <c r="B63" i="1"/>
  <c r="G63" i="1" s="1"/>
  <c r="B64" i="1"/>
  <c r="G64" i="1" s="1"/>
  <c r="B65" i="1"/>
  <c r="G65" i="1" s="1"/>
  <c r="B66" i="1"/>
  <c r="B67" i="1"/>
  <c r="G67" i="1" s="1"/>
  <c r="B68" i="1"/>
  <c r="G68" i="1" s="1"/>
  <c r="B69" i="1"/>
  <c r="B70" i="1"/>
  <c r="G70" i="1" s="1"/>
  <c r="B71" i="1"/>
  <c r="B72" i="1"/>
  <c r="G72" i="1" s="1"/>
  <c r="B73" i="1"/>
  <c r="G73" i="1" s="1"/>
  <c r="B74" i="1"/>
  <c r="G74" i="1" s="1"/>
  <c r="B75" i="1"/>
  <c r="G75" i="1" s="1"/>
  <c r="B76" i="1"/>
  <c r="G76" i="1" s="1"/>
  <c r="B77" i="1"/>
  <c r="G77" i="1" s="1"/>
  <c r="B78" i="1"/>
  <c r="B79" i="1"/>
  <c r="G79" i="1" s="1"/>
  <c r="B80" i="1"/>
  <c r="B81" i="1"/>
  <c r="G81" i="1" s="1"/>
  <c r="B82" i="1"/>
  <c r="B83" i="1"/>
  <c r="G83" i="1" s="1"/>
  <c r="B84" i="1"/>
  <c r="B85" i="1"/>
  <c r="G85" i="1" s="1"/>
  <c r="B86" i="1"/>
  <c r="G86" i="1" s="1"/>
  <c r="B87" i="1"/>
  <c r="G87" i="1" s="1"/>
  <c r="B88" i="1"/>
  <c r="G88" i="1" s="1"/>
  <c r="B89" i="1"/>
  <c r="G89" i="1" s="1"/>
  <c r="B90" i="1"/>
  <c r="G90" i="1" s="1"/>
  <c r="B91" i="1"/>
  <c r="B92" i="1"/>
  <c r="G92" i="1" s="1"/>
  <c r="B93" i="1"/>
  <c r="G93" i="1" s="1"/>
  <c r="B94" i="1"/>
  <c r="G94" i="1" s="1"/>
  <c r="B95" i="1"/>
  <c r="G95" i="1" s="1"/>
  <c r="B96" i="1"/>
  <c r="G96" i="1" s="1"/>
  <c r="B97" i="1"/>
  <c r="G97" i="1" s="1"/>
  <c r="B98" i="1"/>
  <c r="G98" i="1" s="1"/>
  <c r="B99" i="1"/>
  <c r="B100" i="1"/>
  <c r="G100" i="1" s="1"/>
  <c r="B101" i="1"/>
  <c r="G101" i="1" s="1"/>
  <c r="B102" i="1"/>
  <c r="G102" i="1" s="1"/>
  <c r="B103" i="1"/>
  <c r="B104" i="1"/>
  <c r="G104" i="1" s="1"/>
  <c r="B105" i="1"/>
  <c r="G105" i="1" s="1"/>
  <c r="B106" i="1"/>
  <c r="G106" i="1" s="1"/>
  <c r="B107" i="1"/>
  <c r="G107" i="1" s="1"/>
  <c r="B108" i="1"/>
  <c r="B109" i="1"/>
  <c r="G109" i="1" s="1"/>
  <c r="B110" i="1"/>
  <c r="G110" i="1" s="1"/>
  <c r="B111" i="1"/>
  <c r="G111" i="1" s="1"/>
  <c r="B112" i="1"/>
  <c r="B113" i="1"/>
  <c r="G113" i="1" s="1"/>
  <c r="B13" i="1"/>
  <c r="G13" i="1" s="1"/>
  <c r="H6" i="1"/>
  <c r="G6" i="1"/>
  <c r="B14" i="1"/>
  <c r="G14" i="1" s="1"/>
  <c r="C298" i="1" l="1"/>
  <c r="D298" i="1" s="1"/>
  <c r="H111" i="1"/>
  <c r="I111" i="1" s="1"/>
  <c r="K111" i="1" s="1"/>
  <c r="H497" i="1"/>
  <c r="I497" i="1" s="1"/>
  <c r="L13" i="1"/>
  <c r="L110" i="1"/>
  <c r="M110" i="1" s="1"/>
  <c r="N110" i="1" s="1"/>
  <c r="O110" i="1" s="1"/>
  <c r="L70" i="1"/>
  <c r="M70" i="1" s="1"/>
  <c r="N70" i="1" s="1"/>
  <c r="L868" i="1"/>
  <c r="M868" i="1" s="1"/>
  <c r="N868" i="1" s="1"/>
  <c r="L74" i="1"/>
  <c r="M74" i="1" s="1"/>
  <c r="N74" i="1" s="1"/>
  <c r="P74" i="1" s="1"/>
  <c r="L964" i="1"/>
  <c r="M964" i="1" s="1"/>
  <c r="N964" i="1" s="1"/>
  <c r="L949" i="1"/>
  <c r="M949" i="1" s="1"/>
  <c r="N949" i="1" s="1"/>
  <c r="H992" i="1"/>
  <c r="I992" i="1" s="1"/>
  <c r="H98" i="1"/>
  <c r="I98" i="1" s="1"/>
  <c r="K98" i="1" s="1"/>
  <c r="L37" i="1"/>
  <c r="M37" i="1" s="1"/>
  <c r="N37" i="1" s="1"/>
  <c r="H900" i="1"/>
  <c r="I900" i="1" s="1"/>
  <c r="K900" i="1" s="1"/>
  <c r="H935" i="1"/>
  <c r="I935" i="1" s="1"/>
  <c r="L895" i="1"/>
  <c r="M895" i="1" s="1"/>
  <c r="N895" i="1" s="1"/>
  <c r="O895" i="1" s="1"/>
  <c r="H601" i="1"/>
  <c r="I601" i="1" s="1"/>
  <c r="J601" i="1" s="1"/>
  <c r="L894" i="1"/>
  <c r="M894" i="1" s="1"/>
  <c r="N894" i="1" s="1"/>
  <c r="O894" i="1" s="1"/>
  <c r="H854" i="1"/>
  <c r="I854" i="1" s="1"/>
  <c r="L827" i="1"/>
  <c r="M827" i="1" s="1"/>
  <c r="N827" i="1" s="1"/>
  <c r="L629" i="1"/>
  <c r="M629" i="1" s="1"/>
  <c r="N629" i="1" s="1"/>
  <c r="O629" i="1" s="1"/>
  <c r="L452" i="1"/>
  <c r="M452" i="1" s="1"/>
  <c r="N452" i="1" s="1"/>
  <c r="H392" i="1"/>
  <c r="I392" i="1" s="1"/>
  <c r="J392" i="1" s="1"/>
  <c r="H908" i="1"/>
  <c r="I908" i="1" s="1"/>
  <c r="L801" i="1"/>
  <c r="M801" i="1" s="1"/>
  <c r="N801" i="1" s="1"/>
  <c r="L451" i="1"/>
  <c r="M451" i="1" s="1"/>
  <c r="N451" i="1" s="1"/>
  <c r="O451" i="1" s="1"/>
  <c r="H70" i="1"/>
  <c r="I70" i="1" s="1"/>
  <c r="K70" i="1" s="1"/>
  <c r="H906" i="1"/>
  <c r="I906" i="1" s="1"/>
  <c r="J906" i="1" s="1"/>
  <c r="L755" i="1"/>
  <c r="M755" i="1" s="1"/>
  <c r="N755" i="1" s="1"/>
  <c r="L656" i="1"/>
  <c r="M656" i="1" s="1"/>
  <c r="N656" i="1" s="1"/>
  <c r="P656" i="1" s="1"/>
  <c r="L274" i="1"/>
  <c r="M274" i="1" s="1"/>
  <c r="N274" i="1" s="1"/>
  <c r="O274" i="1" s="1"/>
  <c r="L261" i="1"/>
  <c r="M261" i="1" s="1"/>
  <c r="N261" i="1" s="1"/>
  <c r="P261" i="1" s="1"/>
  <c r="H55" i="1"/>
  <c r="I55" i="1" s="1"/>
  <c r="J55" i="1" s="1"/>
  <c r="C918" i="1"/>
  <c r="D918" i="1" s="1"/>
  <c r="E918" i="1" s="1"/>
  <c r="L812" i="1"/>
  <c r="M812" i="1" s="1"/>
  <c r="N812" i="1" s="1"/>
  <c r="L81" i="1"/>
  <c r="M81" i="1" s="1"/>
  <c r="N81" i="1" s="1"/>
  <c r="L1013" i="1"/>
  <c r="M1013" i="1" s="1"/>
  <c r="N1013" i="1" s="1"/>
  <c r="O1013" i="1" s="1"/>
  <c r="H999" i="1"/>
  <c r="I999" i="1" s="1"/>
  <c r="L54" i="1"/>
  <c r="M54" i="1" s="1"/>
  <c r="N54" i="1" s="1"/>
  <c r="O54" i="1" s="1"/>
  <c r="C985" i="1"/>
  <c r="D985" i="1" s="1"/>
  <c r="F985" i="1" s="1"/>
  <c r="L67" i="1"/>
  <c r="M67" i="1" s="1"/>
  <c r="N67" i="1" s="1"/>
  <c r="C26" i="1"/>
  <c r="D26" i="1" s="1"/>
  <c r="H916" i="1"/>
  <c r="I916" i="1" s="1"/>
  <c r="L887" i="1"/>
  <c r="M887" i="1" s="1"/>
  <c r="N887" i="1" s="1"/>
  <c r="P887" i="1" s="1"/>
  <c r="C847" i="1"/>
  <c r="D847" i="1" s="1"/>
  <c r="L38" i="1"/>
  <c r="M38" i="1" s="1"/>
  <c r="N38" i="1" s="1"/>
  <c r="O38" i="1" s="1"/>
  <c r="L25" i="1"/>
  <c r="M25" i="1" s="1"/>
  <c r="N25" i="1" s="1"/>
  <c r="O25" i="1" s="1"/>
  <c r="H942" i="1"/>
  <c r="I942" i="1" s="1"/>
  <c r="J942" i="1" s="1"/>
  <c r="H927" i="1"/>
  <c r="I927" i="1" s="1"/>
  <c r="J927" i="1" s="1"/>
  <c r="H65" i="1"/>
  <c r="I65" i="1" s="1"/>
  <c r="J65" i="1" s="1"/>
  <c r="H106" i="1"/>
  <c r="I106" i="1" s="1"/>
  <c r="L832" i="1"/>
  <c r="M832" i="1" s="1"/>
  <c r="N832" i="1" s="1"/>
  <c r="C49" i="1"/>
  <c r="D49" i="1" s="1"/>
  <c r="L981" i="1"/>
  <c r="M981" i="1" s="1"/>
  <c r="N981" i="1" s="1"/>
  <c r="H663" i="1"/>
  <c r="I663" i="1" s="1"/>
  <c r="J663" i="1" s="1"/>
  <c r="L648" i="1"/>
  <c r="M648" i="1" s="1"/>
  <c r="N648" i="1" s="1"/>
  <c r="L483" i="1"/>
  <c r="M483" i="1" s="1"/>
  <c r="N483" i="1" s="1"/>
  <c r="O483" i="1" s="1"/>
  <c r="L89" i="1"/>
  <c r="M89" i="1" s="1"/>
  <c r="N89" i="1" s="1"/>
  <c r="L75" i="1"/>
  <c r="M75" i="1" s="1"/>
  <c r="N75" i="1" s="1"/>
  <c r="L791" i="1"/>
  <c r="M791" i="1" s="1"/>
  <c r="N791" i="1" s="1"/>
  <c r="O791" i="1" s="1"/>
  <c r="H562" i="1"/>
  <c r="I562" i="1" s="1"/>
  <c r="J562" i="1" s="1"/>
  <c r="L562" i="1"/>
  <c r="M562" i="1" s="1"/>
  <c r="N562" i="1" s="1"/>
  <c r="O562" i="1" s="1"/>
  <c r="H876" i="1"/>
  <c r="I876" i="1" s="1"/>
  <c r="J876" i="1" s="1"/>
  <c r="L876" i="1"/>
  <c r="M876" i="1" s="1"/>
  <c r="N876" i="1" s="1"/>
  <c r="O876" i="1" s="1"/>
  <c r="L212" i="1"/>
  <c r="M212" i="1" s="1"/>
  <c r="N212" i="1" s="1"/>
  <c r="O212" i="1" s="1"/>
  <c r="L57" i="1"/>
  <c r="M57" i="1" s="1"/>
  <c r="N57" i="1" s="1"/>
  <c r="O57" i="1" s="1"/>
  <c r="C44" i="1"/>
  <c r="D44" i="1" s="1"/>
  <c r="H15" i="1"/>
  <c r="I15" i="1" s="1"/>
  <c r="C992" i="1"/>
  <c r="D992" i="1" s="1"/>
  <c r="F992" i="1" s="1"/>
  <c r="C958" i="1"/>
  <c r="D958" i="1" s="1"/>
  <c r="F958" i="1" s="1"/>
  <c r="H936" i="1"/>
  <c r="I936" i="1" s="1"/>
  <c r="H907" i="1"/>
  <c r="I907" i="1" s="1"/>
  <c r="L896" i="1"/>
  <c r="M896" i="1" s="1"/>
  <c r="N896" i="1" s="1"/>
  <c r="O896" i="1" s="1"/>
  <c r="C855" i="1"/>
  <c r="D855" i="1" s="1"/>
  <c r="H832" i="1"/>
  <c r="I832" i="1" s="1"/>
  <c r="H803" i="1"/>
  <c r="I803" i="1" s="1"/>
  <c r="J803" i="1" s="1"/>
  <c r="H677" i="1"/>
  <c r="I677" i="1" s="1"/>
  <c r="H628" i="1"/>
  <c r="I628" i="1" s="1"/>
  <c r="K628" i="1" s="1"/>
  <c r="H391" i="1"/>
  <c r="I391" i="1" s="1"/>
  <c r="K391" i="1" s="1"/>
  <c r="H250" i="1"/>
  <c r="I250" i="1" s="1"/>
  <c r="J250" i="1" s="1"/>
  <c r="C137" i="1"/>
  <c r="D137" i="1" s="1"/>
  <c r="E137" i="1" s="1"/>
  <c r="C106" i="1"/>
  <c r="D106" i="1" s="1"/>
  <c r="E106" i="1" s="1"/>
  <c r="C88" i="1"/>
  <c r="D88" i="1" s="1"/>
  <c r="F88" i="1" s="1"/>
  <c r="L56" i="1"/>
  <c r="M56" i="1" s="1"/>
  <c r="N56" i="1" s="1"/>
  <c r="P56" i="1" s="1"/>
  <c r="H44" i="1"/>
  <c r="I44" i="1" s="1"/>
  <c r="J44" i="1" s="1"/>
  <c r="H958" i="1"/>
  <c r="I958" i="1" s="1"/>
  <c r="C935" i="1"/>
  <c r="D935" i="1" s="1"/>
  <c r="L864" i="1"/>
  <c r="M864" i="1" s="1"/>
  <c r="N864" i="1" s="1"/>
  <c r="P864" i="1" s="1"/>
  <c r="H812" i="1"/>
  <c r="I812" i="1" s="1"/>
  <c r="C640" i="1"/>
  <c r="D640" i="1" s="1"/>
  <c r="L628" i="1"/>
  <c r="M628" i="1" s="1"/>
  <c r="N628" i="1" s="1"/>
  <c r="L592" i="1"/>
  <c r="M592" i="1" s="1"/>
  <c r="N592" i="1" s="1"/>
  <c r="P592" i="1" s="1"/>
  <c r="L518" i="1"/>
  <c r="M518" i="1" s="1"/>
  <c r="N518" i="1" s="1"/>
  <c r="O518" i="1" s="1"/>
  <c r="H506" i="1"/>
  <c r="I506" i="1" s="1"/>
  <c r="J506" i="1" s="1"/>
  <c r="C390" i="1"/>
  <c r="D390" i="1" s="1"/>
  <c r="H287" i="1"/>
  <c r="I287" i="1" s="1"/>
  <c r="K287" i="1" s="1"/>
  <c r="L262" i="1"/>
  <c r="M262" i="1" s="1"/>
  <c r="N262" i="1" s="1"/>
  <c r="O262" i="1" s="1"/>
  <c r="L148" i="1"/>
  <c r="M148" i="1" s="1"/>
  <c r="N148" i="1" s="1"/>
  <c r="O148" i="1" s="1"/>
  <c r="H404" i="1"/>
  <c r="I404" i="1" s="1"/>
  <c r="J404" i="1" s="1"/>
  <c r="L234" i="1"/>
  <c r="M234" i="1" s="1"/>
  <c r="N234" i="1" s="1"/>
  <c r="H563" i="1"/>
  <c r="I563" i="1" s="1"/>
  <c r="K563" i="1" s="1"/>
  <c r="L403" i="1"/>
  <c r="M403" i="1" s="1"/>
  <c r="N403" i="1" s="1"/>
  <c r="O403" i="1" s="1"/>
  <c r="L945" i="1"/>
  <c r="M945" i="1" s="1"/>
  <c r="N945" i="1" s="1"/>
  <c r="H923" i="1"/>
  <c r="I923" i="1" s="1"/>
  <c r="C790" i="1"/>
  <c r="D790" i="1" s="1"/>
  <c r="C725" i="1"/>
  <c r="D725" i="1" s="1"/>
  <c r="C516" i="1"/>
  <c r="D516" i="1" s="1"/>
  <c r="E516" i="1" s="1"/>
  <c r="H430" i="1"/>
  <c r="I430" i="1" s="1"/>
  <c r="J430" i="1" s="1"/>
  <c r="L145" i="1"/>
  <c r="M145" i="1" s="1"/>
  <c r="N145" i="1" s="1"/>
  <c r="C1000" i="1"/>
  <c r="D1000" i="1" s="1"/>
  <c r="E1000" i="1" s="1"/>
  <c r="L922" i="1"/>
  <c r="M922" i="1" s="1"/>
  <c r="N922" i="1" s="1"/>
  <c r="L830" i="1"/>
  <c r="M830" i="1" s="1"/>
  <c r="N830" i="1" s="1"/>
  <c r="P830" i="1" s="1"/>
  <c r="H819" i="1"/>
  <c r="I819" i="1" s="1"/>
  <c r="H810" i="1"/>
  <c r="I810" i="1" s="1"/>
  <c r="K810" i="1" s="1"/>
  <c r="C764" i="1"/>
  <c r="D764" i="1" s="1"/>
  <c r="E764" i="1" s="1"/>
  <c r="H673" i="1"/>
  <c r="I673" i="1" s="1"/>
  <c r="C295" i="1"/>
  <c r="D295" i="1" s="1"/>
  <c r="F295" i="1" s="1"/>
  <c r="C105" i="1"/>
  <c r="D105" i="1" s="1"/>
  <c r="C895" i="1"/>
  <c r="D895" i="1" s="1"/>
  <c r="C832" i="1"/>
  <c r="D832" i="1" s="1"/>
  <c r="C802" i="1"/>
  <c r="D802" i="1" s="1"/>
  <c r="E802" i="1" s="1"/>
  <c r="H74" i="1"/>
  <c r="I74" i="1" s="1"/>
  <c r="C934" i="1"/>
  <c r="D934" i="1" s="1"/>
  <c r="H674" i="1"/>
  <c r="I674" i="1" s="1"/>
  <c r="K674" i="1" s="1"/>
  <c r="L883" i="1"/>
  <c r="M883" i="1" s="1"/>
  <c r="N883" i="1" s="1"/>
  <c r="L33" i="1"/>
  <c r="M33" i="1" s="1"/>
  <c r="N33" i="1" s="1"/>
  <c r="O33" i="1" s="1"/>
  <c r="C22" i="1"/>
  <c r="D22" i="1" s="1"/>
  <c r="F22" i="1" s="1"/>
  <c r="L1010" i="1"/>
  <c r="M1010" i="1" s="1"/>
  <c r="N1010" i="1" s="1"/>
  <c r="O1010" i="1" s="1"/>
  <c r="L932" i="1"/>
  <c r="M932" i="1" s="1"/>
  <c r="N932" i="1" s="1"/>
  <c r="P932" i="1" s="1"/>
  <c r="C913" i="1"/>
  <c r="D913" i="1" s="1"/>
  <c r="F913" i="1" s="1"/>
  <c r="C862" i="1"/>
  <c r="D862" i="1" s="1"/>
  <c r="C840" i="1"/>
  <c r="D840" i="1" s="1"/>
  <c r="L829" i="1"/>
  <c r="M829" i="1" s="1"/>
  <c r="N829" i="1" s="1"/>
  <c r="O829" i="1" s="1"/>
  <c r="C819" i="1"/>
  <c r="D819" i="1" s="1"/>
  <c r="C776" i="1"/>
  <c r="D776" i="1" s="1"/>
  <c r="L764" i="1"/>
  <c r="M764" i="1" s="1"/>
  <c r="N764" i="1" s="1"/>
  <c r="H587" i="1"/>
  <c r="I587" i="1" s="1"/>
  <c r="H319" i="1"/>
  <c r="I319" i="1" s="1"/>
  <c r="J319" i="1" s="1"/>
  <c r="H304" i="1"/>
  <c r="I304" i="1" s="1"/>
  <c r="L282" i="1"/>
  <c r="M282" i="1" s="1"/>
  <c r="N282" i="1" s="1"/>
  <c r="P282" i="1" s="1"/>
  <c r="L156" i="1"/>
  <c r="M156" i="1" s="1"/>
  <c r="N156" i="1" s="1"/>
  <c r="C65" i="1"/>
  <c r="D65" i="1" s="1"/>
  <c r="H43" i="1"/>
  <c r="I43" i="1" s="1"/>
  <c r="C980" i="1"/>
  <c r="D980" i="1" s="1"/>
  <c r="E980" i="1" s="1"/>
  <c r="H894" i="1"/>
  <c r="I894" i="1" s="1"/>
  <c r="J894" i="1" s="1"/>
  <c r="H802" i="1"/>
  <c r="I802" i="1" s="1"/>
  <c r="J802" i="1" s="1"/>
  <c r="C33" i="1"/>
  <c r="D33" i="1" s="1"/>
  <c r="E33" i="1" s="1"/>
  <c r="C95" i="1"/>
  <c r="D95" i="1" s="1"/>
  <c r="E95" i="1" s="1"/>
  <c r="L32" i="1"/>
  <c r="M32" i="1" s="1"/>
  <c r="N32" i="1" s="1"/>
  <c r="O32" i="1" s="1"/>
  <c r="L22" i="1"/>
  <c r="M22" i="1" s="1"/>
  <c r="N22" i="1" s="1"/>
  <c r="C965" i="1"/>
  <c r="D965" i="1" s="1"/>
  <c r="H922" i="1"/>
  <c r="I922" i="1" s="1"/>
  <c r="J922" i="1" s="1"/>
  <c r="L913" i="1"/>
  <c r="M913" i="1" s="1"/>
  <c r="N913" i="1" s="1"/>
  <c r="H902" i="1"/>
  <c r="I902" i="1" s="1"/>
  <c r="C883" i="1"/>
  <c r="D883" i="1" s="1"/>
  <c r="L871" i="1"/>
  <c r="M871" i="1" s="1"/>
  <c r="N871" i="1" s="1"/>
  <c r="O871" i="1" s="1"/>
  <c r="H861" i="1"/>
  <c r="I861" i="1" s="1"/>
  <c r="K861" i="1" s="1"/>
  <c r="L840" i="1"/>
  <c r="M840" i="1" s="1"/>
  <c r="N840" i="1" s="1"/>
  <c r="O840" i="1" s="1"/>
  <c r="L828" i="1"/>
  <c r="M828" i="1" s="1"/>
  <c r="N828" i="1" s="1"/>
  <c r="P828" i="1" s="1"/>
  <c r="L611" i="1"/>
  <c r="M611" i="1" s="1"/>
  <c r="N611" i="1" s="1"/>
  <c r="O611" i="1" s="1"/>
  <c r="H464" i="1"/>
  <c r="I464" i="1" s="1"/>
  <c r="K464" i="1" s="1"/>
  <c r="C441" i="1"/>
  <c r="D441" i="1" s="1"/>
  <c r="E441" i="1" s="1"/>
  <c r="C112" i="1"/>
  <c r="D112" i="1" s="1"/>
  <c r="F112" i="1" s="1"/>
  <c r="H95" i="1"/>
  <c r="I95" i="1" s="1"/>
  <c r="K95" i="1" s="1"/>
  <c r="L62" i="1"/>
  <c r="M62" i="1" s="1"/>
  <c r="N62" i="1" s="1"/>
  <c r="O62" i="1" s="1"/>
  <c r="H21" i="1"/>
  <c r="I21" i="1" s="1"/>
  <c r="C1008" i="1"/>
  <c r="D1008" i="1" s="1"/>
  <c r="E1008" i="1" s="1"/>
  <c r="H892" i="1"/>
  <c r="I892" i="1" s="1"/>
  <c r="H883" i="1"/>
  <c r="I883" i="1" s="1"/>
  <c r="H827" i="1"/>
  <c r="I827" i="1" s="1"/>
  <c r="C775" i="1"/>
  <c r="D775" i="1" s="1"/>
  <c r="F775" i="1" s="1"/>
  <c r="L735" i="1"/>
  <c r="M735" i="1" s="1"/>
  <c r="N735" i="1" s="1"/>
  <c r="P735" i="1" s="1"/>
  <c r="L657" i="1"/>
  <c r="M657" i="1" s="1"/>
  <c r="N657" i="1" s="1"/>
  <c r="P657" i="1" s="1"/>
  <c r="C647" i="1"/>
  <c r="D647" i="1" s="1"/>
  <c r="F647" i="1" s="1"/>
  <c r="H573" i="1"/>
  <c r="I573" i="1" s="1"/>
  <c r="J573" i="1" s="1"/>
  <c r="H440" i="1"/>
  <c r="I440" i="1" s="1"/>
  <c r="J440" i="1" s="1"/>
  <c r="L303" i="1"/>
  <c r="M303" i="1" s="1"/>
  <c r="N303" i="1" s="1"/>
  <c r="O303" i="1" s="1"/>
  <c r="L180" i="1"/>
  <c r="M180" i="1" s="1"/>
  <c r="N180" i="1" s="1"/>
  <c r="O180" i="1" s="1"/>
  <c r="C1013" i="1"/>
  <c r="D1013" i="1" s="1"/>
  <c r="E1013" i="1" s="1"/>
  <c r="C55" i="1"/>
  <c r="D55" i="1" s="1"/>
  <c r="E55" i="1" s="1"/>
  <c r="H831" i="1"/>
  <c r="I831" i="1" s="1"/>
  <c r="J831" i="1" s="1"/>
  <c r="L790" i="1"/>
  <c r="M790" i="1" s="1"/>
  <c r="N790" i="1" s="1"/>
  <c r="H61" i="1"/>
  <c r="I61" i="1" s="1"/>
  <c r="J61" i="1" s="1"/>
  <c r="L50" i="1"/>
  <c r="M50" i="1" s="1"/>
  <c r="N50" i="1" s="1"/>
  <c r="O50" i="1" s="1"/>
  <c r="H31" i="1"/>
  <c r="I31" i="1" s="1"/>
  <c r="E985" i="1"/>
  <c r="C964" i="1"/>
  <c r="D964" i="1" s="1"/>
  <c r="L951" i="1"/>
  <c r="M951" i="1" s="1"/>
  <c r="N951" i="1" s="1"/>
  <c r="O951" i="1" s="1"/>
  <c r="C942" i="1"/>
  <c r="D942" i="1" s="1"/>
  <c r="L891" i="1"/>
  <c r="M891" i="1" s="1"/>
  <c r="N891" i="1" s="1"/>
  <c r="O891" i="1" s="1"/>
  <c r="L848" i="1"/>
  <c r="M848" i="1" s="1"/>
  <c r="N848" i="1" s="1"/>
  <c r="P848" i="1" s="1"/>
  <c r="C827" i="1"/>
  <c r="D827" i="1" s="1"/>
  <c r="F827" i="1" s="1"/>
  <c r="H807" i="1"/>
  <c r="I807" i="1" s="1"/>
  <c r="K807" i="1" s="1"/>
  <c r="L748" i="1"/>
  <c r="M748" i="1" s="1"/>
  <c r="N748" i="1" s="1"/>
  <c r="O748" i="1" s="1"/>
  <c r="C683" i="1"/>
  <c r="D683" i="1" s="1"/>
  <c r="H462" i="1"/>
  <c r="I462" i="1" s="1"/>
  <c r="K462" i="1" s="1"/>
  <c r="L340" i="1"/>
  <c r="M340" i="1" s="1"/>
  <c r="N340" i="1" s="1"/>
  <c r="H474" i="1"/>
  <c r="I474" i="1" s="1"/>
  <c r="H354" i="1"/>
  <c r="I354" i="1" s="1"/>
  <c r="J354" i="1" s="1"/>
  <c r="C178" i="1"/>
  <c r="D178" i="1" s="1"/>
  <c r="L486" i="1"/>
  <c r="M486" i="1" s="1"/>
  <c r="N486" i="1" s="1"/>
  <c r="C797" i="1"/>
  <c r="D797" i="1" s="1"/>
  <c r="H868" i="1"/>
  <c r="I868" i="1" s="1"/>
  <c r="J868" i="1" s="1"/>
  <c r="H783" i="1"/>
  <c r="I783" i="1" s="1"/>
  <c r="K783" i="1" s="1"/>
  <c r="L558" i="1"/>
  <c r="M558" i="1" s="1"/>
  <c r="N558" i="1" s="1"/>
  <c r="O558" i="1" s="1"/>
  <c r="C99" i="1"/>
  <c r="D99" i="1" s="1"/>
  <c r="F99" i="1" s="1"/>
  <c r="L61" i="1"/>
  <c r="M61" i="1" s="1"/>
  <c r="N61" i="1" s="1"/>
  <c r="O61" i="1" s="1"/>
  <c r="H38" i="1"/>
  <c r="I38" i="1" s="1"/>
  <c r="H949" i="1"/>
  <c r="I949" i="1" s="1"/>
  <c r="K949" i="1" s="1"/>
  <c r="H928" i="1"/>
  <c r="I928" i="1" s="1"/>
  <c r="L910" i="1"/>
  <c r="M910" i="1" s="1"/>
  <c r="N910" i="1" s="1"/>
  <c r="H888" i="1"/>
  <c r="I888" i="1" s="1"/>
  <c r="K888" i="1" s="1"/>
  <c r="C868" i="1"/>
  <c r="D868" i="1" s="1"/>
  <c r="C846" i="1"/>
  <c r="D846" i="1" s="1"/>
  <c r="E846" i="1" s="1"/>
  <c r="C796" i="1"/>
  <c r="D796" i="1" s="1"/>
  <c r="C783" i="1"/>
  <c r="D783" i="1" s="1"/>
  <c r="L746" i="1"/>
  <c r="M746" i="1" s="1"/>
  <c r="N746" i="1" s="1"/>
  <c r="C655" i="1"/>
  <c r="D655" i="1" s="1"/>
  <c r="C619" i="1"/>
  <c r="D619" i="1" s="1"/>
  <c r="E619" i="1" s="1"/>
  <c r="C545" i="1"/>
  <c r="D545" i="1" s="1"/>
  <c r="H352" i="1"/>
  <c r="I352" i="1" s="1"/>
  <c r="K352" i="1" s="1"/>
  <c r="C807" i="1"/>
  <c r="D807" i="1" s="1"/>
  <c r="F807" i="1" s="1"/>
  <c r="H49" i="1"/>
  <c r="I49" i="1" s="1"/>
  <c r="J49" i="1" s="1"/>
  <c r="H1006" i="1"/>
  <c r="I1006" i="1" s="1"/>
  <c r="K1006" i="1" s="1"/>
  <c r="H889" i="1"/>
  <c r="I889" i="1" s="1"/>
  <c r="J889" i="1" s="1"/>
  <c r="L796" i="1"/>
  <c r="M796" i="1" s="1"/>
  <c r="N796" i="1" s="1"/>
  <c r="O796" i="1" s="1"/>
  <c r="C27" i="1"/>
  <c r="D27" i="1" s="1"/>
  <c r="C972" i="1"/>
  <c r="D972" i="1" s="1"/>
  <c r="E972" i="1" s="1"/>
  <c r="H909" i="1"/>
  <c r="I909" i="1" s="1"/>
  <c r="H845" i="1"/>
  <c r="I845" i="1" s="1"/>
  <c r="L783" i="1"/>
  <c r="M783" i="1" s="1"/>
  <c r="N783" i="1" s="1"/>
  <c r="L758" i="1"/>
  <c r="M758" i="1" s="1"/>
  <c r="N758" i="1" s="1"/>
  <c r="O758" i="1" s="1"/>
  <c r="L581" i="1"/>
  <c r="M581" i="1" s="1"/>
  <c r="N581" i="1" s="1"/>
  <c r="C61" i="1"/>
  <c r="D61" i="1" s="1"/>
  <c r="F61" i="1" s="1"/>
  <c r="H974" i="1"/>
  <c r="I974" i="1" s="1"/>
  <c r="J974" i="1" s="1"/>
  <c r="C928" i="1"/>
  <c r="D928" i="1" s="1"/>
  <c r="C900" i="1"/>
  <c r="D900" i="1" s="1"/>
  <c r="E900" i="1" s="1"/>
  <c r="L846" i="1"/>
  <c r="M846" i="1" s="1"/>
  <c r="N846" i="1" s="1"/>
  <c r="O846" i="1" s="1"/>
  <c r="L807" i="1"/>
  <c r="M807" i="1" s="1"/>
  <c r="N807" i="1" s="1"/>
  <c r="O807" i="1" s="1"/>
  <c r="L90" i="1"/>
  <c r="M90" i="1" s="1"/>
  <c r="N90" i="1" s="1"/>
  <c r="P90" i="1" s="1"/>
  <c r="L46" i="1"/>
  <c r="M46" i="1" s="1"/>
  <c r="N46" i="1" s="1"/>
  <c r="O46" i="1" s="1"/>
  <c r="L27" i="1"/>
  <c r="M27" i="1" s="1"/>
  <c r="N27" i="1" s="1"/>
  <c r="O27" i="1" s="1"/>
  <c r="C908" i="1"/>
  <c r="D908" i="1" s="1"/>
  <c r="E908" i="1" s="1"/>
  <c r="L878" i="1"/>
  <c r="M878" i="1" s="1"/>
  <c r="N878" i="1" s="1"/>
  <c r="O878" i="1" s="1"/>
  <c r="L757" i="1"/>
  <c r="M757" i="1" s="1"/>
  <c r="N757" i="1" s="1"/>
  <c r="C705" i="1"/>
  <c r="D705" i="1" s="1"/>
  <c r="C629" i="1"/>
  <c r="D629" i="1" s="1"/>
  <c r="F629" i="1" s="1"/>
  <c r="H918" i="1"/>
  <c r="I918" i="1" s="1"/>
  <c r="L918" i="1"/>
  <c r="M918" i="1" s="1"/>
  <c r="N918" i="1" s="1"/>
  <c r="H754" i="1"/>
  <c r="I754" i="1" s="1"/>
  <c r="J754" i="1" s="1"/>
  <c r="L754" i="1"/>
  <c r="M754" i="1" s="1"/>
  <c r="N754" i="1" s="1"/>
  <c r="O754" i="1" s="1"/>
  <c r="H787" i="1"/>
  <c r="I787" i="1" s="1"/>
  <c r="K787" i="1" s="1"/>
  <c r="L787" i="1"/>
  <c r="M787" i="1" s="1"/>
  <c r="N787" i="1" s="1"/>
  <c r="O787" i="1" s="1"/>
  <c r="H1008" i="1"/>
  <c r="I1008" i="1" s="1"/>
  <c r="J1008" i="1" s="1"/>
  <c r="L1008" i="1"/>
  <c r="M1008" i="1" s="1"/>
  <c r="N1008" i="1" s="1"/>
  <c r="P1008" i="1" s="1"/>
  <c r="H47" i="1"/>
  <c r="I47" i="1" s="1"/>
  <c r="L47" i="1"/>
  <c r="M47" i="1" s="1"/>
  <c r="N47" i="1" s="1"/>
  <c r="P47" i="1" s="1"/>
  <c r="H136" i="1"/>
  <c r="I136" i="1" s="1"/>
  <c r="J136" i="1" s="1"/>
  <c r="L136" i="1"/>
  <c r="M136" i="1" s="1"/>
  <c r="N136" i="1" s="1"/>
  <c r="P136" i="1" s="1"/>
  <c r="H148" i="1"/>
  <c r="I148" i="1" s="1"/>
  <c r="J148" i="1" s="1"/>
  <c r="H221" i="1"/>
  <c r="I221" i="1" s="1"/>
  <c r="H261" i="1"/>
  <c r="I261" i="1" s="1"/>
  <c r="H452" i="1"/>
  <c r="I452" i="1" s="1"/>
  <c r="H545" i="1"/>
  <c r="I545" i="1" s="1"/>
  <c r="H579" i="1"/>
  <c r="I579" i="1" s="1"/>
  <c r="J579" i="1" s="1"/>
  <c r="H193" i="1"/>
  <c r="I193" i="1" s="1"/>
  <c r="L210" i="1"/>
  <c r="M210" i="1" s="1"/>
  <c r="N210" i="1" s="1"/>
  <c r="O210" i="1" s="1"/>
  <c r="H403" i="1"/>
  <c r="I403" i="1" s="1"/>
  <c r="K403" i="1" s="1"/>
  <c r="H447" i="1"/>
  <c r="I447" i="1" s="1"/>
  <c r="J447" i="1" s="1"/>
  <c r="H132" i="1"/>
  <c r="I132" i="1" s="1"/>
  <c r="J132" i="1" s="1"/>
  <c r="H234" i="1"/>
  <c r="I234" i="1" s="1"/>
  <c r="J234" i="1" s="1"/>
  <c r="H295" i="1"/>
  <c r="I295" i="1" s="1"/>
  <c r="H336" i="1"/>
  <c r="I336" i="1" s="1"/>
  <c r="H371" i="1"/>
  <c r="I371" i="1" s="1"/>
  <c r="H524" i="1"/>
  <c r="I524" i="1" s="1"/>
  <c r="K524" i="1" s="1"/>
  <c r="H748" i="1"/>
  <c r="I748" i="1" s="1"/>
  <c r="K748" i="1" s="1"/>
  <c r="H262" i="1"/>
  <c r="I262" i="1" s="1"/>
  <c r="H326" i="1"/>
  <c r="I326" i="1" s="1"/>
  <c r="K326" i="1" s="1"/>
  <c r="H480" i="1"/>
  <c r="I480" i="1" s="1"/>
  <c r="H161" i="1"/>
  <c r="I161" i="1" s="1"/>
  <c r="H228" i="1"/>
  <c r="I228" i="1" s="1"/>
  <c r="J228" i="1" s="1"/>
  <c r="H289" i="1"/>
  <c r="I289" i="1" s="1"/>
  <c r="H442" i="1"/>
  <c r="I442" i="1" s="1"/>
  <c r="J442" i="1" s="1"/>
  <c r="H300" i="1"/>
  <c r="I300" i="1" s="1"/>
  <c r="J300" i="1" s="1"/>
  <c r="H500" i="1"/>
  <c r="I500" i="1" s="1"/>
  <c r="J500" i="1" s="1"/>
  <c r="H661" i="1"/>
  <c r="I661" i="1" s="1"/>
  <c r="J661" i="1" s="1"/>
  <c r="H735" i="1"/>
  <c r="I735" i="1" s="1"/>
  <c r="J735" i="1" s="1"/>
  <c r="H139" i="1"/>
  <c r="I139" i="1" s="1"/>
  <c r="K139" i="1" s="1"/>
  <c r="H145" i="1"/>
  <c r="I145" i="1" s="1"/>
  <c r="K145" i="1" s="1"/>
  <c r="H212" i="1"/>
  <c r="I212" i="1" s="1"/>
  <c r="J212" i="1" s="1"/>
  <c r="H243" i="1"/>
  <c r="I243" i="1" s="1"/>
  <c r="J243" i="1" s="1"/>
  <c r="H644" i="1"/>
  <c r="I644" i="1" s="1"/>
  <c r="H675" i="1"/>
  <c r="I675" i="1" s="1"/>
  <c r="J675" i="1" s="1"/>
  <c r="H680" i="1"/>
  <c r="I680" i="1" s="1"/>
  <c r="H155" i="1"/>
  <c r="I155" i="1" s="1"/>
  <c r="H218" i="1"/>
  <c r="I218" i="1" s="1"/>
  <c r="H351" i="1"/>
  <c r="I351" i="1" s="1"/>
  <c r="J351" i="1" s="1"/>
  <c r="L680" i="1"/>
  <c r="M680" i="1" s="1"/>
  <c r="N680" i="1" s="1"/>
  <c r="L218" i="1"/>
  <c r="M218" i="1" s="1"/>
  <c r="N218" i="1" s="1"/>
  <c r="P218" i="1" s="1"/>
  <c r="H290" i="1"/>
  <c r="I290" i="1" s="1"/>
  <c r="L301" i="1"/>
  <c r="M301" i="1" s="1"/>
  <c r="N301" i="1" s="1"/>
  <c r="P301" i="1" s="1"/>
  <c r="H315" i="1"/>
  <c r="I315" i="1" s="1"/>
  <c r="H129" i="1"/>
  <c r="I129" i="1" s="1"/>
  <c r="K129" i="1" s="1"/>
  <c r="H188" i="1"/>
  <c r="I188" i="1" s="1"/>
  <c r="K188" i="1" s="1"/>
  <c r="H195" i="1"/>
  <c r="I195" i="1" s="1"/>
  <c r="J195" i="1" s="1"/>
  <c r="L332" i="1"/>
  <c r="M332" i="1" s="1"/>
  <c r="N332" i="1" s="1"/>
  <c r="P332" i="1" s="1"/>
  <c r="L374" i="1"/>
  <c r="M374" i="1" s="1"/>
  <c r="N374" i="1" s="1"/>
  <c r="P374" i="1" s="1"/>
  <c r="H380" i="1"/>
  <c r="I380" i="1" s="1"/>
  <c r="J380" i="1" s="1"/>
  <c r="H439" i="1"/>
  <c r="I439" i="1" s="1"/>
  <c r="H116" i="1"/>
  <c r="I116" i="1" s="1"/>
  <c r="H595" i="1"/>
  <c r="I595" i="1" s="1"/>
  <c r="J595" i="1" s="1"/>
  <c r="H645" i="1"/>
  <c r="I645" i="1" s="1"/>
  <c r="H515" i="1"/>
  <c r="I515" i="1" s="1"/>
  <c r="K515" i="1" s="1"/>
  <c r="H561" i="1"/>
  <c r="I561" i="1" s="1"/>
  <c r="H664" i="1"/>
  <c r="I664" i="1" s="1"/>
  <c r="K664" i="1" s="1"/>
  <c r="H504" i="1"/>
  <c r="I504" i="1" s="1"/>
  <c r="K504" i="1" s="1"/>
  <c r="H556" i="1"/>
  <c r="I556" i="1" s="1"/>
  <c r="K556" i="1" s="1"/>
  <c r="H689" i="1"/>
  <c r="I689" i="1" s="1"/>
  <c r="K689" i="1" s="1"/>
  <c r="H274" i="1"/>
  <c r="I274" i="1" s="1"/>
  <c r="H483" i="1"/>
  <c r="I483" i="1" s="1"/>
  <c r="J483" i="1" s="1"/>
  <c r="H654" i="1"/>
  <c r="I654" i="1" s="1"/>
  <c r="H698" i="1"/>
  <c r="I698" i="1" s="1"/>
  <c r="K698" i="1" s="1"/>
  <c r="H732" i="1"/>
  <c r="I732" i="1" s="1"/>
  <c r="K732" i="1" s="1"/>
  <c r="C70" i="1"/>
  <c r="D70" i="1" s="1"/>
  <c r="C54" i="1"/>
  <c r="D54" i="1" s="1"/>
  <c r="F54" i="1" s="1"/>
  <c r="C43" i="1"/>
  <c r="D43" i="1" s="1"/>
  <c r="E43" i="1" s="1"/>
  <c r="C38" i="1"/>
  <c r="D38" i="1" s="1"/>
  <c r="C32" i="1"/>
  <c r="D32" i="1" s="1"/>
  <c r="C984" i="1"/>
  <c r="D984" i="1" s="1"/>
  <c r="E984" i="1" s="1"/>
  <c r="C963" i="1"/>
  <c r="D963" i="1" s="1"/>
  <c r="L948" i="1"/>
  <c r="M948" i="1" s="1"/>
  <c r="N948" i="1" s="1"/>
  <c r="O948" i="1" s="1"/>
  <c r="C933" i="1"/>
  <c r="D933" i="1" s="1"/>
  <c r="C917" i="1"/>
  <c r="D917" i="1" s="1"/>
  <c r="F917" i="1" s="1"/>
  <c r="C906" i="1"/>
  <c r="D906" i="1" s="1"/>
  <c r="E906" i="1" s="1"/>
  <c r="L899" i="1"/>
  <c r="M899" i="1" s="1"/>
  <c r="N899" i="1" s="1"/>
  <c r="P899" i="1" s="1"/>
  <c r="L888" i="1"/>
  <c r="M888" i="1" s="1"/>
  <c r="N888" i="1" s="1"/>
  <c r="O888" i="1" s="1"/>
  <c r="C861" i="1"/>
  <c r="D861" i="1" s="1"/>
  <c r="C845" i="1"/>
  <c r="D845" i="1" s="1"/>
  <c r="E845" i="1" s="1"/>
  <c r="H838" i="1"/>
  <c r="I838" i="1" s="1"/>
  <c r="K838" i="1" s="1"/>
  <c r="C831" i="1"/>
  <c r="D831" i="1" s="1"/>
  <c r="H818" i="1"/>
  <c r="I818" i="1" s="1"/>
  <c r="J818" i="1" s="1"/>
  <c r="C812" i="1"/>
  <c r="D812" i="1" s="1"/>
  <c r="H805" i="1"/>
  <c r="I805" i="1" s="1"/>
  <c r="H801" i="1"/>
  <c r="I801" i="1" s="1"/>
  <c r="K801" i="1" s="1"/>
  <c r="C795" i="1"/>
  <c r="D795" i="1" s="1"/>
  <c r="C781" i="1"/>
  <c r="D781" i="1" s="1"/>
  <c r="C774" i="1"/>
  <c r="D774" i="1" s="1"/>
  <c r="E774" i="1" s="1"/>
  <c r="H763" i="1"/>
  <c r="I763" i="1" s="1"/>
  <c r="C745" i="1"/>
  <c r="D745" i="1" s="1"/>
  <c r="F745" i="1" s="1"/>
  <c r="C733" i="1"/>
  <c r="D733" i="1" s="1"/>
  <c r="E733" i="1" s="1"/>
  <c r="G733" i="1"/>
  <c r="L733" i="1" s="1"/>
  <c r="M733" i="1" s="1"/>
  <c r="N733" i="1" s="1"/>
  <c r="C723" i="1"/>
  <c r="D723" i="1" s="1"/>
  <c r="F723" i="1" s="1"/>
  <c r="C713" i="1"/>
  <c r="D713" i="1" s="1"/>
  <c r="G713" i="1"/>
  <c r="H713" i="1" s="1"/>
  <c r="I713" i="1" s="1"/>
  <c r="C681" i="1"/>
  <c r="D681" i="1" s="1"/>
  <c r="F681" i="1" s="1"/>
  <c r="L654" i="1"/>
  <c r="M654" i="1" s="1"/>
  <c r="N654" i="1" s="1"/>
  <c r="C627" i="1"/>
  <c r="D627" i="1" s="1"/>
  <c r="E627" i="1" s="1"/>
  <c r="C617" i="1"/>
  <c r="D617" i="1" s="1"/>
  <c r="H599" i="1"/>
  <c r="I599" i="1" s="1"/>
  <c r="C590" i="1"/>
  <c r="D590" i="1" s="1"/>
  <c r="E590" i="1" s="1"/>
  <c r="L579" i="1"/>
  <c r="M579" i="1" s="1"/>
  <c r="N579" i="1" s="1"/>
  <c r="P579" i="1" s="1"/>
  <c r="C572" i="1"/>
  <c r="D572" i="1" s="1"/>
  <c r="C562" i="1"/>
  <c r="D562" i="1" s="1"/>
  <c r="C553" i="1"/>
  <c r="D553" i="1" s="1"/>
  <c r="L542" i="1"/>
  <c r="M542" i="1" s="1"/>
  <c r="N542" i="1" s="1"/>
  <c r="O542" i="1" s="1"/>
  <c r="H533" i="1"/>
  <c r="I533" i="1" s="1"/>
  <c r="K533" i="1" s="1"/>
  <c r="L524" i="1"/>
  <c r="M524" i="1" s="1"/>
  <c r="N524" i="1" s="1"/>
  <c r="O524" i="1" s="1"/>
  <c r="L515" i="1"/>
  <c r="M515" i="1" s="1"/>
  <c r="N515" i="1" s="1"/>
  <c r="P515" i="1" s="1"/>
  <c r="L497" i="1"/>
  <c r="M497" i="1" s="1"/>
  <c r="N497" i="1" s="1"/>
  <c r="C471" i="1"/>
  <c r="D471" i="1" s="1"/>
  <c r="E471" i="1" s="1"/>
  <c r="L439" i="1"/>
  <c r="M439" i="1" s="1"/>
  <c r="N439" i="1" s="1"/>
  <c r="O439" i="1" s="1"/>
  <c r="C427" i="1"/>
  <c r="D427" i="1" s="1"/>
  <c r="H365" i="1"/>
  <c r="I365" i="1" s="1"/>
  <c r="L315" i="1"/>
  <c r="M315" i="1" s="1"/>
  <c r="N315" i="1" s="1"/>
  <c r="O315" i="1" s="1"/>
  <c r="H303" i="1"/>
  <c r="I303" i="1" s="1"/>
  <c r="K303" i="1" s="1"/>
  <c r="C233" i="1"/>
  <c r="D233" i="1" s="1"/>
  <c r="L221" i="1"/>
  <c r="M221" i="1" s="1"/>
  <c r="N221" i="1" s="1"/>
  <c r="P221" i="1" s="1"/>
  <c r="H210" i="1"/>
  <c r="I210" i="1" s="1"/>
  <c r="L200" i="1"/>
  <c r="M200" i="1" s="1"/>
  <c r="N200" i="1" s="1"/>
  <c r="P200" i="1" s="1"/>
  <c r="H177" i="1"/>
  <c r="I177" i="1" s="1"/>
  <c r="H164" i="1"/>
  <c r="I164" i="1" s="1"/>
  <c r="J164" i="1" s="1"/>
  <c r="H153" i="1"/>
  <c r="I153" i="1" s="1"/>
  <c r="J153" i="1" s="1"/>
  <c r="C21" i="1"/>
  <c r="D21" i="1" s="1"/>
  <c r="F21" i="1" s="1"/>
  <c r="C734" i="1"/>
  <c r="D734" i="1" s="1"/>
  <c r="E734" i="1" s="1"/>
  <c r="G734" i="1"/>
  <c r="C111" i="1"/>
  <c r="D111" i="1" s="1"/>
  <c r="L98" i="1"/>
  <c r="M98" i="1" s="1"/>
  <c r="N98" i="1" s="1"/>
  <c r="P98" i="1" s="1"/>
  <c r="C94" i="1"/>
  <c r="D94" i="1" s="1"/>
  <c r="E94" i="1" s="1"/>
  <c r="C104" i="1"/>
  <c r="D104" i="1" s="1"/>
  <c r="E104" i="1" s="1"/>
  <c r="C98" i="1"/>
  <c r="D98" i="1" s="1"/>
  <c r="E98" i="1" s="1"/>
  <c r="C64" i="1"/>
  <c r="D64" i="1" s="1"/>
  <c r="E64" i="1" s="1"/>
  <c r="L43" i="1"/>
  <c r="M43" i="1" s="1"/>
  <c r="N43" i="1" s="1"/>
  <c r="C25" i="1"/>
  <c r="D25" i="1" s="1"/>
  <c r="E25" i="1" s="1"/>
  <c r="C1006" i="1"/>
  <c r="D1006" i="1" s="1"/>
  <c r="F1006" i="1" s="1"/>
  <c r="C998" i="1"/>
  <c r="D998" i="1" s="1"/>
  <c r="F998" i="1" s="1"/>
  <c r="H990" i="1"/>
  <c r="I990" i="1" s="1"/>
  <c r="K990" i="1" s="1"/>
  <c r="C978" i="1"/>
  <c r="D978" i="1" s="1"/>
  <c r="F978" i="1" s="1"/>
  <c r="C969" i="1"/>
  <c r="D969" i="1" s="1"/>
  <c r="E969" i="1" s="1"/>
  <c r="C948" i="1"/>
  <c r="D948" i="1" s="1"/>
  <c r="F948" i="1" s="1"/>
  <c r="C940" i="1"/>
  <c r="D940" i="1" s="1"/>
  <c r="E940" i="1" s="1"/>
  <c r="H926" i="1"/>
  <c r="I926" i="1" s="1"/>
  <c r="J926" i="1" s="1"/>
  <c r="C922" i="1"/>
  <c r="D922" i="1" s="1"/>
  <c r="F922" i="1" s="1"/>
  <c r="H911" i="1"/>
  <c r="I911" i="1" s="1"/>
  <c r="C899" i="1"/>
  <c r="D899" i="1" s="1"/>
  <c r="E899" i="1" s="1"/>
  <c r="C894" i="1"/>
  <c r="D894" i="1" s="1"/>
  <c r="C888" i="1"/>
  <c r="D888" i="1" s="1"/>
  <c r="C881" i="1"/>
  <c r="D881" i="1" s="1"/>
  <c r="F881" i="1" s="1"/>
  <c r="H867" i="1"/>
  <c r="I867" i="1" s="1"/>
  <c r="C838" i="1"/>
  <c r="D838" i="1" s="1"/>
  <c r="C826" i="1"/>
  <c r="D826" i="1" s="1"/>
  <c r="F826" i="1" s="1"/>
  <c r="C818" i="1"/>
  <c r="D818" i="1" s="1"/>
  <c r="F818" i="1" s="1"/>
  <c r="C788" i="1"/>
  <c r="D788" i="1" s="1"/>
  <c r="C773" i="1"/>
  <c r="D773" i="1" s="1"/>
  <c r="E773" i="1" s="1"/>
  <c r="L732" i="1"/>
  <c r="M732" i="1" s="1"/>
  <c r="N732" i="1" s="1"/>
  <c r="O732" i="1" s="1"/>
  <c r="C691" i="1"/>
  <c r="D691" i="1" s="1"/>
  <c r="C654" i="1"/>
  <c r="D654" i="1" s="1"/>
  <c r="E654" i="1" s="1"/>
  <c r="L645" i="1"/>
  <c r="M645" i="1" s="1"/>
  <c r="N645" i="1" s="1"/>
  <c r="O645" i="1" s="1"/>
  <c r="H617" i="1"/>
  <c r="I617" i="1" s="1"/>
  <c r="L617" i="1"/>
  <c r="M617" i="1" s="1"/>
  <c r="N617" i="1" s="1"/>
  <c r="P617" i="1" s="1"/>
  <c r="L572" i="1"/>
  <c r="M572" i="1" s="1"/>
  <c r="N572" i="1" s="1"/>
  <c r="L541" i="1"/>
  <c r="M541" i="1" s="1"/>
  <c r="N541" i="1" s="1"/>
  <c r="L504" i="1"/>
  <c r="M504" i="1" s="1"/>
  <c r="N504" i="1" s="1"/>
  <c r="L496" i="1"/>
  <c r="M496" i="1" s="1"/>
  <c r="N496" i="1" s="1"/>
  <c r="O496" i="1" s="1"/>
  <c r="L401" i="1"/>
  <c r="M401" i="1" s="1"/>
  <c r="N401" i="1" s="1"/>
  <c r="H259" i="1"/>
  <c r="I259" i="1" s="1"/>
  <c r="L177" i="1"/>
  <c r="M177" i="1" s="1"/>
  <c r="N177" i="1" s="1"/>
  <c r="O177" i="1" s="1"/>
  <c r="L153" i="1"/>
  <c r="M153" i="1" s="1"/>
  <c r="N153" i="1" s="1"/>
  <c r="P153" i="1" s="1"/>
  <c r="C143" i="1"/>
  <c r="D143" i="1" s="1"/>
  <c r="F143" i="1" s="1"/>
  <c r="H121" i="1"/>
  <c r="I121" i="1" s="1"/>
  <c r="K121" i="1" s="1"/>
  <c r="C999" i="1"/>
  <c r="D999" i="1" s="1"/>
  <c r="E999" i="1" s="1"/>
  <c r="C806" i="1"/>
  <c r="D806" i="1" s="1"/>
  <c r="C144" i="1"/>
  <c r="D144" i="1" s="1"/>
  <c r="F144" i="1" s="1"/>
  <c r="L104" i="1"/>
  <c r="M104" i="1" s="1"/>
  <c r="N104" i="1" s="1"/>
  <c r="O104" i="1" s="1"/>
  <c r="L113" i="1"/>
  <c r="M113" i="1" s="1"/>
  <c r="N113" i="1" s="1"/>
  <c r="H97" i="1"/>
  <c r="I97" i="1" s="1"/>
  <c r="H93" i="1"/>
  <c r="I93" i="1" s="1"/>
  <c r="K93" i="1" s="1"/>
  <c r="C73" i="1"/>
  <c r="D73" i="1" s="1"/>
  <c r="L63" i="1"/>
  <c r="M63" i="1" s="1"/>
  <c r="N63" i="1" s="1"/>
  <c r="H997" i="1"/>
  <c r="I997" i="1" s="1"/>
  <c r="J997" i="1" s="1"/>
  <c r="H983" i="1"/>
  <c r="I983" i="1" s="1"/>
  <c r="H968" i="1"/>
  <c r="I968" i="1" s="1"/>
  <c r="C962" i="1"/>
  <c r="D962" i="1" s="1"/>
  <c r="F962" i="1" s="1"/>
  <c r="C954" i="1"/>
  <c r="D954" i="1" s="1"/>
  <c r="E954" i="1" s="1"/>
  <c r="C932" i="1"/>
  <c r="D932" i="1" s="1"/>
  <c r="F932" i="1" s="1"/>
  <c r="L926" i="1"/>
  <c r="M926" i="1" s="1"/>
  <c r="N926" i="1" s="1"/>
  <c r="P926" i="1" s="1"/>
  <c r="C916" i="1"/>
  <c r="D916" i="1" s="1"/>
  <c r="E916" i="1" s="1"/>
  <c r="L911" i="1"/>
  <c r="M911" i="1" s="1"/>
  <c r="N911" i="1" s="1"/>
  <c r="H905" i="1"/>
  <c r="I905" i="1" s="1"/>
  <c r="J905" i="1" s="1"/>
  <c r="H899" i="1"/>
  <c r="I899" i="1" s="1"/>
  <c r="K899" i="1" s="1"/>
  <c r="L881" i="1"/>
  <c r="M881" i="1" s="1"/>
  <c r="N881" i="1" s="1"/>
  <c r="C874" i="1"/>
  <c r="D874" i="1" s="1"/>
  <c r="C866" i="1"/>
  <c r="D866" i="1" s="1"/>
  <c r="H852" i="1"/>
  <c r="I852" i="1" s="1"/>
  <c r="J852" i="1" s="1"/>
  <c r="C830" i="1"/>
  <c r="D830" i="1" s="1"/>
  <c r="C811" i="1"/>
  <c r="D811" i="1" s="1"/>
  <c r="E811" i="1" s="1"/>
  <c r="C805" i="1"/>
  <c r="D805" i="1" s="1"/>
  <c r="H773" i="1"/>
  <c r="I773" i="1" s="1"/>
  <c r="H722" i="1"/>
  <c r="I722" i="1" s="1"/>
  <c r="K722" i="1" s="1"/>
  <c r="L722" i="1"/>
  <c r="M722" i="1" s="1"/>
  <c r="N722" i="1" s="1"/>
  <c r="O722" i="1" s="1"/>
  <c r="L701" i="1"/>
  <c r="M701" i="1" s="1"/>
  <c r="N701" i="1" s="1"/>
  <c r="O701" i="1" s="1"/>
  <c r="C661" i="1"/>
  <c r="D661" i="1" s="1"/>
  <c r="F661" i="1" s="1"/>
  <c r="C645" i="1"/>
  <c r="D645" i="1" s="1"/>
  <c r="F645" i="1" s="1"/>
  <c r="C616" i="1"/>
  <c r="D616" i="1" s="1"/>
  <c r="C608" i="1"/>
  <c r="D608" i="1" s="1"/>
  <c r="E608" i="1" s="1"/>
  <c r="L578" i="1"/>
  <c r="M578" i="1" s="1"/>
  <c r="N578" i="1" s="1"/>
  <c r="O578" i="1" s="1"/>
  <c r="C571" i="1"/>
  <c r="D571" i="1" s="1"/>
  <c r="E571" i="1" s="1"/>
  <c r="G571" i="1"/>
  <c r="L571" i="1" s="1"/>
  <c r="M571" i="1" s="1"/>
  <c r="N571" i="1" s="1"/>
  <c r="L561" i="1"/>
  <c r="M561" i="1" s="1"/>
  <c r="N561" i="1" s="1"/>
  <c r="H552" i="1"/>
  <c r="I552" i="1" s="1"/>
  <c r="H532" i="1"/>
  <c r="I532" i="1" s="1"/>
  <c r="J532" i="1" s="1"/>
  <c r="H513" i="1"/>
  <c r="I513" i="1" s="1"/>
  <c r="K513" i="1" s="1"/>
  <c r="L495" i="1"/>
  <c r="M495" i="1" s="1"/>
  <c r="N495" i="1" s="1"/>
  <c r="O495" i="1" s="1"/>
  <c r="H460" i="1"/>
  <c r="I460" i="1" s="1"/>
  <c r="H449" i="1"/>
  <c r="I449" i="1" s="1"/>
  <c r="L449" i="1"/>
  <c r="M449" i="1" s="1"/>
  <c r="N449" i="1" s="1"/>
  <c r="P449" i="1" s="1"/>
  <c r="C348" i="1"/>
  <c r="D348" i="1" s="1"/>
  <c r="E348" i="1" s="1"/>
  <c r="G348" i="1"/>
  <c r="H348" i="1" s="1"/>
  <c r="I348" i="1" s="1"/>
  <c r="K348" i="1" s="1"/>
  <c r="L326" i="1"/>
  <c r="M326" i="1" s="1"/>
  <c r="N326" i="1" s="1"/>
  <c r="P326" i="1" s="1"/>
  <c r="L245" i="1"/>
  <c r="M245" i="1" s="1"/>
  <c r="N245" i="1" s="1"/>
  <c r="O245" i="1" s="1"/>
  <c r="L220" i="1"/>
  <c r="M220" i="1" s="1"/>
  <c r="N220" i="1" s="1"/>
  <c r="P220" i="1" s="1"/>
  <c r="H199" i="1"/>
  <c r="I199" i="1" s="1"/>
  <c r="K199" i="1" s="1"/>
  <c r="L132" i="1"/>
  <c r="M132" i="1" s="1"/>
  <c r="N132" i="1" s="1"/>
  <c r="O132" i="1" s="1"/>
  <c r="C120" i="1"/>
  <c r="D120" i="1" s="1"/>
  <c r="C53" i="1"/>
  <c r="D53" i="1" s="1"/>
  <c r="L41" i="1"/>
  <c r="M41" i="1" s="1"/>
  <c r="N41" i="1" s="1"/>
  <c r="H37" i="1"/>
  <c r="I37" i="1" s="1"/>
  <c r="J37" i="1" s="1"/>
  <c r="C31" i="1"/>
  <c r="D31" i="1" s="1"/>
  <c r="E31" i="1" s="1"/>
  <c r="H1005" i="1"/>
  <c r="I1005" i="1" s="1"/>
  <c r="L997" i="1"/>
  <c r="M997" i="1" s="1"/>
  <c r="N997" i="1" s="1"/>
  <c r="C990" i="1"/>
  <c r="D990" i="1" s="1"/>
  <c r="L983" i="1"/>
  <c r="M983" i="1" s="1"/>
  <c r="N983" i="1" s="1"/>
  <c r="O983" i="1" s="1"/>
  <c r="C977" i="1"/>
  <c r="D977" i="1" s="1"/>
  <c r="E977" i="1" s="1"/>
  <c r="C968" i="1"/>
  <c r="D968" i="1" s="1"/>
  <c r="E968" i="1" s="1"/>
  <c r="C947" i="1"/>
  <c r="D947" i="1" s="1"/>
  <c r="E947" i="1" s="1"/>
  <c r="L921" i="1"/>
  <c r="M921" i="1" s="1"/>
  <c r="N921" i="1" s="1"/>
  <c r="P921" i="1" s="1"/>
  <c r="L905" i="1"/>
  <c r="M905" i="1" s="1"/>
  <c r="N905" i="1" s="1"/>
  <c r="O905" i="1" s="1"/>
  <c r="C898" i="1"/>
  <c r="D898" i="1" s="1"/>
  <c r="F898" i="1" s="1"/>
  <c r="C887" i="1"/>
  <c r="D887" i="1" s="1"/>
  <c r="F887" i="1" s="1"/>
  <c r="C880" i="1"/>
  <c r="D880" i="1" s="1"/>
  <c r="E880" i="1" s="1"/>
  <c r="C860" i="1"/>
  <c r="D860" i="1" s="1"/>
  <c r="F860" i="1" s="1"/>
  <c r="C852" i="1"/>
  <c r="D852" i="1" s="1"/>
  <c r="C844" i="1"/>
  <c r="D844" i="1" s="1"/>
  <c r="H824" i="1"/>
  <c r="I824" i="1" s="1"/>
  <c r="J824" i="1" s="1"/>
  <c r="H817" i="1"/>
  <c r="I817" i="1" s="1"/>
  <c r="J817" i="1" s="1"/>
  <c r="C780" i="1"/>
  <c r="D780" i="1" s="1"/>
  <c r="C772" i="1"/>
  <c r="D772" i="1" s="1"/>
  <c r="F772" i="1" s="1"/>
  <c r="C731" i="1"/>
  <c r="D731" i="1" s="1"/>
  <c r="E731" i="1" s="1"/>
  <c r="G731" i="1"/>
  <c r="L731" i="1" s="1"/>
  <c r="M731" i="1" s="1"/>
  <c r="N731" i="1" s="1"/>
  <c r="L710" i="1"/>
  <c r="M710" i="1" s="1"/>
  <c r="N710" i="1" s="1"/>
  <c r="O710" i="1" s="1"/>
  <c r="C700" i="1"/>
  <c r="D700" i="1" s="1"/>
  <c r="F700" i="1" s="1"/>
  <c r="C671" i="1"/>
  <c r="D671" i="1" s="1"/>
  <c r="L661" i="1"/>
  <c r="M661" i="1" s="1"/>
  <c r="N661" i="1" s="1"/>
  <c r="P661" i="1" s="1"/>
  <c r="C635" i="1"/>
  <c r="D635" i="1" s="1"/>
  <c r="E635" i="1" s="1"/>
  <c r="C570" i="1"/>
  <c r="D570" i="1" s="1"/>
  <c r="F570" i="1" s="1"/>
  <c r="C560" i="1"/>
  <c r="D560" i="1" s="1"/>
  <c r="C540" i="1"/>
  <c r="D540" i="1" s="1"/>
  <c r="C532" i="1"/>
  <c r="D532" i="1" s="1"/>
  <c r="C494" i="1"/>
  <c r="D494" i="1" s="1"/>
  <c r="F494" i="1" s="1"/>
  <c r="G494" i="1"/>
  <c r="L494" i="1" s="1"/>
  <c r="M494" i="1" s="1"/>
  <c r="N494" i="1" s="1"/>
  <c r="L469" i="1"/>
  <c r="M469" i="1" s="1"/>
  <c r="N469" i="1" s="1"/>
  <c r="H437" i="1"/>
  <c r="I437" i="1" s="1"/>
  <c r="J437" i="1" s="1"/>
  <c r="L437" i="1"/>
  <c r="M437" i="1" s="1"/>
  <c r="N437" i="1" s="1"/>
  <c r="O437" i="1" s="1"/>
  <c r="H413" i="1"/>
  <c r="I413" i="1" s="1"/>
  <c r="L413" i="1"/>
  <c r="M413" i="1" s="1"/>
  <c r="N413" i="1" s="1"/>
  <c r="P413" i="1" s="1"/>
  <c r="L375" i="1"/>
  <c r="M375" i="1" s="1"/>
  <c r="N375" i="1" s="1"/>
  <c r="P375" i="1" s="1"/>
  <c r="H347" i="1"/>
  <c r="I347" i="1" s="1"/>
  <c r="J347" i="1" s="1"/>
  <c r="L347" i="1"/>
  <c r="M347" i="1" s="1"/>
  <c r="N347" i="1" s="1"/>
  <c r="P347" i="1" s="1"/>
  <c r="H312" i="1"/>
  <c r="I312" i="1" s="1"/>
  <c r="J312" i="1" s="1"/>
  <c r="L312" i="1"/>
  <c r="M312" i="1" s="1"/>
  <c r="N312" i="1" s="1"/>
  <c r="P312" i="1" s="1"/>
  <c r="C131" i="1"/>
  <c r="D131" i="1" s="1"/>
  <c r="E131" i="1" s="1"/>
  <c r="G131" i="1"/>
  <c r="L131" i="1" s="1"/>
  <c r="M131" i="1" s="1"/>
  <c r="N131" i="1" s="1"/>
  <c r="P131" i="1" s="1"/>
  <c r="C756" i="1"/>
  <c r="D756" i="1" s="1"/>
  <c r="G756" i="1"/>
  <c r="L756" i="1" s="1"/>
  <c r="M756" i="1" s="1"/>
  <c r="N756" i="1" s="1"/>
  <c r="P756" i="1" s="1"/>
  <c r="C970" i="1"/>
  <c r="D970" i="1" s="1"/>
  <c r="F970" i="1" s="1"/>
  <c r="H102" i="1"/>
  <c r="I102" i="1" s="1"/>
  <c r="J102" i="1" s="1"/>
  <c r="C58" i="1"/>
  <c r="D58" i="1" s="1"/>
  <c r="F58" i="1" s="1"/>
  <c r="L109" i="1"/>
  <c r="M109" i="1" s="1"/>
  <c r="N109" i="1" s="1"/>
  <c r="C97" i="1"/>
  <c r="D97" i="1" s="1"/>
  <c r="E97" i="1" s="1"/>
  <c r="C92" i="1"/>
  <c r="D92" i="1" s="1"/>
  <c r="E92" i="1" s="1"/>
  <c r="H86" i="1"/>
  <c r="I86" i="1" s="1"/>
  <c r="J86" i="1" s="1"/>
  <c r="L72" i="1"/>
  <c r="M72" i="1" s="1"/>
  <c r="N72" i="1" s="1"/>
  <c r="P72" i="1" s="1"/>
  <c r="C68" i="1"/>
  <c r="D68" i="1" s="1"/>
  <c r="E68" i="1" s="1"/>
  <c r="H63" i="1"/>
  <c r="I63" i="1" s="1"/>
  <c r="L52" i="1"/>
  <c r="M52" i="1" s="1"/>
  <c r="N52" i="1" s="1"/>
  <c r="P52" i="1" s="1"/>
  <c r="C47" i="1"/>
  <c r="D47" i="1" s="1"/>
  <c r="F47" i="1" s="1"/>
  <c r="C41" i="1"/>
  <c r="D41" i="1" s="1"/>
  <c r="E41" i="1" s="1"/>
  <c r="C37" i="1"/>
  <c r="D37" i="1" s="1"/>
  <c r="C1010" i="1"/>
  <c r="D1010" i="1" s="1"/>
  <c r="F1010" i="1" s="1"/>
  <c r="C1004" i="1"/>
  <c r="D1004" i="1" s="1"/>
  <c r="C997" i="1"/>
  <c r="D997" i="1" s="1"/>
  <c r="E997" i="1" s="1"/>
  <c r="C953" i="1"/>
  <c r="D953" i="1" s="1"/>
  <c r="E953" i="1" s="1"/>
  <c r="L946" i="1"/>
  <c r="M946" i="1" s="1"/>
  <c r="N946" i="1" s="1"/>
  <c r="P946" i="1" s="1"/>
  <c r="C938" i="1"/>
  <c r="D938" i="1" s="1"/>
  <c r="E938" i="1" s="1"/>
  <c r="C926" i="1"/>
  <c r="D926" i="1" s="1"/>
  <c r="E926" i="1" s="1"/>
  <c r="C921" i="1"/>
  <c r="D921" i="1" s="1"/>
  <c r="F921" i="1" s="1"/>
  <c r="C911" i="1"/>
  <c r="D911" i="1" s="1"/>
  <c r="L904" i="1"/>
  <c r="M904" i="1" s="1"/>
  <c r="N904" i="1" s="1"/>
  <c r="O904" i="1" s="1"/>
  <c r="H898" i="1"/>
  <c r="I898" i="1" s="1"/>
  <c r="K898" i="1" s="1"/>
  <c r="L886" i="1"/>
  <c r="M886" i="1" s="1"/>
  <c r="N886" i="1" s="1"/>
  <c r="O886" i="1" s="1"/>
  <c r="L824" i="1"/>
  <c r="M824" i="1" s="1"/>
  <c r="N824" i="1" s="1"/>
  <c r="O824" i="1" s="1"/>
  <c r="C810" i="1"/>
  <c r="D810" i="1" s="1"/>
  <c r="E810" i="1" s="1"/>
  <c r="C801" i="1"/>
  <c r="D801" i="1" s="1"/>
  <c r="C794" i="1"/>
  <c r="D794" i="1" s="1"/>
  <c r="C787" i="1"/>
  <c r="D787" i="1" s="1"/>
  <c r="E787" i="1" s="1"/>
  <c r="L771" i="1"/>
  <c r="M771" i="1" s="1"/>
  <c r="N771" i="1" s="1"/>
  <c r="H761" i="1"/>
  <c r="I761" i="1" s="1"/>
  <c r="J761" i="1" s="1"/>
  <c r="H753" i="1"/>
  <c r="I753" i="1" s="1"/>
  <c r="H730" i="1"/>
  <c r="I730" i="1" s="1"/>
  <c r="L700" i="1"/>
  <c r="M700" i="1" s="1"/>
  <c r="N700" i="1" s="1"/>
  <c r="C652" i="1"/>
  <c r="D652" i="1" s="1"/>
  <c r="E652" i="1" s="1"/>
  <c r="L644" i="1"/>
  <c r="M644" i="1" s="1"/>
  <c r="N644" i="1" s="1"/>
  <c r="O644" i="1" s="1"/>
  <c r="L624" i="1"/>
  <c r="M624" i="1" s="1"/>
  <c r="N624" i="1" s="1"/>
  <c r="O624" i="1" s="1"/>
  <c r="H615" i="1"/>
  <c r="I615" i="1" s="1"/>
  <c r="J615" i="1" s="1"/>
  <c r="C607" i="1"/>
  <c r="D607" i="1" s="1"/>
  <c r="L540" i="1"/>
  <c r="M540" i="1" s="1"/>
  <c r="N540" i="1" s="1"/>
  <c r="P540" i="1" s="1"/>
  <c r="L532" i="1"/>
  <c r="M532" i="1" s="1"/>
  <c r="N532" i="1" s="1"/>
  <c r="O532" i="1" s="1"/>
  <c r="C502" i="1"/>
  <c r="D502" i="1" s="1"/>
  <c r="E502" i="1" s="1"/>
  <c r="L480" i="1"/>
  <c r="M480" i="1" s="1"/>
  <c r="N480" i="1" s="1"/>
  <c r="L447" i="1"/>
  <c r="M447" i="1" s="1"/>
  <c r="N447" i="1" s="1"/>
  <c r="H424" i="1"/>
  <c r="I424" i="1" s="1"/>
  <c r="K424" i="1" s="1"/>
  <c r="H375" i="1"/>
  <c r="I375" i="1" s="1"/>
  <c r="K375" i="1" s="1"/>
  <c r="H335" i="1"/>
  <c r="I335" i="1" s="1"/>
  <c r="C325" i="1"/>
  <c r="D325" i="1" s="1"/>
  <c r="F325" i="1" s="1"/>
  <c r="H311" i="1"/>
  <c r="I311" i="1" s="1"/>
  <c r="C280" i="1"/>
  <c r="D280" i="1" s="1"/>
  <c r="L243" i="1"/>
  <c r="M243" i="1" s="1"/>
  <c r="N243" i="1" s="1"/>
  <c r="P243" i="1" s="1"/>
  <c r="H186" i="1"/>
  <c r="I186" i="1" s="1"/>
  <c r="L152" i="1"/>
  <c r="M152" i="1" s="1"/>
  <c r="N152" i="1" s="1"/>
  <c r="P152" i="1" s="1"/>
  <c r="H714" i="1"/>
  <c r="I714" i="1" s="1"/>
  <c r="K714" i="1" s="1"/>
  <c r="L714" i="1"/>
  <c r="M714" i="1" s="1"/>
  <c r="N714" i="1" s="1"/>
  <c r="O714" i="1" s="1"/>
  <c r="C854" i="1"/>
  <c r="D854" i="1" s="1"/>
  <c r="C515" i="1"/>
  <c r="D515" i="1" s="1"/>
  <c r="F515" i="1" s="1"/>
  <c r="H68" i="1"/>
  <c r="I68" i="1" s="1"/>
  <c r="J68" i="1" s="1"/>
  <c r="C63" i="1"/>
  <c r="D63" i="1" s="1"/>
  <c r="H52" i="1"/>
  <c r="I52" i="1" s="1"/>
  <c r="C36" i="1"/>
  <c r="D36" i="1" s="1"/>
  <c r="C30" i="1"/>
  <c r="D30" i="1" s="1"/>
  <c r="C24" i="1"/>
  <c r="D24" i="1" s="1"/>
  <c r="C17" i="1"/>
  <c r="D17" i="1" s="1"/>
  <c r="E17" i="1" s="1"/>
  <c r="C983" i="1"/>
  <c r="D983" i="1" s="1"/>
  <c r="C976" i="1"/>
  <c r="D976" i="1" s="1"/>
  <c r="F976" i="1" s="1"/>
  <c r="C961" i="1"/>
  <c r="D961" i="1" s="1"/>
  <c r="E961" i="1" s="1"/>
  <c r="H952" i="1"/>
  <c r="I952" i="1" s="1"/>
  <c r="K952" i="1" s="1"/>
  <c r="C946" i="1"/>
  <c r="D946" i="1" s="1"/>
  <c r="E946" i="1" s="1"/>
  <c r="H931" i="1"/>
  <c r="I931" i="1" s="1"/>
  <c r="L925" i="1"/>
  <c r="M925" i="1" s="1"/>
  <c r="N925" i="1" s="1"/>
  <c r="O925" i="1" s="1"/>
  <c r="H921" i="1"/>
  <c r="I921" i="1" s="1"/>
  <c r="C915" i="1"/>
  <c r="D915" i="1" s="1"/>
  <c r="E915" i="1" s="1"/>
  <c r="H910" i="1"/>
  <c r="I910" i="1" s="1"/>
  <c r="K910" i="1" s="1"/>
  <c r="C904" i="1"/>
  <c r="D904" i="1" s="1"/>
  <c r="F904" i="1" s="1"/>
  <c r="H897" i="1"/>
  <c r="I897" i="1" s="1"/>
  <c r="K897" i="1" s="1"/>
  <c r="C886" i="1"/>
  <c r="D886" i="1" s="1"/>
  <c r="F886" i="1" s="1"/>
  <c r="H864" i="1"/>
  <c r="I864" i="1" s="1"/>
  <c r="J864" i="1" s="1"/>
  <c r="C843" i="1"/>
  <c r="D843" i="1" s="1"/>
  <c r="E843" i="1" s="1"/>
  <c r="H829" i="1"/>
  <c r="I829" i="1" s="1"/>
  <c r="C824" i="1"/>
  <c r="D824" i="1" s="1"/>
  <c r="F824" i="1" s="1"/>
  <c r="C817" i="1"/>
  <c r="D817" i="1" s="1"/>
  <c r="E817" i="1" s="1"/>
  <c r="C804" i="1"/>
  <c r="D804" i="1" s="1"/>
  <c r="H770" i="1"/>
  <c r="I770" i="1" s="1"/>
  <c r="J770" i="1" s="1"/>
  <c r="L760" i="1"/>
  <c r="M760" i="1" s="1"/>
  <c r="N760" i="1" s="1"/>
  <c r="O760" i="1" s="1"/>
  <c r="C719" i="1"/>
  <c r="D719" i="1" s="1"/>
  <c r="E719" i="1" s="1"/>
  <c r="L699" i="1"/>
  <c r="M699" i="1" s="1"/>
  <c r="N699" i="1" s="1"/>
  <c r="O699" i="1" s="1"/>
  <c r="L689" i="1"/>
  <c r="M689" i="1" s="1"/>
  <c r="N689" i="1" s="1"/>
  <c r="C660" i="1"/>
  <c r="D660" i="1" s="1"/>
  <c r="E660" i="1" s="1"/>
  <c r="H643" i="1"/>
  <c r="I643" i="1" s="1"/>
  <c r="J643" i="1" s="1"/>
  <c r="L559" i="1"/>
  <c r="M559" i="1" s="1"/>
  <c r="N559" i="1" s="1"/>
  <c r="O559" i="1" s="1"/>
  <c r="H549" i="1"/>
  <c r="I549" i="1" s="1"/>
  <c r="C458" i="1"/>
  <c r="D458" i="1" s="1"/>
  <c r="E458" i="1" s="1"/>
  <c r="L385" i="1"/>
  <c r="M385" i="1" s="1"/>
  <c r="N385" i="1" s="1"/>
  <c r="H361" i="1"/>
  <c r="I361" i="1" s="1"/>
  <c r="J361" i="1" s="1"/>
  <c r="L311" i="1"/>
  <c r="M311" i="1" s="1"/>
  <c r="N311" i="1" s="1"/>
  <c r="O311" i="1" s="1"/>
  <c r="H242" i="1"/>
  <c r="I242" i="1" s="1"/>
  <c r="J242" i="1" s="1"/>
  <c r="C185" i="1"/>
  <c r="D185" i="1" s="1"/>
  <c r="L129" i="1"/>
  <c r="M129" i="1" s="1"/>
  <c r="N129" i="1" s="1"/>
  <c r="O129" i="1" s="1"/>
  <c r="C507" i="1"/>
  <c r="D507" i="1" s="1"/>
  <c r="E507" i="1" s="1"/>
  <c r="G507" i="1"/>
  <c r="C318" i="1"/>
  <c r="D318" i="1" s="1"/>
  <c r="E318" i="1" s="1"/>
  <c r="G318" i="1"/>
  <c r="H318" i="1" s="1"/>
  <c r="I318" i="1" s="1"/>
  <c r="C949" i="1"/>
  <c r="D949" i="1" s="1"/>
  <c r="C927" i="1"/>
  <c r="D927" i="1" s="1"/>
  <c r="E927" i="1" s="1"/>
  <c r="C876" i="1"/>
  <c r="D876" i="1" s="1"/>
  <c r="F876" i="1" s="1"/>
  <c r="H723" i="1"/>
  <c r="I723" i="1" s="1"/>
  <c r="J723" i="1" s="1"/>
  <c r="L723" i="1"/>
  <c r="M723" i="1" s="1"/>
  <c r="N723" i="1" s="1"/>
  <c r="O723" i="1" s="1"/>
  <c r="C580" i="1"/>
  <c r="D580" i="1" s="1"/>
  <c r="E580" i="1" s="1"/>
  <c r="G580" i="1"/>
  <c r="L97" i="1"/>
  <c r="M97" i="1" s="1"/>
  <c r="N97" i="1" s="1"/>
  <c r="O97" i="1" s="1"/>
  <c r="C79" i="1"/>
  <c r="D79" i="1" s="1"/>
  <c r="F79" i="1" s="1"/>
  <c r="L86" i="1"/>
  <c r="M86" i="1" s="1"/>
  <c r="N86" i="1" s="1"/>
  <c r="H109" i="1"/>
  <c r="I109" i="1" s="1"/>
  <c r="H96" i="1"/>
  <c r="I96" i="1" s="1"/>
  <c r="J96" i="1" s="1"/>
  <c r="C86" i="1"/>
  <c r="D86" i="1" s="1"/>
  <c r="F86" i="1" s="1"/>
  <c r="H77" i="1"/>
  <c r="I77" i="1" s="1"/>
  <c r="J77" i="1" s="1"/>
  <c r="H72" i="1"/>
  <c r="I72" i="1" s="1"/>
  <c r="H67" i="1"/>
  <c r="I67" i="1" s="1"/>
  <c r="K67" i="1" s="1"/>
  <c r="C57" i="1"/>
  <c r="D57" i="1" s="1"/>
  <c r="E57" i="1" s="1"/>
  <c r="C52" i="1"/>
  <c r="D52" i="1" s="1"/>
  <c r="F52" i="1" s="1"/>
  <c r="H40" i="1"/>
  <c r="I40" i="1" s="1"/>
  <c r="J40" i="1" s="1"/>
  <c r="H36" i="1"/>
  <c r="I36" i="1" s="1"/>
  <c r="J36" i="1" s="1"/>
  <c r="H30" i="1"/>
  <c r="I30" i="1" s="1"/>
  <c r="J30" i="1" s="1"/>
  <c r="C1009" i="1"/>
  <c r="D1009" i="1" s="1"/>
  <c r="F1009" i="1" s="1"/>
  <c r="C1003" i="1"/>
  <c r="D1003" i="1" s="1"/>
  <c r="F1003" i="1" s="1"/>
  <c r="C996" i="1"/>
  <c r="D996" i="1" s="1"/>
  <c r="E996" i="1" s="1"/>
  <c r="C988" i="1"/>
  <c r="D988" i="1" s="1"/>
  <c r="E988" i="1" s="1"/>
  <c r="C967" i="1"/>
  <c r="D967" i="1" s="1"/>
  <c r="F967" i="1" s="1"/>
  <c r="C952" i="1"/>
  <c r="D952" i="1" s="1"/>
  <c r="E952" i="1" s="1"/>
  <c r="C937" i="1"/>
  <c r="D937" i="1" s="1"/>
  <c r="E937" i="1" s="1"/>
  <c r="C931" i="1"/>
  <c r="D931" i="1" s="1"/>
  <c r="E931" i="1" s="1"/>
  <c r="C925" i="1"/>
  <c r="D925" i="1" s="1"/>
  <c r="F925" i="1" s="1"/>
  <c r="L920" i="1"/>
  <c r="M920" i="1" s="1"/>
  <c r="N920" i="1" s="1"/>
  <c r="O920" i="1" s="1"/>
  <c r="C897" i="1"/>
  <c r="D897" i="1" s="1"/>
  <c r="E897" i="1" s="1"/>
  <c r="C893" i="1"/>
  <c r="D893" i="1" s="1"/>
  <c r="C879" i="1"/>
  <c r="D879" i="1" s="1"/>
  <c r="C858" i="1"/>
  <c r="D858" i="1" s="1"/>
  <c r="F858" i="1" s="1"/>
  <c r="C836" i="1"/>
  <c r="D836" i="1" s="1"/>
  <c r="E836" i="1" s="1"/>
  <c r="L817" i="1"/>
  <c r="M817" i="1" s="1"/>
  <c r="N817" i="1" s="1"/>
  <c r="P817" i="1" s="1"/>
  <c r="C800" i="1"/>
  <c r="D800" i="1" s="1"/>
  <c r="F800" i="1" s="1"/>
  <c r="H778" i="1"/>
  <c r="I778" i="1" s="1"/>
  <c r="K778" i="1" s="1"/>
  <c r="H751" i="1"/>
  <c r="I751" i="1" s="1"/>
  <c r="J751" i="1" s="1"/>
  <c r="C689" i="1"/>
  <c r="D689" i="1" s="1"/>
  <c r="C659" i="1"/>
  <c r="D659" i="1" s="1"/>
  <c r="E659" i="1" s="1"/>
  <c r="C643" i="1"/>
  <c r="D643" i="1" s="1"/>
  <c r="E643" i="1" s="1"/>
  <c r="H633" i="1"/>
  <c r="I633" i="1" s="1"/>
  <c r="K633" i="1" s="1"/>
  <c r="C623" i="1"/>
  <c r="D623" i="1" s="1"/>
  <c r="E623" i="1" s="1"/>
  <c r="L595" i="1"/>
  <c r="M595" i="1" s="1"/>
  <c r="N595" i="1" s="1"/>
  <c r="P595" i="1" s="1"/>
  <c r="H568" i="1"/>
  <c r="I568" i="1" s="1"/>
  <c r="J568" i="1" s="1"/>
  <c r="L568" i="1"/>
  <c r="M568" i="1" s="1"/>
  <c r="N568" i="1" s="1"/>
  <c r="P568" i="1" s="1"/>
  <c r="C549" i="1"/>
  <c r="D549" i="1" s="1"/>
  <c r="C511" i="1"/>
  <c r="D511" i="1" s="1"/>
  <c r="F511" i="1" s="1"/>
  <c r="C435" i="1"/>
  <c r="D435" i="1" s="1"/>
  <c r="E435" i="1" s="1"/>
  <c r="H410" i="1"/>
  <c r="I410" i="1" s="1"/>
  <c r="J410" i="1" s="1"/>
  <c r="L410" i="1"/>
  <c r="M410" i="1" s="1"/>
  <c r="N410" i="1" s="1"/>
  <c r="O410" i="1" s="1"/>
  <c r="H397" i="1"/>
  <c r="I397" i="1" s="1"/>
  <c r="J397" i="1" s="1"/>
  <c r="H384" i="1"/>
  <c r="I384" i="1" s="1"/>
  <c r="C334" i="1"/>
  <c r="D334" i="1" s="1"/>
  <c r="F334" i="1" s="1"/>
  <c r="C267" i="1"/>
  <c r="D267" i="1" s="1"/>
  <c r="G267" i="1"/>
  <c r="L267" i="1" s="1"/>
  <c r="M267" i="1" s="1"/>
  <c r="N267" i="1" s="1"/>
  <c r="L207" i="1"/>
  <c r="M207" i="1" s="1"/>
  <c r="N207" i="1" s="1"/>
  <c r="P207" i="1" s="1"/>
  <c r="H185" i="1"/>
  <c r="I185" i="1" s="1"/>
  <c r="J185" i="1" s="1"/>
  <c r="L172" i="1"/>
  <c r="M172" i="1" s="1"/>
  <c r="N172" i="1" s="1"/>
  <c r="O172" i="1" s="1"/>
  <c r="H747" i="1"/>
  <c r="I747" i="1" s="1"/>
  <c r="K747" i="1" s="1"/>
  <c r="L747" i="1"/>
  <c r="M747" i="1" s="1"/>
  <c r="N747" i="1" s="1"/>
  <c r="O747" i="1" s="1"/>
  <c r="C715" i="1"/>
  <c r="D715" i="1" s="1"/>
  <c r="E715" i="1" s="1"/>
  <c r="G715" i="1"/>
  <c r="C127" i="1"/>
  <c r="D127" i="1" s="1"/>
  <c r="E127" i="1" s="1"/>
  <c r="C132" i="1"/>
  <c r="D132" i="1" s="1"/>
  <c r="C160" i="1"/>
  <c r="D160" i="1" s="1"/>
  <c r="C172" i="1"/>
  <c r="D172" i="1" s="1"/>
  <c r="E172" i="1" s="1"/>
  <c r="C217" i="1"/>
  <c r="D217" i="1" s="1"/>
  <c r="F217" i="1" s="1"/>
  <c r="C234" i="1"/>
  <c r="D234" i="1" s="1"/>
  <c r="F234" i="1" s="1"/>
  <c r="C299" i="1"/>
  <c r="D299" i="1" s="1"/>
  <c r="C312" i="1"/>
  <c r="D312" i="1" s="1"/>
  <c r="F312" i="1" s="1"/>
  <c r="C319" i="1"/>
  <c r="D319" i="1" s="1"/>
  <c r="E319" i="1" s="1"/>
  <c r="C330" i="1"/>
  <c r="D330" i="1" s="1"/>
  <c r="E330" i="1" s="1"/>
  <c r="C342" i="1"/>
  <c r="D342" i="1" s="1"/>
  <c r="F342" i="1" s="1"/>
  <c r="C362" i="1"/>
  <c r="D362" i="1" s="1"/>
  <c r="E362" i="1" s="1"/>
  <c r="C397" i="1"/>
  <c r="D397" i="1" s="1"/>
  <c r="E397" i="1" s="1"/>
  <c r="C408" i="1"/>
  <c r="D408" i="1" s="1"/>
  <c r="C447" i="1"/>
  <c r="D447" i="1" s="1"/>
  <c r="E447" i="1" s="1"/>
  <c r="C459" i="1"/>
  <c r="D459" i="1" s="1"/>
  <c r="E459" i="1" s="1"/>
  <c r="C506" i="1"/>
  <c r="D506" i="1" s="1"/>
  <c r="F506" i="1" s="1"/>
  <c r="C524" i="1"/>
  <c r="D524" i="1" s="1"/>
  <c r="E524" i="1" s="1"/>
  <c r="C606" i="1"/>
  <c r="D606" i="1" s="1"/>
  <c r="E606" i="1" s="1"/>
  <c r="C685" i="1"/>
  <c r="D685" i="1" s="1"/>
  <c r="F685" i="1" s="1"/>
  <c r="C714" i="1"/>
  <c r="D714" i="1" s="1"/>
  <c r="E714" i="1" s="1"/>
  <c r="C748" i="1"/>
  <c r="D748" i="1" s="1"/>
  <c r="E748" i="1" s="1"/>
  <c r="C770" i="1"/>
  <c r="D770" i="1" s="1"/>
  <c r="F770" i="1" s="1"/>
  <c r="C114" i="1"/>
  <c r="D114" i="1" s="1"/>
  <c r="C242" i="1"/>
  <c r="D242" i="1" s="1"/>
  <c r="F242" i="1" s="1"/>
  <c r="C249" i="1"/>
  <c r="D249" i="1" s="1"/>
  <c r="C255" i="1"/>
  <c r="D255" i="1" s="1"/>
  <c r="C269" i="1"/>
  <c r="D269" i="1" s="1"/>
  <c r="E269" i="1" s="1"/>
  <c r="C384" i="1"/>
  <c r="D384" i="1" s="1"/>
  <c r="E384" i="1" s="1"/>
  <c r="C391" i="1"/>
  <c r="D391" i="1" s="1"/>
  <c r="F391" i="1" s="1"/>
  <c r="C442" i="1"/>
  <c r="D442" i="1" s="1"/>
  <c r="E442" i="1" s="1"/>
  <c r="C121" i="1"/>
  <c r="D121" i="1" s="1"/>
  <c r="E121" i="1" s="1"/>
  <c r="C128" i="1"/>
  <c r="D128" i="1" s="1"/>
  <c r="F128" i="1" s="1"/>
  <c r="C138" i="1"/>
  <c r="D138" i="1" s="1"/>
  <c r="E138" i="1" s="1"/>
  <c r="C154" i="1"/>
  <c r="D154" i="1" s="1"/>
  <c r="F154" i="1" s="1"/>
  <c r="C161" i="1"/>
  <c r="D161" i="1" s="1"/>
  <c r="F161" i="1" s="1"/>
  <c r="C186" i="1"/>
  <c r="D186" i="1" s="1"/>
  <c r="E186" i="1" s="1"/>
  <c r="C200" i="1"/>
  <c r="D200" i="1" s="1"/>
  <c r="E200" i="1" s="1"/>
  <c r="C349" i="1"/>
  <c r="D349" i="1" s="1"/>
  <c r="C398" i="1"/>
  <c r="D398" i="1" s="1"/>
  <c r="E398" i="1" s="1"/>
  <c r="C437" i="1"/>
  <c r="D437" i="1" s="1"/>
  <c r="E437" i="1" s="1"/>
  <c r="C480" i="1"/>
  <c r="D480" i="1" s="1"/>
  <c r="F480" i="1" s="1"/>
  <c r="C486" i="1"/>
  <c r="D486" i="1" s="1"/>
  <c r="F486" i="1" s="1"/>
  <c r="C495" i="1"/>
  <c r="D495" i="1" s="1"/>
  <c r="E495" i="1" s="1"/>
  <c r="C518" i="1"/>
  <c r="D518" i="1" s="1"/>
  <c r="F518" i="1" s="1"/>
  <c r="C530" i="1"/>
  <c r="D530" i="1" s="1"/>
  <c r="C546" i="1"/>
  <c r="D546" i="1" s="1"/>
  <c r="E546" i="1" s="1"/>
  <c r="C558" i="1"/>
  <c r="D558" i="1" s="1"/>
  <c r="F558" i="1" s="1"/>
  <c r="C587" i="1"/>
  <c r="D587" i="1" s="1"/>
  <c r="E587" i="1" s="1"/>
  <c r="C593" i="1"/>
  <c r="D593" i="1" s="1"/>
  <c r="E593" i="1" s="1"/>
  <c r="C599" i="1"/>
  <c r="D599" i="1" s="1"/>
  <c r="E599" i="1" s="1"/>
  <c r="C611" i="1"/>
  <c r="D611" i="1" s="1"/>
  <c r="E611" i="1" s="1"/>
  <c r="C624" i="1"/>
  <c r="D624" i="1" s="1"/>
  <c r="E624" i="1" s="1"/>
  <c r="C679" i="1"/>
  <c r="D679" i="1" s="1"/>
  <c r="F679" i="1" s="1"/>
  <c r="C707" i="1"/>
  <c r="D707" i="1" s="1"/>
  <c r="F707" i="1" s="1"/>
  <c r="C721" i="1"/>
  <c r="D721" i="1" s="1"/>
  <c r="C741" i="1"/>
  <c r="D741" i="1" s="1"/>
  <c r="E741" i="1" s="1"/>
  <c r="C754" i="1"/>
  <c r="D754" i="1" s="1"/>
  <c r="F754" i="1" s="1"/>
  <c r="C777" i="1"/>
  <c r="D777" i="1" s="1"/>
  <c r="F777" i="1" s="1"/>
  <c r="C150" i="1"/>
  <c r="D150" i="1" s="1"/>
  <c r="C168" i="1"/>
  <c r="D168" i="1" s="1"/>
  <c r="F168" i="1" s="1"/>
  <c r="C180" i="1"/>
  <c r="D180" i="1" s="1"/>
  <c r="F180" i="1" s="1"/>
  <c r="C207" i="1"/>
  <c r="D207" i="1" s="1"/>
  <c r="F207" i="1" s="1"/>
  <c r="C218" i="1"/>
  <c r="D218" i="1" s="1"/>
  <c r="C223" i="1"/>
  <c r="D223" i="1" s="1"/>
  <c r="E223" i="1" s="1"/>
  <c r="C250" i="1"/>
  <c r="D250" i="1" s="1"/>
  <c r="F250" i="1" s="1"/>
  <c r="C270" i="1"/>
  <c r="D270" i="1" s="1"/>
  <c r="E270" i="1" s="1"/>
  <c r="C277" i="1"/>
  <c r="D277" i="1" s="1"/>
  <c r="F277" i="1" s="1"/>
  <c r="C300" i="1"/>
  <c r="D300" i="1" s="1"/>
  <c r="C356" i="1"/>
  <c r="D356" i="1" s="1"/>
  <c r="F356" i="1" s="1"/>
  <c r="C414" i="1"/>
  <c r="D414" i="1" s="1"/>
  <c r="E414" i="1" s="1"/>
  <c r="C422" i="1"/>
  <c r="D422" i="1" s="1"/>
  <c r="C429" i="1"/>
  <c r="D429" i="1" s="1"/>
  <c r="F429" i="1" s="1"/>
  <c r="C448" i="1"/>
  <c r="D448" i="1" s="1"/>
  <c r="F448" i="1" s="1"/>
  <c r="C145" i="1"/>
  <c r="D145" i="1" s="1"/>
  <c r="E145" i="1" s="1"/>
  <c r="C235" i="1"/>
  <c r="D235" i="1" s="1"/>
  <c r="F235" i="1" s="1"/>
  <c r="C243" i="1"/>
  <c r="D243" i="1" s="1"/>
  <c r="E243" i="1" s="1"/>
  <c r="C307" i="1"/>
  <c r="D307" i="1" s="1"/>
  <c r="C344" i="1"/>
  <c r="D344" i="1" s="1"/>
  <c r="F344" i="1" s="1"/>
  <c r="C350" i="1"/>
  <c r="D350" i="1" s="1"/>
  <c r="E350" i="1" s="1"/>
  <c r="C385" i="1"/>
  <c r="D385" i="1" s="1"/>
  <c r="E385" i="1" s="1"/>
  <c r="C404" i="1"/>
  <c r="D404" i="1" s="1"/>
  <c r="E404" i="1" s="1"/>
  <c r="C410" i="1"/>
  <c r="D410" i="1" s="1"/>
  <c r="C474" i="1"/>
  <c r="D474" i="1" s="1"/>
  <c r="E474" i="1" s="1"/>
  <c r="C487" i="1"/>
  <c r="D487" i="1" s="1"/>
  <c r="E487" i="1" s="1"/>
  <c r="C513" i="1"/>
  <c r="D513" i="1" s="1"/>
  <c r="C536" i="1"/>
  <c r="D536" i="1" s="1"/>
  <c r="E536" i="1" s="1"/>
  <c r="C554" i="1"/>
  <c r="D554" i="1" s="1"/>
  <c r="F554" i="1" s="1"/>
  <c r="C576" i="1"/>
  <c r="D576" i="1" s="1"/>
  <c r="E576" i="1" s="1"/>
  <c r="C625" i="1"/>
  <c r="D625" i="1" s="1"/>
  <c r="C638" i="1"/>
  <c r="D638" i="1" s="1"/>
  <c r="E638" i="1" s="1"/>
  <c r="C656" i="1"/>
  <c r="D656" i="1" s="1"/>
  <c r="E656" i="1" s="1"/>
  <c r="C722" i="1"/>
  <c r="D722" i="1" s="1"/>
  <c r="E722" i="1" s="1"/>
  <c r="C735" i="1"/>
  <c r="D735" i="1" s="1"/>
  <c r="C771" i="1"/>
  <c r="D771" i="1" s="1"/>
  <c r="E771" i="1" s="1"/>
  <c r="C134" i="1"/>
  <c r="D134" i="1" s="1"/>
  <c r="F134" i="1" s="1"/>
  <c r="C175" i="1"/>
  <c r="D175" i="1" s="1"/>
  <c r="E175" i="1" s="1"/>
  <c r="C201" i="1"/>
  <c r="D201" i="1" s="1"/>
  <c r="C224" i="1"/>
  <c r="D224" i="1" s="1"/>
  <c r="C258" i="1"/>
  <c r="D258" i="1" s="1"/>
  <c r="F258" i="1" s="1"/>
  <c r="C263" i="1"/>
  <c r="D263" i="1" s="1"/>
  <c r="E263" i="1" s="1"/>
  <c r="C282" i="1"/>
  <c r="D282" i="1" s="1"/>
  <c r="F282" i="1" s="1"/>
  <c r="C296" i="1"/>
  <c r="D296" i="1" s="1"/>
  <c r="C332" i="1"/>
  <c r="D332" i="1" s="1"/>
  <c r="F332" i="1" s="1"/>
  <c r="C392" i="1"/>
  <c r="D392" i="1" s="1"/>
  <c r="F392" i="1" s="1"/>
  <c r="C399" i="1"/>
  <c r="D399" i="1" s="1"/>
  <c r="F399" i="1" s="1"/>
  <c r="C449" i="1"/>
  <c r="D449" i="1" s="1"/>
  <c r="F449" i="1" s="1"/>
  <c r="C481" i="1"/>
  <c r="D481" i="1" s="1"/>
  <c r="C496" i="1"/>
  <c r="D496" i="1" s="1"/>
  <c r="E496" i="1" s="1"/>
  <c r="C519" i="1"/>
  <c r="D519" i="1" s="1"/>
  <c r="E519" i="1" s="1"/>
  <c r="C526" i="1"/>
  <c r="D526" i="1" s="1"/>
  <c r="F526" i="1" s="1"/>
  <c r="C531" i="1"/>
  <c r="D531" i="1" s="1"/>
  <c r="E531" i="1" s="1"/>
  <c r="C559" i="1"/>
  <c r="D559" i="1" s="1"/>
  <c r="F559" i="1" s="1"/>
  <c r="C564" i="1"/>
  <c r="D564" i="1" s="1"/>
  <c r="F564" i="1" s="1"/>
  <c r="C581" i="1"/>
  <c r="D581" i="1" s="1"/>
  <c r="C600" i="1"/>
  <c r="D600" i="1" s="1"/>
  <c r="E600" i="1" s="1"/>
  <c r="C680" i="1"/>
  <c r="D680" i="1" s="1"/>
  <c r="F680" i="1" s="1"/>
  <c r="C693" i="1"/>
  <c r="D693" i="1" s="1"/>
  <c r="F693" i="1" s="1"/>
  <c r="C759" i="1"/>
  <c r="D759" i="1" s="1"/>
  <c r="F759" i="1" s="1"/>
  <c r="C122" i="1"/>
  <c r="D122" i="1" s="1"/>
  <c r="E122" i="1" s="1"/>
  <c r="C162" i="1"/>
  <c r="D162" i="1" s="1"/>
  <c r="E162" i="1" s="1"/>
  <c r="C229" i="1"/>
  <c r="D229" i="1" s="1"/>
  <c r="C290" i="1"/>
  <c r="D290" i="1" s="1"/>
  <c r="E290" i="1" s="1"/>
  <c r="C327" i="1"/>
  <c r="D327" i="1" s="1"/>
  <c r="E327" i="1" s="1"/>
  <c r="C351" i="1"/>
  <c r="D351" i="1" s="1"/>
  <c r="E351" i="1" s="1"/>
  <c r="C379" i="1"/>
  <c r="D379" i="1" s="1"/>
  <c r="C423" i="1"/>
  <c r="D423" i="1" s="1"/>
  <c r="E423" i="1" s="1"/>
  <c r="C589" i="1"/>
  <c r="D589" i="1" s="1"/>
  <c r="F589" i="1" s="1"/>
  <c r="C651" i="1"/>
  <c r="D651" i="1" s="1"/>
  <c r="C657" i="1"/>
  <c r="D657" i="1" s="1"/>
  <c r="E657" i="1" s="1"/>
  <c r="C670" i="1"/>
  <c r="D670" i="1" s="1"/>
  <c r="E670" i="1" s="1"/>
  <c r="C716" i="1"/>
  <c r="D716" i="1" s="1"/>
  <c r="E716" i="1" s="1"/>
  <c r="C730" i="1"/>
  <c r="D730" i="1" s="1"/>
  <c r="E730" i="1" s="1"/>
  <c r="C743" i="1"/>
  <c r="D743" i="1" s="1"/>
  <c r="F743" i="1" s="1"/>
  <c r="C755" i="1"/>
  <c r="D755" i="1" s="1"/>
  <c r="F755" i="1" s="1"/>
  <c r="C129" i="1"/>
  <c r="D129" i="1" s="1"/>
  <c r="F129" i="1" s="1"/>
  <c r="C135" i="1"/>
  <c r="D135" i="1" s="1"/>
  <c r="E135" i="1" s="1"/>
  <c r="C152" i="1"/>
  <c r="D152" i="1" s="1"/>
  <c r="F152" i="1" s="1"/>
  <c r="C169" i="1"/>
  <c r="D169" i="1" s="1"/>
  <c r="F169" i="1" s="1"/>
  <c r="C182" i="1"/>
  <c r="D182" i="1" s="1"/>
  <c r="C188" i="1"/>
  <c r="D188" i="1" s="1"/>
  <c r="E188" i="1" s="1"/>
  <c r="C208" i="1"/>
  <c r="D208" i="1" s="1"/>
  <c r="F208" i="1" s="1"/>
  <c r="C301" i="1"/>
  <c r="D301" i="1" s="1"/>
  <c r="E301" i="1" s="1"/>
  <c r="C315" i="1"/>
  <c r="D315" i="1" s="1"/>
  <c r="E315" i="1" s="1"/>
  <c r="C322" i="1"/>
  <c r="D322" i="1" s="1"/>
  <c r="E322" i="1" s="1"/>
  <c r="C358" i="1"/>
  <c r="D358" i="1" s="1"/>
  <c r="E358" i="1" s="1"/>
  <c r="C374" i="1"/>
  <c r="D374" i="1" s="1"/>
  <c r="C400" i="1"/>
  <c r="D400" i="1" s="1"/>
  <c r="F400" i="1" s="1"/>
  <c r="C431" i="1"/>
  <c r="D431" i="1" s="1"/>
  <c r="F431" i="1" s="1"/>
  <c r="C439" i="1"/>
  <c r="D439" i="1" s="1"/>
  <c r="E439" i="1" s="1"/>
  <c r="C443" i="1"/>
  <c r="D443" i="1" s="1"/>
  <c r="F443" i="1" s="1"/>
  <c r="C462" i="1"/>
  <c r="D462" i="1" s="1"/>
  <c r="E462" i="1" s="1"/>
  <c r="C467" i="1"/>
  <c r="D467" i="1" s="1"/>
  <c r="E467" i="1" s="1"/>
  <c r="C475" i="1"/>
  <c r="D475" i="1" s="1"/>
  <c r="E475" i="1" s="1"/>
  <c r="C488" i="1"/>
  <c r="D488" i="1" s="1"/>
  <c r="E488" i="1" s="1"/>
  <c r="C577" i="1"/>
  <c r="D577" i="1" s="1"/>
  <c r="C601" i="1"/>
  <c r="D601" i="1" s="1"/>
  <c r="F601" i="1" s="1"/>
  <c r="C613" i="1"/>
  <c r="D613" i="1" s="1"/>
  <c r="C688" i="1"/>
  <c r="D688" i="1" s="1"/>
  <c r="F688" i="1" s="1"/>
  <c r="C709" i="1"/>
  <c r="D709" i="1" s="1"/>
  <c r="E709" i="1" s="1"/>
  <c r="C760" i="1"/>
  <c r="D760" i="1" s="1"/>
  <c r="E760" i="1" s="1"/>
  <c r="C116" i="1"/>
  <c r="D116" i="1" s="1"/>
  <c r="E116" i="1" s="1"/>
  <c r="C140" i="1"/>
  <c r="D140" i="1" s="1"/>
  <c r="C176" i="1"/>
  <c r="D176" i="1" s="1"/>
  <c r="F176" i="1" s="1"/>
  <c r="C202" i="1"/>
  <c r="D202" i="1" s="1"/>
  <c r="E202" i="1" s="1"/>
  <c r="C213" i="1"/>
  <c r="D213" i="1" s="1"/>
  <c r="E213" i="1" s="1"/>
  <c r="C225" i="1"/>
  <c r="D225" i="1" s="1"/>
  <c r="F225" i="1" s="1"/>
  <c r="C265" i="1"/>
  <c r="D265" i="1" s="1"/>
  <c r="E265" i="1" s="1"/>
  <c r="C273" i="1"/>
  <c r="D273" i="1" s="1"/>
  <c r="F273" i="1" s="1"/>
  <c r="C278" i="1"/>
  <c r="D278" i="1" s="1"/>
  <c r="F278" i="1" s="1"/>
  <c r="C309" i="1"/>
  <c r="D309" i="1" s="1"/>
  <c r="F309" i="1" s="1"/>
  <c r="C339" i="1"/>
  <c r="D339" i="1" s="1"/>
  <c r="C346" i="1"/>
  <c r="D346" i="1" s="1"/>
  <c r="C380" i="1"/>
  <c r="D380" i="1" s="1"/>
  <c r="C406" i="1"/>
  <c r="D406" i="1" s="1"/>
  <c r="E406" i="1" s="1"/>
  <c r="C457" i="1"/>
  <c r="D457" i="1" s="1"/>
  <c r="F457" i="1" s="1"/>
  <c r="C497" i="1"/>
  <c r="D497" i="1" s="1"/>
  <c r="F497" i="1" s="1"/>
  <c r="C136" i="1"/>
  <c r="D136" i="1" s="1"/>
  <c r="F136" i="1" s="1"/>
  <c r="C146" i="1"/>
  <c r="D146" i="1" s="1"/>
  <c r="E146" i="1" s="1"/>
  <c r="C156" i="1"/>
  <c r="D156" i="1" s="1"/>
  <c r="E156" i="1" s="1"/>
  <c r="C209" i="1"/>
  <c r="D209" i="1" s="1"/>
  <c r="E209" i="1" s="1"/>
  <c r="C259" i="1"/>
  <c r="D259" i="1" s="1"/>
  <c r="F259" i="1" s="1"/>
  <c r="C284" i="1"/>
  <c r="D284" i="1" s="1"/>
  <c r="E284" i="1" s="1"/>
  <c r="C323" i="1"/>
  <c r="D323" i="1" s="1"/>
  <c r="F323" i="1" s="1"/>
  <c r="C328" i="1"/>
  <c r="D328" i="1" s="1"/>
  <c r="E328" i="1" s="1"/>
  <c r="C352" i="1"/>
  <c r="D352" i="1" s="1"/>
  <c r="E352" i="1" s="1"/>
  <c r="C394" i="1"/>
  <c r="D394" i="1" s="1"/>
  <c r="E394" i="1" s="1"/>
  <c r="C417" i="1"/>
  <c r="D417" i="1" s="1"/>
  <c r="C170" i="1"/>
  <c r="D170" i="1" s="1"/>
  <c r="E170" i="1" s="1"/>
  <c r="C177" i="1"/>
  <c r="D177" i="1" s="1"/>
  <c r="C183" i="1"/>
  <c r="D183" i="1" s="1"/>
  <c r="E183" i="1" s="1"/>
  <c r="C219" i="1"/>
  <c r="D219" i="1" s="1"/>
  <c r="E219" i="1" s="1"/>
  <c r="C226" i="1"/>
  <c r="D226" i="1" s="1"/>
  <c r="E226" i="1" s="1"/>
  <c r="C238" i="1"/>
  <c r="D238" i="1" s="1"/>
  <c r="E238" i="1" s="1"/>
  <c r="C245" i="1"/>
  <c r="D245" i="1" s="1"/>
  <c r="E245" i="1" s="1"/>
  <c r="C279" i="1"/>
  <c r="D279" i="1" s="1"/>
  <c r="E279" i="1" s="1"/>
  <c r="C368" i="1"/>
  <c r="D368" i="1" s="1"/>
  <c r="E368" i="1" s="1"/>
  <c r="C401" i="1"/>
  <c r="D401" i="1" s="1"/>
  <c r="F401" i="1" s="1"/>
  <c r="C411" i="1"/>
  <c r="D411" i="1" s="1"/>
  <c r="E411" i="1" s="1"/>
  <c r="C424" i="1"/>
  <c r="D424" i="1" s="1"/>
  <c r="E424" i="1" s="1"/>
  <c r="C433" i="1"/>
  <c r="D433" i="1" s="1"/>
  <c r="F433" i="1" s="1"/>
  <c r="C483" i="1"/>
  <c r="D483" i="1" s="1"/>
  <c r="C528" i="1"/>
  <c r="D528" i="1" s="1"/>
  <c r="E528" i="1" s="1"/>
  <c r="C542" i="1"/>
  <c r="D542" i="1" s="1"/>
  <c r="C556" i="1"/>
  <c r="D556" i="1" s="1"/>
  <c r="F556" i="1" s="1"/>
  <c r="C561" i="1"/>
  <c r="D561" i="1" s="1"/>
  <c r="E561" i="1" s="1"/>
  <c r="C609" i="1"/>
  <c r="D609" i="1" s="1"/>
  <c r="C633" i="1"/>
  <c r="D633" i="1" s="1"/>
  <c r="F633" i="1" s="1"/>
  <c r="C703" i="1"/>
  <c r="D703" i="1" s="1"/>
  <c r="E703" i="1" s="1"/>
  <c r="C738" i="1"/>
  <c r="D738" i="1" s="1"/>
  <c r="F738" i="1" s="1"/>
  <c r="C746" i="1"/>
  <c r="D746" i="1" s="1"/>
  <c r="E746" i="1" s="1"/>
  <c r="C124" i="1"/>
  <c r="D124" i="1" s="1"/>
  <c r="E124" i="1" s="1"/>
  <c r="C164" i="1"/>
  <c r="D164" i="1" s="1"/>
  <c r="E164" i="1" s="1"/>
  <c r="C232" i="1"/>
  <c r="D232" i="1" s="1"/>
  <c r="F232" i="1" s="1"/>
  <c r="C266" i="1"/>
  <c r="D266" i="1" s="1"/>
  <c r="F266" i="1" s="1"/>
  <c r="C274" i="1"/>
  <c r="D274" i="1" s="1"/>
  <c r="C285" i="1"/>
  <c r="D285" i="1" s="1"/>
  <c r="E285" i="1" s="1"/>
  <c r="C303" i="1"/>
  <c r="D303" i="1" s="1"/>
  <c r="E303" i="1" s="1"/>
  <c r="C311" i="1"/>
  <c r="D311" i="1" s="1"/>
  <c r="E311" i="1" s="1"/>
  <c r="C333" i="1"/>
  <c r="D333" i="1" s="1"/>
  <c r="C340" i="1"/>
  <c r="D340" i="1" s="1"/>
  <c r="F340" i="1" s="1"/>
  <c r="C375" i="1"/>
  <c r="D375" i="1" s="1"/>
  <c r="F375" i="1" s="1"/>
  <c r="C388" i="1"/>
  <c r="D388" i="1" s="1"/>
  <c r="E388" i="1" s="1"/>
  <c r="C463" i="1"/>
  <c r="D463" i="1" s="1"/>
  <c r="F463" i="1" s="1"/>
  <c r="C469" i="1"/>
  <c r="D469" i="1" s="1"/>
  <c r="F469" i="1" s="1"/>
  <c r="C504" i="1"/>
  <c r="D504" i="1" s="1"/>
  <c r="F504" i="1" s="1"/>
  <c r="C591" i="1"/>
  <c r="D591" i="1" s="1"/>
  <c r="E591" i="1" s="1"/>
  <c r="C603" i="1"/>
  <c r="D603" i="1" s="1"/>
  <c r="E603" i="1" s="1"/>
  <c r="C641" i="1"/>
  <c r="D641" i="1" s="1"/>
  <c r="F641" i="1" s="1"/>
  <c r="C653" i="1"/>
  <c r="D653" i="1" s="1"/>
  <c r="F653" i="1" s="1"/>
  <c r="C711" i="1"/>
  <c r="D711" i="1" s="1"/>
  <c r="F711" i="1" s="1"/>
  <c r="C752" i="1"/>
  <c r="D752" i="1" s="1"/>
  <c r="E752" i="1" s="1"/>
  <c r="C761" i="1"/>
  <c r="D761" i="1" s="1"/>
  <c r="F761" i="1" s="1"/>
  <c r="C768" i="1"/>
  <c r="D768" i="1" s="1"/>
  <c r="F768" i="1" s="1"/>
  <c r="C153" i="1"/>
  <c r="D153" i="1" s="1"/>
  <c r="E153" i="1" s="1"/>
  <c r="C184" i="1"/>
  <c r="D184" i="1" s="1"/>
  <c r="C210" i="1"/>
  <c r="D210" i="1" s="1"/>
  <c r="E210" i="1" s="1"/>
  <c r="C215" i="1"/>
  <c r="D215" i="1" s="1"/>
  <c r="C239" i="1"/>
  <c r="D239" i="1" s="1"/>
  <c r="E239" i="1" s="1"/>
  <c r="C395" i="1"/>
  <c r="D395" i="1" s="1"/>
  <c r="E395" i="1" s="1"/>
  <c r="C407" i="1"/>
  <c r="D407" i="1" s="1"/>
  <c r="E407" i="1" s="1"/>
  <c r="C440" i="1"/>
  <c r="D440" i="1" s="1"/>
  <c r="F440" i="1" s="1"/>
  <c r="C451" i="1"/>
  <c r="D451" i="1" s="1"/>
  <c r="E451" i="1" s="1"/>
  <c r="C522" i="1"/>
  <c r="D522" i="1" s="1"/>
  <c r="E522" i="1" s="1"/>
  <c r="C538" i="1"/>
  <c r="D538" i="1" s="1"/>
  <c r="E538" i="1" s="1"/>
  <c r="C543" i="1"/>
  <c r="D543" i="1" s="1"/>
  <c r="E543" i="1" s="1"/>
  <c r="C551" i="1"/>
  <c r="D551" i="1" s="1"/>
  <c r="E551" i="1" s="1"/>
  <c r="C567" i="1"/>
  <c r="D567" i="1" s="1"/>
  <c r="F567" i="1" s="1"/>
  <c r="C584" i="1"/>
  <c r="D584" i="1" s="1"/>
  <c r="E584" i="1" s="1"/>
  <c r="C615" i="1"/>
  <c r="D615" i="1" s="1"/>
  <c r="F615" i="1" s="1"/>
  <c r="C621" i="1"/>
  <c r="D621" i="1" s="1"/>
  <c r="F621" i="1" s="1"/>
  <c r="C673" i="1"/>
  <c r="D673" i="1" s="1"/>
  <c r="C698" i="1"/>
  <c r="D698" i="1" s="1"/>
  <c r="E698" i="1" s="1"/>
  <c r="C732" i="1"/>
  <c r="D732" i="1" s="1"/>
  <c r="C148" i="1"/>
  <c r="D148" i="1" s="1"/>
  <c r="E148" i="1" s="1"/>
  <c r="C159" i="1"/>
  <c r="D159" i="1" s="1"/>
  <c r="F159" i="1" s="1"/>
  <c r="C199" i="1"/>
  <c r="D199" i="1" s="1"/>
  <c r="E199" i="1" s="1"/>
  <c r="C216" i="1"/>
  <c r="D216" i="1" s="1"/>
  <c r="E216" i="1" s="1"/>
  <c r="C227" i="1"/>
  <c r="D227" i="1" s="1"/>
  <c r="E227" i="1" s="1"/>
  <c r="C240" i="1"/>
  <c r="D240" i="1" s="1"/>
  <c r="C254" i="1"/>
  <c r="D254" i="1" s="1"/>
  <c r="F254" i="1" s="1"/>
  <c r="C261" i="1"/>
  <c r="D261" i="1" s="1"/>
  <c r="E261" i="1" s="1"/>
  <c r="C287" i="1"/>
  <c r="D287" i="1" s="1"/>
  <c r="F287" i="1" s="1"/>
  <c r="C354" i="1"/>
  <c r="D354" i="1" s="1"/>
  <c r="E354" i="1" s="1"/>
  <c r="C403" i="1"/>
  <c r="D403" i="1" s="1"/>
  <c r="C413" i="1"/>
  <c r="D413" i="1" s="1"/>
  <c r="F413" i="1" s="1"/>
  <c r="C464" i="1"/>
  <c r="D464" i="1" s="1"/>
  <c r="F464" i="1" s="1"/>
  <c r="C579" i="1"/>
  <c r="D579" i="1" s="1"/>
  <c r="F579" i="1" s="1"/>
  <c r="C585" i="1"/>
  <c r="D585" i="1" s="1"/>
  <c r="F585" i="1" s="1"/>
  <c r="C592" i="1"/>
  <c r="D592" i="1" s="1"/>
  <c r="C597" i="1"/>
  <c r="D597" i="1" s="1"/>
  <c r="E597" i="1" s="1"/>
  <c r="C677" i="1"/>
  <c r="D677" i="1" s="1"/>
  <c r="F677" i="1" s="1"/>
  <c r="C753" i="1"/>
  <c r="D753" i="1" s="1"/>
  <c r="F753" i="1" s="1"/>
  <c r="C757" i="1"/>
  <c r="D757" i="1" s="1"/>
  <c r="C762" i="1"/>
  <c r="D762" i="1" s="1"/>
  <c r="E762" i="1" s="1"/>
  <c r="C769" i="1"/>
  <c r="D769" i="1" s="1"/>
  <c r="E769" i="1" s="1"/>
  <c r="C956" i="1"/>
  <c r="D956" i="1" s="1"/>
  <c r="E956" i="1" s="1"/>
  <c r="J497" i="1"/>
  <c r="K497" i="1"/>
  <c r="C110" i="1"/>
  <c r="D110" i="1" s="1"/>
  <c r="F110" i="1" s="1"/>
  <c r="C87" i="1"/>
  <c r="D87" i="1" s="1"/>
  <c r="C113" i="1"/>
  <c r="D113" i="1" s="1"/>
  <c r="L96" i="1"/>
  <c r="M96" i="1" s="1"/>
  <c r="N96" i="1" s="1"/>
  <c r="P96" i="1" s="1"/>
  <c r="H90" i="1"/>
  <c r="I90" i="1" s="1"/>
  <c r="K90" i="1" s="1"/>
  <c r="C76" i="1"/>
  <c r="D76" i="1" s="1"/>
  <c r="E76" i="1" s="1"/>
  <c r="L35" i="1"/>
  <c r="M35" i="1" s="1"/>
  <c r="N35" i="1" s="1"/>
  <c r="L23" i="1"/>
  <c r="M23" i="1" s="1"/>
  <c r="N23" i="1" s="1"/>
  <c r="P23" i="1" s="1"/>
  <c r="C1002" i="1"/>
  <c r="D1002" i="1" s="1"/>
  <c r="E1002" i="1" s="1"/>
  <c r="C982" i="1"/>
  <c r="D982" i="1" s="1"/>
  <c r="F982" i="1" s="1"/>
  <c r="C960" i="1"/>
  <c r="D960" i="1" s="1"/>
  <c r="F960" i="1" s="1"/>
  <c r="C920" i="1"/>
  <c r="D920" i="1" s="1"/>
  <c r="F920" i="1" s="1"/>
  <c r="C914" i="1"/>
  <c r="D914" i="1" s="1"/>
  <c r="F914" i="1" s="1"/>
  <c r="C910" i="1"/>
  <c r="D910" i="1" s="1"/>
  <c r="F910" i="1" s="1"/>
  <c r="L897" i="1"/>
  <c r="M897" i="1" s="1"/>
  <c r="N897" i="1" s="1"/>
  <c r="O897" i="1" s="1"/>
  <c r="C871" i="1"/>
  <c r="D871" i="1" s="1"/>
  <c r="E871" i="1" s="1"/>
  <c r="C864" i="1"/>
  <c r="D864" i="1" s="1"/>
  <c r="E864" i="1" s="1"/>
  <c r="C849" i="1"/>
  <c r="D849" i="1" s="1"/>
  <c r="E849" i="1" s="1"/>
  <c r="H816" i="1"/>
  <c r="I816" i="1" s="1"/>
  <c r="J816" i="1" s="1"/>
  <c r="H809" i="1"/>
  <c r="I809" i="1" s="1"/>
  <c r="C803" i="1"/>
  <c r="D803" i="1" s="1"/>
  <c r="C792" i="1"/>
  <c r="D792" i="1" s="1"/>
  <c r="E792" i="1" s="1"/>
  <c r="C786" i="1"/>
  <c r="D786" i="1" s="1"/>
  <c r="L778" i="1"/>
  <c r="M778" i="1" s="1"/>
  <c r="N778" i="1" s="1"/>
  <c r="O778" i="1" s="1"/>
  <c r="H769" i="1"/>
  <c r="I769" i="1" s="1"/>
  <c r="J769" i="1" s="1"/>
  <c r="C751" i="1"/>
  <c r="D751" i="1" s="1"/>
  <c r="F751" i="1" s="1"/>
  <c r="H739" i="1"/>
  <c r="I739" i="1" s="1"/>
  <c r="J739" i="1" s="1"/>
  <c r="C729" i="1"/>
  <c r="D729" i="1" s="1"/>
  <c r="F729" i="1" s="1"/>
  <c r="G729" i="1"/>
  <c r="H729" i="1" s="1"/>
  <c r="I729" i="1" s="1"/>
  <c r="L718" i="1"/>
  <c r="M718" i="1" s="1"/>
  <c r="N718" i="1" s="1"/>
  <c r="O718" i="1" s="1"/>
  <c r="L698" i="1"/>
  <c r="M698" i="1" s="1"/>
  <c r="N698" i="1" s="1"/>
  <c r="O698" i="1" s="1"/>
  <c r="C668" i="1"/>
  <c r="D668" i="1" s="1"/>
  <c r="E668" i="1" s="1"/>
  <c r="L659" i="1"/>
  <c r="M659" i="1" s="1"/>
  <c r="N659" i="1" s="1"/>
  <c r="P659" i="1" s="1"/>
  <c r="L643" i="1"/>
  <c r="M643" i="1" s="1"/>
  <c r="N643" i="1" s="1"/>
  <c r="P643" i="1" s="1"/>
  <c r="C632" i="1"/>
  <c r="D632" i="1" s="1"/>
  <c r="E632" i="1" s="1"/>
  <c r="H613" i="1"/>
  <c r="I613" i="1" s="1"/>
  <c r="J613" i="1" s="1"/>
  <c r="C595" i="1"/>
  <c r="D595" i="1" s="1"/>
  <c r="E595" i="1" s="1"/>
  <c r="H585" i="1"/>
  <c r="I585" i="1" s="1"/>
  <c r="J585" i="1" s="1"/>
  <c r="L576" i="1"/>
  <c r="M576" i="1" s="1"/>
  <c r="N576" i="1" s="1"/>
  <c r="O576" i="1" s="1"/>
  <c r="L538" i="1"/>
  <c r="M538" i="1" s="1"/>
  <c r="N538" i="1" s="1"/>
  <c r="O538" i="1" s="1"/>
  <c r="H530" i="1"/>
  <c r="I530" i="1" s="1"/>
  <c r="J530" i="1" s="1"/>
  <c r="L519" i="1"/>
  <c r="M519" i="1" s="1"/>
  <c r="N519" i="1" s="1"/>
  <c r="P519" i="1" s="1"/>
  <c r="H466" i="1"/>
  <c r="I466" i="1" s="1"/>
  <c r="J466" i="1" s="1"/>
  <c r="H457" i="1"/>
  <c r="I457" i="1" s="1"/>
  <c r="L383" i="1"/>
  <c r="M383" i="1" s="1"/>
  <c r="N383" i="1" s="1"/>
  <c r="P383" i="1" s="1"/>
  <c r="H344" i="1"/>
  <c r="I344" i="1" s="1"/>
  <c r="J344" i="1" s="1"/>
  <c r="L254" i="1"/>
  <c r="M254" i="1" s="1"/>
  <c r="N254" i="1" s="1"/>
  <c r="O254" i="1" s="1"/>
  <c r="H240" i="1"/>
  <c r="I240" i="1" s="1"/>
  <c r="J240" i="1" s="1"/>
  <c r="H217" i="1"/>
  <c r="I217" i="1" s="1"/>
  <c r="J217" i="1" s="1"/>
  <c r="H184" i="1"/>
  <c r="I184" i="1" s="1"/>
  <c r="J184" i="1" s="1"/>
  <c r="C171" i="1"/>
  <c r="D171" i="1" s="1"/>
  <c r="E171" i="1" s="1"/>
  <c r="G171" i="1"/>
  <c r="L171" i="1" s="1"/>
  <c r="M171" i="1" s="1"/>
  <c r="N171" i="1" s="1"/>
  <c r="O171" i="1" s="1"/>
  <c r="L161" i="1"/>
  <c r="M161" i="1" s="1"/>
  <c r="N161" i="1" s="1"/>
  <c r="O161" i="1" s="1"/>
  <c r="H128" i="1"/>
  <c r="I128" i="1" s="1"/>
  <c r="L128" i="1"/>
  <c r="M128" i="1" s="1"/>
  <c r="N128" i="1" s="1"/>
  <c r="P128" i="1" s="1"/>
  <c r="C74" i="1"/>
  <c r="D74" i="1" s="1"/>
  <c r="F74" i="1" s="1"/>
  <c r="C663" i="1"/>
  <c r="D663" i="1" s="1"/>
  <c r="F663" i="1" s="1"/>
  <c r="H113" i="1"/>
  <c r="I113" i="1" s="1"/>
  <c r="J113" i="1" s="1"/>
  <c r="L68" i="1"/>
  <c r="M68" i="1" s="1"/>
  <c r="N68" i="1" s="1"/>
  <c r="P68" i="1" s="1"/>
  <c r="C102" i="1"/>
  <c r="D102" i="1" s="1"/>
  <c r="E102" i="1" s="1"/>
  <c r="C109" i="1"/>
  <c r="D109" i="1" s="1"/>
  <c r="E109" i="1" s="1"/>
  <c r="C72" i="1"/>
  <c r="D72" i="1" s="1"/>
  <c r="E72" i="1" s="1"/>
  <c r="C67" i="1"/>
  <c r="D67" i="1" s="1"/>
  <c r="F67" i="1" s="1"/>
  <c r="C46" i="1"/>
  <c r="D46" i="1" s="1"/>
  <c r="E46" i="1" s="1"/>
  <c r="C40" i="1"/>
  <c r="D40" i="1" s="1"/>
  <c r="L34" i="1"/>
  <c r="M34" i="1" s="1"/>
  <c r="N34" i="1" s="1"/>
  <c r="O34" i="1" s="1"/>
  <c r="H29" i="1"/>
  <c r="I29" i="1" s="1"/>
  <c r="C23" i="1"/>
  <c r="D23" i="1" s="1"/>
  <c r="E23" i="1" s="1"/>
  <c r="H1002" i="1"/>
  <c r="I1002" i="1" s="1"/>
  <c r="C987" i="1"/>
  <c r="D987" i="1" s="1"/>
  <c r="E987" i="1" s="1"/>
  <c r="C966" i="1"/>
  <c r="D966" i="1" s="1"/>
  <c r="E966" i="1" s="1"/>
  <c r="C945" i="1"/>
  <c r="D945" i="1" s="1"/>
  <c r="E945" i="1" s="1"/>
  <c r="C930" i="1"/>
  <c r="D930" i="1" s="1"/>
  <c r="F930" i="1" s="1"/>
  <c r="H914" i="1"/>
  <c r="I914" i="1" s="1"/>
  <c r="J914" i="1" s="1"/>
  <c r="C885" i="1"/>
  <c r="D885" i="1" s="1"/>
  <c r="C878" i="1"/>
  <c r="D878" i="1" s="1"/>
  <c r="E878" i="1" s="1"/>
  <c r="L863" i="1"/>
  <c r="M863" i="1" s="1"/>
  <c r="N863" i="1" s="1"/>
  <c r="O863" i="1" s="1"/>
  <c r="H848" i="1"/>
  <c r="I848" i="1" s="1"/>
  <c r="J848" i="1" s="1"/>
  <c r="C842" i="1"/>
  <c r="D842" i="1" s="1"/>
  <c r="F842" i="1" s="1"/>
  <c r="C835" i="1"/>
  <c r="D835" i="1" s="1"/>
  <c r="E835" i="1" s="1"/>
  <c r="C829" i="1"/>
  <c r="D829" i="1" s="1"/>
  <c r="F829" i="1" s="1"/>
  <c r="C816" i="1"/>
  <c r="D816" i="1" s="1"/>
  <c r="F816" i="1" s="1"/>
  <c r="C809" i="1"/>
  <c r="D809" i="1" s="1"/>
  <c r="E809" i="1" s="1"/>
  <c r="C799" i="1"/>
  <c r="D799" i="1" s="1"/>
  <c r="E799" i="1" s="1"/>
  <c r="C778" i="1"/>
  <c r="D778" i="1" s="1"/>
  <c r="E778" i="1" s="1"/>
  <c r="H768" i="1"/>
  <c r="I768" i="1" s="1"/>
  <c r="K768" i="1" s="1"/>
  <c r="C739" i="1"/>
  <c r="D739" i="1" s="1"/>
  <c r="H718" i="1"/>
  <c r="I718" i="1" s="1"/>
  <c r="J718" i="1" s="1"/>
  <c r="C667" i="1"/>
  <c r="D667" i="1" s="1"/>
  <c r="E667" i="1" s="1"/>
  <c r="H658" i="1"/>
  <c r="I658" i="1" s="1"/>
  <c r="J658" i="1" s="1"/>
  <c r="L649" i="1"/>
  <c r="M649" i="1" s="1"/>
  <c r="N649" i="1" s="1"/>
  <c r="O649" i="1" s="1"/>
  <c r="L613" i="1"/>
  <c r="M613" i="1" s="1"/>
  <c r="N613" i="1" s="1"/>
  <c r="O613" i="1" s="1"/>
  <c r="C566" i="1"/>
  <c r="D566" i="1" s="1"/>
  <c r="E566" i="1" s="1"/>
  <c r="H538" i="1"/>
  <c r="I538" i="1" s="1"/>
  <c r="H519" i="1"/>
  <c r="I519" i="1" s="1"/>
  <c r="J519" i="1" s="1"/>
  <c r="C500" i="1"/>
  <c r="D500" i="1" s="1"/>
  <c r="E500" i="1" s="1"/>
  <c r="C489" i="1"/>
  <c r="D489" i="1" s="1"/>
  <c r="E489" i="1" s="1"/>
  <c r="G489" i="1"/>
  <c r="L489" i="1" s="1"/>
  <c r="M489" i="1" s="1"/>
  <c r="N489" i="1" s="1"/>
  <c r="P489" i="1" s="1"/>
  <c r="L477" i="1"/>
  <c r="M477" i="1" s="1"/>
  <c r="N477" i="1" s="1"/>
  <c r="O477" i="1" s="1"/>
  <c r="L444" i="1"/>
  <c r="M444" i="1" s="1"/>
  <c r="N444" i="1" s="1"/>
  <c r="O444" i="1" s="1"/>
  <c r="L408" i="1"/>
  <c r="M408" i="1" s="1"/>
  <c r="N408" i="1" s="1"/>
  <c r="P408" i="1" s="1"/>
  <c r="C383" i="1"/>
  <c r="D383" i="1" s="1"/>
  <c r="E383" i="1" s="1"/>
  <c r="L277" i="1"/>
  <c r="M277" i="1" s="1"/>
  <c r="N277" i="1" s="1"/>
  <c r="H776" i="1"/>
  <c r="I776" i="1" s="1"/>
  <c r="J776" i="1" s="1"/>
  <c r="L776" i="1"/>
  <c r="M776" i="1" s="1"/>
  <c r="N776" i="1" s="1"/>
  <c r="P776" i="1" s="1"/>
  <c r="C48" i="1"/>
  <c r="D48" i="1" s="1"/>
  <c r="C979" i="1"/>
  <c r="D979" i="1" s="1"/>
  <c r="E979" i="1" s="1"/>
  <c r="C912" i="1"/>
  <c r="D912" i="1" s="1"/>
  <c r="E912" i="1" s="1"/>
  <c r="H92" i="1"/>
  <c r="I92" i="1" s="1"/>
  <c r="K92" i="1" s="1"/>
  <c r="C101" i="1"/>
  <c r="D101" i="1" s="1"/>
  <c r="F101" i="1" s="1"/>
  <c r="C96" i="1"/>
  <c r="D96" i="1" s="1"/>
  <c r="C90" i="1"/>
  <c r="D90" i="1" s="1"/>
  <c r="F90" i="1" s="1"/>
  <c r="C85" i="1"/>
  <c r="D85" i="1" s="1"/>
  <c r="F85" i="1" s="1"/>
  <c r="C62" i="1"/>
  <c r="D62" i="1" s="1"/>
  <c r="F62" i="1" s="1"/>
  <c r="H56" i="1"/>
  <c r="I56" i="1" s="1"/>
  <c r="K56" i="1" s="1"/>
  <c r="H46" i="1"/>
  <c r="I46" i="1" s="1"/>
  <c r="J46" i="1" s="1"/>
  <c r="C34" i="1"/>
  <c r="D34" i="1" s="1"/>
  <c r="L28" i="1"/>
  <c r="M28" i="1" s="1"/>
  <c r="N28" i="1" s="1"/>
  <c r="O28" i="1" s="1"/>
  <c r="H22" i="1"/>
  <c r="I22" i="1" s="1"/>
  <c r="C1001" i="1"/>
  <c r="D1001" i="1" s="1"/>
  <c r="F1001" i="1" s="1"/>
  <c r="H981" i="1"/>
  <c r="I981" i="1" s="1"/>
  <c r="K981" i="1" s="1"/>
  <c r="C974" i="1"/>
  <c r="D974" i="1" s="1"/>
  <c r="F974" i="1" s="1"/>
  <c r="C951" i="1"/>
  <c r="D951" i="1" s="1"/>
  <c r="F951" i="1" s="1"/>
  <c r="C936" i="1"/>
  <c r="D936" i="1" s="1"/>
  <c r="E936" i="1" s="1"/>
  <c r="C924" i="1"/>
  <c r="D924" i="1" s="1"/>
  <c r="E924" i="1" s="1"/>
  <c r="C919" i="1"/>
  <c r="D919" i="1" s="1"/>
  <c r="E919" i="1" s="1"/>
  <c r="C909" i="1"/>
  <c r="D909" i="1" s="1"/>
  <c r="E909" i="1" s="1"/>
  <c r="C902" i="1"/>
  <c r="D902" i="1" s="1"/>
  <c r="E902" i="1" s="1"/>
  <c r="C896" i="1"/>
  <c r="D896" i="1" s="1"/>
  <c r="E896" i="1" s="1"/>
  <c r="C892" i="1"/>
  <c r="D892" i="1" s="1"/>
  <c r="E892" i="1" s="1"/>
  <c r="H884" i="1"/>
  <c r="I884" i="1" s="1"/>
  <c r="J884" i="1" s="1"/>
  <c r="C870" i="1"/>
  <c r="D870" i="1" s="1"/>
  <c r="F870" i="1" s="1"/>
  <c r="H863" i="1"/>
  <c r="I863" i="1" s="1"/>
  <c r="J863" i="1" s="1"/>
  <c r="C821" i="1"/>
  <c r="D821" i="1" s="1"/>
  <c r="E821" i="1" s="1"/>
  <c r="L815" i="1"/>
  <c r="M815" i="1" s="1"/>
  <c r="N815" i="1" s="1"/>
  <c r="H799" i="1"/>
  <c r="I799" i="1" s="1"/>
  <c r="J799" i="1" s="1"/>
  <c r="C785" i="1"/>
  <c r="D785" i="1" s="1"/>
  <c r="F785" i="1" s="1"/>
  <c r="H767" i="1"/>
  <c r="I767" i="1" s="1"/>
  <c r="J767" i="1" s="1"/>
  <c r="H750" i="1"/>
  <c r="I750" i="1" s="1"/>
  <c r="J750" i="1" s="1"/>
  <c r="C727" i="1"/>
  <c r="D727" i="1" s="1"/>
  <c r="F727" i="1" s="1"/>
  <c r="C717" i="1"/>
  <c r="D717" i="1" s="1"/>
  <c r="E717" i="1" s="1"/>
  <c r="G717" i="1"/>
  <c r="L717" i="1" s="1"/>
  <c r="M717" i="1" s="1"/>
  <c r="N717" i="1" s="1"/>
  <c r="P717" i="1" s="1"/>
  <c r="C687" i="1"/>
  <c r="D687" i="1" s="1"/>
  <c r="E687" i="1" s="1"/>
  <c r="G687" i="1"/>
  <c r="C676" i="1"/>
  <c r="D676" i="1" s="1"/>
  <c r="E676" i="1" s="1"/>
  <c r="G676" i="1"/>
  <c r="L676" i="1" s="1"/>
  <c r="M676" i="1" s="1"/>
  <c r="N676" i="1" s="1"/>
  <c r="P676" i="1" s="1"/>
  <c r="C642" i="1"/>
  <c r="D642" i="1" s="1"/>
  <c r="C631" i="1"/>
  <c r="D631" i="1" s="1"/>
  <c r="E631" i="1" s="1"/>
  <c r="C575" i="1"/>
  <c r="D575" i="1" s="1"/>
  <c r="F575" i="1" s="1"/>
  <c r="L566" i="1"/>
  <c r="M566" i="1" s="1"/>
  <c r="N566" i="1" s="1"/>
  <c r="P566" i="1" s="1"/>
  <c r="C476" i="1"/>
  <c r="D476" i="1" s="1"/>
  <c r="F476" i="1" s="1"/>
  <c r="G476" i="1"/>
  <c r="H476" i="1" s="1"/>
  <c r="I476" i="1" s="1"/>
  <c r="J476" i="1" s="1"/>
  <c r="C465" i="1"/>
  <c r="D465" i="1" s="1"/>
  <c r="F465" i="1" s="1"/>
  <c r="H407" i="1"/>
  <c r="I407" i="1" s="1"/>
  <c r="C371" i="1"/>
  <c r="D371" i="1" s="1"/>
  <c r="E371" i="1" s="1"/>
  <c r="H342" i="1"/>
  <c r="I342" i="1" s="1"/>
  <c r="J342" i="1" s="1"/>
  <c r="H307" i="1"/>
  <c r="I307" i="1" s="1"/>
  <c r="J307" i="1" s="1"/>
  <c r="H159" i="1"/>
  <c r="I159" i="1" s="1"/>
  <c r="J159" i="1" s="1"/>
  <c r="C108" i="1"/>
  <c r="D108" i="1" s="1"/>
  <c r="F108" i="1" s="1"/>
  <c r="H62" i="1"/>
  <c r="I62" i="1" s="1"/>
  <c r="J62" i="1" s="1"/>
  <c r="C50" i="1"/>
  <c r="D50" i="1" s="1"/>
  <c r="E50" i="1" s="1"/>
  <c r="C39" i="1"/>
  <c r="D39" i="1" s="1"/>
  <c r="E39" i="1" s="1"/>
  <c r="H33" i="1"/>
  <c r="I33" i="1" s="1"/>
  <c r="K33" i="1" s="1"/>
  <c r="C28" i="1"/>
  <c r="D28" i="1" s="1"/>
  <c r="E28" i="1" s="1"/>
  <c r="C15" i="1"/>
  <c r="D15" i="1" s="1"/>
  <c r="F1008" i="1"/>
  <c r="C994" i="1"/>
  <c r="D994" i="1" s="1"/>
  <c r="F994" i="1" s="1"/>
  <c r="C986" i="1"/>
  <c r="D986" i="1" s="1"/>
  <c r="C944" i="1"/>
  <c r="D944" i="1" s="1"/>
  <c r="E944" i="1" s="1"/>
  <c r="H913" i="1"/>
  <c r="I913" i="1" s="1"/>
  <c r="K913" i="1" s="1"/>
  <c r="C884" i="1"/>
  <c r="D884" i="1" s="1"/>
  <c r="E884" i="1" s="1"/>
  <c r="C856" i="1"/>
  <c r="D856" i="1" s="1"/>
  <c r="E856" i="1" s="1"/>
  <c r="C848" i="1"/>
  <c r="D848" i="1" s="1"/>
  <c r="E848" i="1" s="1"/>
  <c r="H840" i="1"/>
  <c r="I840" i="1" s="1"/>
  <c r="K840" i="1" s="1"/>
  <c r="C834" i="1"/>
  <c r="D834" i="1" s="1"/>
  <c r="F834" i="1" s="1"/>
  <c r="L820" i="1"/>
  <c r="M820" i="1" s="1"/>
  <c r="N820" i="1" s="1"/>
  <c r="O820" i="1" s="1"/>
  <c r="C808" i="1"/>
  <c r="D808" i="1" s="1"/>
  <c r="E808" i="1" s="1"/>
  <c r="H785" i="1"/>
  <c r="I785" i="1" s="1"/>
  <c r="J785" i="1" s="1"/>
  <c r="H777" i="1"/>
  <c r="I777" i="1" s="1"/>
  <c r="K777" i="1" s="1"/>
  <c r="L777" i="1"/>
  <c r="M777" i="1" s="1"/>
  <c r="N777" i="1" s="1"/>
  <c r="O777" i="1" s="1"/>
  <c r="C767" i="1"/>
  <c r="D767" i="1" s="1"/>
  <c r="F767" i="1" s="1"/>
  <c r="C758" i="1"/>
  <c r="D758" i="1" s="1"/>
  <c r="E758" i="1" s="1"/>
  <c r="C749" i="1"/>
  <c r="D749" i="1" s="1"/>
  <c r="E749" i="1" s="1"/>
  <c r="G749" i="1"/>
  <c r="H749" i="1" s="1"/>
  <c r="I749" i="1" s="1"/>
  <c r="H716" i="1"/>
  <c r="I716" i="1" s="1"/>
  <c r="K716" i="1" s="1"/>
  <c r="C706" i="1"/>
  <c r="D706" i="1" s="1"/>
  <c r="E706" i="1" s="1"/>
  <c r="C697" i="1"/>
  <c r="D697" i="1" s="1"/>
  <c r="E697" i="1" s="1"/>
  <c r="G697" i="1"/>
  <c r="H697" i="1" s="1"/>
  <c r="I697" i="1" s="1"/>
  <c r="C675" i="1"/>
  <c r="D675" i="1" s="1"/>
  <c r="H657" i="1"/>
  <c r="I657" i="1" s="1"/>
  <c r="J657" i="1" s="1"/>
  <c r="C649" i="1"/>
  <c r="D649" i="1" s="1"/>
  <c r="E649" i="1" s="1"/>
  <c r="H631" i="1"/>
  <c r="I631" i="1" s="1"/>
  <c r="L631" i="1"/>
  <c r="M631" i="1" s="1"/>
  <c r="N631" i="1" s="1"/>
  <c r="P631" i="1" s="1"/>
  <c r="H612" i="1"/>
  <c r="I612" i="1" s="1"/>
  <c r="J612" i="1" s="1"/>
  <c r="C583" i="1"/>
  <c r="D583" i="1" s="1"/>
  <c r="H546" i="1"/>
  <c r="I546" i="1" s="1"/>
  <c r="K546" i="1" s="1"/>
  <c r="C537" i="1"/>
  <c r="D537" i="1" s="1"/>
  <c r="C529" i="1"/>
  <c r="D529" i="1" s="1"/>
  <c r="E529" i="1" s="1"/>
  <c r="G529" i="1"/>
  <c r="L529" i="1" s="1"/>
  <c r="M529" i="1" s="1"/>
  <c r="N529" i="1" s="1"/>
  <c r="O529" i="1" s="1"/>
  <c r="H499" i="1"/>
  <c r="I499" i="1" s="1"/>
  <c r="K499" i="1" s="1"/>
  <c r="H455" i="1"/>
  <c r="I455" i="1" s="1"/>
  <c r="J455" i="1" s="1"/>
  <c r="L455" i="1"/>
  <c r="M455" i="1" s="1"/>
  <c r="N455" i="1" s="1"/>
  <c r="O455" i="1" s="1"/>
  <c r="C420" i="1"/>
  <c r="D420" i="1" s="1"/>
  <c r="F420" i="1" s="1"/>
  <c r="L356" i="1"/>
  <c r="M356" i="1" s="1"/>
  <c r="N356" i="1" s="1"/>
  <c r="O356" i="1" s="1"/>
  <c r="H227" i="1"/>
  <c r="I227" i="1" s="1"/>
  <c r="K227" i="1" s="1"/>
  <c r="L227" i="1"/>
  <c r="M227" i="1" s="1"/>
  <c r="N227" i="1" s="1"/>
  <c r="P227" i="1" s="1"/>
  <c r="C204" i="1"/>
  <c r="D204" i="1" s="1"/>
  <c r="C193" i="1"/>
  <c r="D193" i="1" s="1"/>
  <c r="F193" i="1" s="1"/>
  <c r="H137" i="1"/>
  <c r="I137" i="1" s="1"/>
  <c r="J137" i="1" s="1"/>
  <c r="H536" i="1"/>
  <c r="I536" i="1" s="1"/>
  <c r="J536" i="1" s="1"/>
  <c r="L536" i="1"/>
  <c r="M536" i="1" s="1"/>
  <c r="N536" i="1" s="1"/>
  <c r="P536" i="1" s="1"/>
  <c r="C508" i="1"/>
  <c r="D508" i="1" s="1"/>
  <c r="G508" i="1"/>
  <c r="H508" i="1" s="1"/>
  <c r="I508" i="1" s="1"/>
  <c r="C81" i="1"/>
  <c r="D81" i="1" s="1"/>
  <c r="E81" i="1" s="1"/>
  <c r="C1012" i="1"/>
  <c r="D1012" i="1" s="1"/>
  <c r="F1012" i="1" s="1"/>
  <c r="C692" i="1"/>
  <c r="D692" i="1" s="1"/>
  <c r="E692" i="1" s="1"/>
  <c r="G112" i="1"/>
  <c r="H100" i="1"/>
  <c r="I100" i="1" s="1"/>
  <c r="J100" i="1" s="1"/>
  <c r="E112" i="1"/>
  <c r="L107" i="1"/>
  <c r="M107" i="1" s="1"/>
  <c r="N107" i="1" s="1"/>
  <c r="O107" i="1" s="1"/>
  <c r="G99" i="1"/>
  <c r="L99" i="1" s="1"/>
  <c r="M99" i="1" s="1"/>
  <c r="N99" i="1" s="1"/>
  <c r="O99" i="1" s="1"/>
  <c r="C89" i="1"/>
  <c r="D89" i="1" s="1"/>
  <c r="F89" i="1" s="1"/>
  <c r="H75" i="1"/>
  <c r="I75" i="1" s="1"/>
  <c r="K61" i="1"/>
  <c r="C56" i="1"/>
  <c r="D56" i="1" s="1"/>
  <c r="E56" i="1" s="1"/>
  <c r="H28" i="1"/>
  <c r="I28" i="1" s="1"/>
  <c r="J28" i="1" s="1"/>
  <c r="C981" i="1"/>
  <c r="D981" i="1" s="1"/>
  <c r="F981" i="1" s="1"/>
  <c r="G965" i="1"/>
  <c r="E958" i="1"/>
  <c r="C950" i="1"/>
  <c r="D950" i="1" s="1"/>
  <c r="E950" i="1" s="1"/>
  <c r="C923" i="1"/>
  <c r="D923" i="1" s="1"/>
  <c r="F923" i="1" s="1"/>
  <c r="C901" i="1"/>
  <c r="D901" i="1" s="1"/>
  <c r="F901" i="1" s="1"/>
  <c r="H895" i="1"/>
  <c r="I895" i="1" s="1"/>
  <c r="K895" i="1" s="1"/>
  <c r="H891" i="1"/>
  <c r="I891" i="1" s="1"/>
  <c r="J891" i="1" s="1"/>
  <c r="C877" i="1"/>
  <c r="D877" i="1" s="1"/>
  <c r="C863" i="1"/>
  <c r="D863" i="1" s="1"/>
  <c r="G847" i="1"/>
  <c r="H847" i="1" s="1"/>
  <c r="I847" i="1" s="1"/>
  <c r="K847" i="1" s="1"/>
  <c r="C833" i="1"/>
  <c r="D833" i="1" s="1"/>
  <c r="E833" i="1" s="1"/>
  <c r="C828" i="1"/>
  <c r="D828" i="1" s="1"/>
  <c r="E828" i="1" s="1"/>
  <c r="C820" i="1"/>
  <c r="D820" i="1" s="1"/>
  <c r="E820" i="1" s="1"/>
  <c r="C813" i="1"/>
  <c r="D813" i="1" s="1"/>
  <c r="E813" i="1" s="1"/>
  <c r="H808" i="1"/>
  <c r="I808" i="1" s="1"/>
  <c r="K808" i="1" s="1"/>
  <c r="C798" i="1"/>
  <c r="D798" i="1" s="1"/>
  <c r="F798" i="1" s="1"/>
  <c r="H791" i="1"/>
  <c r="I791" i="1" s="1"/>
  <c r="C784" i="1"/>
  <c r="D784" i="1" s="1"/>
  <c r="E784" i="1" s="1"/>
  <c r="L767" i="1"/>
  <c r="M767" i="1" s="1"/>
  <c r="N767" i="1" s="1"/>
  <c r="O767" i="1" s="1"/>
  <c r="C737" i="1"/>
  <c r="D737" i="1" s="1"/>
  <c r="E737" i="1" s="1"/>
  <c r="L675" i="1"/>
  <c r="M675" i="1" s="1"/>
  <c r="N675" i="1" s="1"/>
  <c r="O675" i="1" s="1"/>
  <c r="C665" i="1"/>
  <c r="D665" i="1" s="1"/>
  <c r="F665" i="1" s="1"/>
  <c r="C630" i="1"/>
  <c r="D630" i="1" s="1"/>
  <c r="E630" i="1" s="1"/>
  <c r="H619" i="1"/>
  <c r="I619" i="1" s="1"/>
  <c r="J619" i="1" s="1"/>
  <c r="C574" i="1"/>
  <c r="D574" i="1" s="1"/>
  <c r="F574" i="1" s="1"/>
  <c r="L556" i="1"/>
  <c r="M556" i="1" s="1"/>
  <c r="N556" i="1" s="1"/>
  <c r="O556" i="1" s="1"/>
  <c r="H528" i="1"/>
  <c r="I528" i="1" s="1"/>
  <c r="K528" i="1" s="1"/>
  <c r="L528" i="1"/>
  <c r="M528" i="1" s="1"/>
  <c r="N528" i="1" s="1"/>
  <c r="O528" i="1" s="1"/>
  <c r="C499" i="1"/>
  <c r="D499" i="1" s="1"/>
  <c r="F499" i="1" s="1"/>
  <c r="L442" i="1"/>
  <c r="M442" i="1" s="1"/>
  <c r="N442" i="1" s="1"/>
  <c r="P442" i="1" s="1"/>
  <c r="L406" i="1"/>
  <c r="M406" i="1" s="1"/>
  <c r="N406" i="1" s="1"/>
  <c r="P406" i="1" s="1"/>
  <c r="C355" i="1"/>
  <c r="D355" i="1" s="1"/>
  <c r="E355" i="1" s="1"/>
  <c r="G355" i="1"/>
  <c r="L355" i="1" s="1"/>
  <c r="M355" i="1" s="1"/>
  <c r="N355" i="1" s="1"/>
  <c r="P355" i="1" s="1"/>
  <c r="H340" i="1"/>
  <c r="I340" i="1" s="1"/>
  <c r="K340" i="1" s="1"/>
  <c r="H330" i="1"/>
  <c r="I330" i="1" s="1"/>
  <c r="J330" i="1" s="1"/>
  <c r="L330" i="1"/>
  <c r="M330" i="1" s="1"/>
  <c r="N330" i="1" s="1"/>
  <c r="P330" i="1" s="1"/>
  <c r="H251" i="1"/>
  <c r="I251" i="1" s="1"/>
  <c r="K251" i="1" s="1"/>
  <c r="L251" i="1"/>
  <c r="M251" i="1" s="1"/>
  <c r="N251" i="1" s="1"/>
  <c r="O251" i="1" s="1"/>
  <c r="H226" i="1"/>
  <c r="I226" i="1" s="1"/>
  <c r="J226" i="1" s="1"/>
  <c r="L193" i="1"/>
  <c r="M193" i="1" s="1"/>
  <c r="N193" i="1" s="1"/>
  <c r="O193" i="1" s="1"/>
  <c r="L137" i="1"/>
  <c r="M137" i="1" s="1"/>
  <c r="N137" i="1" s="1"/>
  <c r="O137" i="1" s="1"/>
  <c r="C690" i="1"/>
  <c r="D690" i="1" s="1"/>
  <c r="E690" i="1" s="1"/>
  <c r="C684" i="1"/>
  <c r="D684" i="1" s="1"/>
  <c r="E684" i="1" s="1"/>
  <c r="H648" i="1"/>
  <c r="I648" i="1" s="1"/>
  <c r="K648" i="1" s="1"/>
  <c r="H616" i="1"/>
  <c r="I616" i="1" s="1"/>
  <c r="K616" i="1" s="1"/>
  <c r="C610" i="1"/>
  <c r="D610" i="1" s="1"/>
  <c r="C557" i="1"/>
  <c r="D557" i="1" s="1"/>
  <c r="F557" i="1" s="1"/>
  <c r="H553" i="1"/>
  <c r="I553" i="1" s="1"/>
  <c r="L545" i="1"/>
  <c r="M545" i="1" s="1"/>
  <c r="N545" i="1" s="1"/>
  <c r="O545" i="1" s="1"/>
  <c r="C533" i="1"/>
  <c r="D533" i="1" s="1"/>
  <c r="F533" i="1" s="1"/>
  <c r="L511" i="1"/>
  <c r="M511" i="1" s="1"/>
  <c r="N511" i="1" s="1"/>
  <c r="O511" i="1" s="1"/>
  <c r="C452" i="1"/>
  <c r="D452" i="1" s="1"/>
  <c r="E452" i="1" s="1"/>
  <c r="H390" i="1"/>
  <c r="I390" i="1" s="1"/>
  <c r="J390" i="1" s="1"/>
  <c r="C376" i="1"/>
  <c r="D376" i="1" s="1"/>
  <c r="C335" i="1"/>
  <c r="D335" i="1" s="1"/>
  <c r="E335" i="1" s="1"/>
  <c r="C304" i="1"/>
  <c r="D304" i="1" s="1"/>
  <c r="F304" i="1" s="1"/>
  <c r="L298" i="1"/>
  <c r="M298" i="1" s="1"/>
  <c r="N298" i="1" s="1"/>
  <c r="O298" i="1" s="1"/>
  <c r="H233" i="1"/>
  <c r="I233" i="1" s="1"/>
  <c r="J233" i="1" s="1"/>
  <c r="C221" i="1"/>
  <c r="D221" i="1" s="1"/>
  <c r="F221" i="1" s="1"/>
  <c r="C747" i="1"/>
  <c r="D747" i="1" s="1"/>
  <c r="F747" i="1" s="1"/>
  <c r="H603" i="1"/>
  <c r="I603" i="1" s="1"/>
  <c r="J603" i="1" s="1"/>
  <c r="C510" i="1"/>
  <c r="D510" i="1" s="1"/>
  <c r="E510" i="1" s="1"/>
  <c r="C498" i="1"/>
  <c r="D498" i="1" s="1"/>
  <c r="C361" i="1"/>
  <c r="D361" i="1" s="1"/>
  <c r="C329" i="1"/>
  <c r="D329" i="1" s="1"/>
  <c r="C246" i="1"/>
  <c r="D246" i="1" s="1"/>
  <c r="F246" i="1" s="1"/>
  <c r="C220" i="1"/>
  <c r="D220" i="1" s="1"/>
  <c r="F220" i="1" s="1"/>
  <c r="H191" i="1"/>
  <c r="I191" i="1" s="1"/>
  <c r="J191" i="1" s="1"/>
  <c r="L164" i="1"/>
  <c r="M164" i="1" s="1"/>
  <c r="N164" i="1" s="1"/>
  <c r="P164" i="1" s="1"/>
  <c r="C147" i="1"/>
  <c r="D147" i="1" s="1"/>
  <c r="E147" i="1" s="1"/>
  <c r="H143" i="1"/>
  <c r="I143" i="1" s="1"/>
  <c r="J143" i="1" s="1"/>
  <c r="C718" i="1"/>
  <c r="D718" i="1" s="1"/>
  <c r="E718" i="1" s="1"/>
  <c r="C628" i="1"/>
  <c r="D628" i="1" s="1"/>
  <c r="E628" i="1" s="1"/>
  <c r="C596" i="1"/>
  <c r="D596" i="1" s="1"/>
  <c r="F596" i="1" s="1"/>
  <c r="C578" i="1"/>
  <c r="D578" i="1" s="1"/>
  <c r="E578" i="1" s="1"/>
  <c r="C573" i="1"/>
  <c r="D573" i="1" s="1"/>
  <c r="E573" i="1" s="1"/>
  <c r="L567" i="1"/>
  <c r="M567" i="1" s="1"/>
  <c r="N567" i="1" s="1"/>
  <c r="O567" i="1" s="1"/>
  <c r="H551" i="1"/>
  <c r="I551" i="1" s="1"/>
  <c r="L543" i="1"/>
  <c r="M543" i="1" s="1"/>
  <c r="N543" i="1" s="1"/>
  <c r="C477" i="1"/>
  <c r="D477" i="1" s="1"/>
  <c r="L457" i="1"/>
  <c r="M457" i="1" s="1"/>
  <c r="N457" i="1" s="1"/>
  <c r="O457" i="1" s="1"/>
  <c r="C445" i="1"/>
  <c r="D445" i="1" s="1"/>
  <c r="C418" i="1"/>
  <c r="D418" i="1" s="1"/>
  <c r="F418" i="1" s="1"/>
  <c r="C353" i="1"/>
  <c r="D353" i="1" s="1"/>
  <c r="F353" i="1" s="1"/>
  <c r="C347" i="1"/>
  <c r="D347" i="1" s="1"/>
  <c r="E347" i="1" s="1"/>
  <c r="H324" i="1"/>
  <c r="I324" i="1" s="1"/>
  <c r="J324" i="1" s="1"/>
  <c r="C253" i="1"/>
  <c r="D253" i="1" s="1"/>
  <c r="E253" i="1" s="1"/>
  <c r="L239" i="1"/>
  <c r="M239" i="1" s="1"/>
  <c r="N239" i="1" s="1"/>
  <c r="O239" i="1" s="1"/>
  <c r="C203" i="1"/>
  <c r="D203" i="1" s="1"/>
  <c r="E203" i="1" s="1"/>
  <c r="C130" i="1"/>
  <c r="D130" i="1" s="1"/>
  <c r="E130" i="1" s="1"/>
  <c r="H752" i="1"/>
  <c r="I752" i="1" s="1"/>
  <c r="J752" i="1" s="1"/>
  <c r="L664" i="1"/>
  <c r="M664" i="1" s="1"/>
  <c r="N664" i="1" s="1"/>
  <c r="O664" i="1" s="1"/>
  <c r="C658" i="1"/>
  <c r="D658" i="1" s="1"/>
  <c r="F658" i="1" s="1"/>
  <c r="C614" i="1"/>
  <c r="D614" i="1" s="1"/>
  <c r="E614" i="1" s="1"/>
  <c r="L577" i="1"/>
  <c r="M577" i="1" s="1"/>
  <c r="N577" i="1" s="1"/>
  <c r="C550" i="1"/>
  <c r="D550" i="1" s="1"/>
  <c r="F550" i="1" s="1"/>
  <c r="H463" i="1"/>
  <c r="I463" i="1" s="1"/>
  <c r="L333" i="1"/>
  <c r="M333" i="1" s="1"/>
  <c r="N333" i="1" s="1"/>
  <c r="P333" i="1" s="1"/>
  <c r="C324" i="1"/>
  <c r="D324" i="1" s="1"/>
  <c r="E324" i="1" s="1"/>
  <c r="C297" i="1"/>
  <c r="D297" i="1" s="1"/>
  <c r="F297" i="1" s="1"/>
  <c r="H232" i="1"/>
  <c r="I232" i="1" s="1"/>
  <c r="J232" i="1" s="1"/>
  <c r="L196" i="1"/>
  <c r="M196" i="1" s="1"/>
  <c r="N196" i="1" s="1"/>
  <c r="P196" i="1" s="1"/>
  <c r="C450" i="1"/>
  <c r="D450" i="1" s="1"/>
  <c r="F450" i="1" s="1"/>
  <c r="C444" i="1"/>
  <c r="D444" i="1" s="1"/>
  <c r="E444" i="1" s="1"/>
  <c r="C387" i="1"/>
  <c r="D387" i="1" s="1"/>
  <c r="F387" i="1" s="1"/>
  <c r="H339" i="1"/>
  <c r="I339" i="1" s="1"/>
  <c r="K339" i="1" s="1"/>
  <c r="H296" i="1"/>
  <c r="I296" i="1" s="1"/>
  <c r="K296" i="1" s="1"/>
  <c r="C252" i="1"/>
  <c r="D252" i="1" s="1"/>
  <c r="E252" i="1" s="1"/>
  <c r="H238" i="1"/>
  <c r="I238" i="1" s="1"/>
  <c r="K238" i="1" s="1"/>
  <c r="H183" i="1"/>
  <c r="I183" i="1" s="1"/>
  <c r="L163" i="1"/>
  <c r="M163" i="1" s="1"/>
  <c r="N163" i="1" s="1"/>
  <c r="H152" i="1"/>
  <c r="I152" i="1" s="1"/>
  <c r="L123" i="1"/>
  <c r="M123" i="1" s="1"/>
  <c r="N123" i="1" s="1"/>
  <c r="P123" i="1" s="1"/>
  <c r="L116" i="1"/>
  <c r="M116" i="1" s="1"/>
  <c r="N116" i="1" s="1"/>
  <c r="O116" i="1" s="1"/>
  <c r="L475" i="1"/>
  <c r="M475" i="1" s="1"/>
  <c r="N475" i="1" s="1"/>
  <c r="O475" i="1" s="1"/>
  <c r="C468" i="1"/>
  <c r="D468" i="1" s="1"/>
  <c r="E468" i="1" s="1"/>
  <c r="L462" i="1"/>
  <c r="M462" i="1" s="1"/>
  <c r="N462" i="1" s="1"/>
  <c r="O462" i="1" s="1"/>
  <c r="L443" i="1"/>
  <c r="M443" i="1" s="1"/>
  <c r="N443" i="1" s="1"/>
  <c r="P443" i="1" s="1"/>
  <c r="L386" i="1"/>
  <c r="M386" i="1" s="1"/>
  <c r="N386" i="1" s="1"/>
  <c r="P386" i="1" s="1"/>
  <c r="H367" i="1"/>
  <c r="I367" i="1" s="1"/>
  <c r="K367" i="1" s="1"/>
  <c r="C359" i="1"/>
  <c r="D359" i="1" s="1"/>
  <c r="L323" i="1"/>
  <c r="M323" i="1" s="1"/>
  <c r="N323" i="1" s="1"/>
  <c r="O323" i="1" s="1"/>
  <c r="C237" i="1"/>
  <c r="D237" i="1" s="1"/>
  <c r="E237" i="1" s="1"/>
  <c r="L195" i="1"/>
  <c r="M195" i="1" s="1"/>
  <c r="N195" i="1" s="1"/>
  <c r="P195" i="1" s="1"/>
  <c r="L188" i="1"/>
  <c r="M188" i="1" s="1"/>
  <c r="N188" i="1" s="1"/>
  <c r="O188" i="1" s="1"/>
  <c r="H169" i="1"/>
  <c r="I169" i="1" s="1"/>
  <c r="C163" i="1"/>
  <c r="D163" i="1" s="1"/>
  <c r="C123" i="1"/>
  <c r="D123" i="1" s="1"/>
  <c r="E123" i="1" s="1"/>
  <c r="H755" i="1"/>
  <c r="I755" i="1" s="1"/>
  <c r="J755" i="1" s="1"/>
  <c r="L751" i="1"/>
  <c r="M751" i="1" s="1"/>
  <c r="N751" i="1" s="1"/>
  <c r="O751" i="1" s="1"/>
  <c r="L730" i="1"/>
  <c r="M730" i="1" s="1"/>
  <c r="N730" i="1" s="1"/>
  <c r="O730" i="1" s="1"/>
  <c r="L716" i="1"/>
  <c r="M716" i="1" s="1"/>
  <c r="N716" i="1" s="1"/>
  <c r="O716" i="1" s="1"/>
  <c r="C702" i="1"/>
  <c r="D702" i="1" s="1"/>
  <c r="F702" i="1" s="1"/>
  <c r="H640" i="1"/>
  <c r="I640" i="1" s="1"/>
  <c r="J640" i="1" s="1"/>
  <c r="H632" i="1"/>
  <c r="I632" i="1" s="1"/>
  <c r="J632" i="1" s="1"/>
  <c r="C626" i="1"/>
  <c r="D626" i="1" s="1"/>
  <c r="E626" i="1" s="1"/>
  <c r="L608" i="1"/>
  <c r="M608" i="1" s="1"/>
  <c r="N608" i="1" s="1"/>
  <c r="P608" i="1" s="1"/>
  <c r="C582" i="1"/>
  <c r="D582" i="1" s="1"/>
  <c r="E582" i="1" s="1"/>
  <c r="C565" i="1"/>
  <c r="D565" i="1" s="1"/>
  <c r="E565" i="1" s="1"/>
  <c r="C555" i="1"/>
  <c r="D555" i="1" s="1"/>
  <c r="E555" i="1" s="1"/>
  <c r="L548" i="1"/>
  <c r="M548" i="1" s="1"/>
  <c r="N548" i="1" s="1"/>
  <c r="P548" i="1" s="1"/>
  <c r="L531" i="1"/>
  <c r="M531" i="1" s="1"/>
  <c r="N531" i="1" s="1"/>
  <c r="H514" i="1"/>
  <c r="I514" i="1" s="1"/>
  <c r="H501" i="1"/>
  <c r="I501" i="1" s="1"/>
  <c r="J501" i="1" s="1"/>
  <c r="H406" i="1"/>
  <c r="I406" i="1" s="1"/>
  <c r="K406" i="1" s="1"/>
  <c r="L380" i="1"/>
  <c r="M380" i="1" s="1"/>
  <c r="N380" i="1" s="1"/>
  <c r="O380" i="1" s="1"/>
  <c r="H327" i="1"/>
  <c r="I327" i="1" s="1"/>
  <c r="K327" i="1" s="1"/>
  <c r="H309" i="1"/>
  <c r="I309" i="1" s="1"/>
  <c r="J309" i="1" s="1"/>
  <c r="L290" i="1"/>
  <c r="M290" i="1" s="1"/>
  <c r="N290" i="1" s="1"/>
  <c r="P290" i="1" s="1"/>
  <c r="H278" i="1"/>
  <c r="I278" i="1" s="1"/>
  <c r="J278" i="1" s="1"/>
  <c r="L236" i="1"/>
  <c r="M236" i="1" s="1"/>
  <c r="N236" i="1" s="1"/>
  <c r="O236" i="1" s="1"/>
  <c r="L229" i="1"/>
  <c r="M229" i="1" s="1"/>
  <c r="N229" i="1" s="1"/>
  <c r="O229" i="1" s="1"/>
  <c r="H225" i="1"/>
  <c r="I225" i="1" s="1"/>
  <c r="J225" i="1" s="1"/>
  <c r="H176" i="1"/>
  <c r="I176" i="1" s="1"/>
  <c r="J176" i="1" s="1"/>
  <c r="L122" i="1"/>
  <c r="M122" i="1" s="1"/>
  <c r="N122" i="1" s="1"/>
  <c r="P122" i="1" s="1"/>
  <c r="C766" i="1"/>
  <c r="D766" i="1" s="1"/>
  <c r="E766" i="1" s="1"/>
  <c r="H760" i="1"/>
  <c r="I760" i="1" s="1"/>
  <c r="J760" i="1" s="1"/>
  <c r="C548" i="1"/>
  <c r="D548" i="1" s="1"/>
  <c r="C541" i="1"/>
  <c r="D541" i="1" s="1"/>
  <c r="E541" i="1" s="1"/>
  <c r="C501" i="1"/>
  <c r="D501" i="1" s="1"/>
  <c r="C386" i="1"/>
  <c r="D386" i="1" s="1"/>
  <c r="H374" i="1"/>
  <c r="I374" i="1" s="1"/>
  <c r="K374" i="1" s="1"/>
  <c r="H358" i="1"/>
  <c r="I358" i="1" s="1"/>
  <c r="J358" i="1" s="1"/>
  <c r="H301" i="1"/>
  <c r="I301" i="1" s="1"/>
  <c r="J301" i="1" s="1"/>
  <c r="C236" i="1"/>
  <c r="D236" i="1" s="1"/>
  <c r="F236" i="1" s="1"/>
  <c r="H208" i="1"/>
  <c r="I208" i="1" s="1"/>
  <c r="J208" i="1" s="1"/>
  <c r="L155" i="1"/>
  <c r="M155" i="1" s="1"/>
  <c r="N155" i="1" s="1"/>
  <c r="O155" i="1" s="1"/>
  <c r="H135" i="1"/>
  <c r="I135" i="1" s="1"/>
  <c r="J135" i="1" s="1"/>
  <c r="C765" i="1"/>
  <c r="D765" i="1" s="1"/>
  <c r="F765" i="1" s="1"/>
  <c r="C750" i="1"/>
  <c r="D750" i="1" s="1"/>
  <c r="E750" i="1" s="1"/>
  <c r="C701" i="1"/>
  <c r="D701" i="1" s="1"/>
  <c r="E701" i="1" s="1"/>
  <c r="H670" i="1"/>
  <c r="I670" i="1" s="1"/>
  <c r="K670" i="1" s="1"/>
  <c r="C639" i="1"/>
  <c r="D639" i="1" s="1"/>
  <c r="F639" i="1" s="1"/>
  <c r="C594" i="1"/>
  <c r="D594" i="1" s="1"/>
  <c r="F594" i="1" s="1"/>
  <c r="C461" i="1"/>
  <c r="D461" i="1" s="1"/>
  <c r="E461" i="1" s="1"/>
  <c r="C365" i="1"/>
  <c r="D365" i="1" s="1"/>
  <c r="L351" i="1"/>
  <c r="M351" i="1" s="1"/>
  <c r="N351" i="1" s="1"/>
  <c r="O351" i="1" s="1"/>
  <c r="C338" i="1"/>
  <c r="D338" i="1" s="1"/>
  <c r="E338" i="1" s="1"/>
  <c r="C251" i="1"/>
  <c r="D251" i="1" s="1"/>
  <c r="E251" i="1" s="1"/>
  <c r="C195" i="1"/>
  <c r="D195" i="1" s="1"/>
  <c r="L187" i="1"/>
  <c r="M187" i="1" s="1"/>
  <c r="N187" i="1" s="1"/>
  <c r="O187" i="1" s="1"/>
  <c r="H168" i="1"/>
  <c r="I168" i="1" s="1"/>
  <c r="J168" i="1" s="1"/>
  <c r="L139" i="1"/>
  <c r="M139" i="1" s="1"/>
  <c r="N139" i="1" s="1"/>
  <c r="O139" i="1" s="1"/>
  <c r="H114" i="1"/>
  <c r="I114" i="1" s="1"/>
  <c r="J114" i="1" s="1"/>
  <c r="C644" i="1"/>
  <c r="D644" i="1" s="1"/>
  <c r="E644" i="1" s="1"/>
  <c r="C612" i="1"/>
  <c r="D612" i="1" s="1"/>
  <c r="E612" i="1" s="1"/>
  <c r="H559" i="1"/>
  <c r="I559" i="1" s="1"/>
  <c r="K559" i="1" s="1"/>
  <c r="C547" i="1"/>
  <c r="D547" i="1" s="1"/>
  <c r="E547" i="1" s="1"/>
  <c r="L500" i="1"/>
  <c r="M500" i="1" s="1"/>
  <c r="N500" i="1" s="1"/>
  <c r="O500" i="1" s="1"/>
  <c r="H496" i="1"/>
  <c r="I496" i="1" s="1"/>
  <c r="C430" i="1"/>
  <c r="D430" i="1" s="1"/>
  <c r="E430" i="1" s="1"/>
  <c r="C415" i="1"/>
  <c r="D415" i="1" s="1"/>
  <c r="E415" i="1" s="1"/>
  <c r="C378" i="1"/>
  <c r="D378" i="1" s="1"/>
  <c r="F378" i="1" s="1"/>
  <c r="H332" i="1"/>
  <c r="I332" i="1" s="1"/>
  <c r="C314" i="1"/>
  <c r="D314" i="1" s="1"/>
  <c r="F314" i="1" s="1"/>
  <c r="L270" i="1"/>
  <c r="M270" i="1" s="1"/>
  <c r="N270" i="1" s="1"/>
  <c r="O270" i="1" s="1"/>
  <c r="L263" i="1"/>
  <c r="M263" i="1" s="1"/>
  <c r="N263" i="1" s="1"/>
  <c r="O263" i="1" s="1"/>
  <c r="H224" i="1"/>
  <c r="I224" i="1" s="1"/>
  <c r="J224" i="1" s="1"/>
  <c r="C212" i="1"/>
  <c r="D212" i="1" s="1"/>
  <c r="E212" i="1" s="1"/>
  <c r="C187" i="1"/>
  <c r="D187" i="1" s="1"/>
  <c r="E187" i="1" s="1"/>
  <c r="C155" i="1"/>
  <c r="D155" i="1" s="1"/>
  <c r="C139" i="1"/>
  <c r="D139" i="1" s="1"/>
  <c r="E139" i="1" s="1"/>
  <c r="H487" i="1"/>
  <c r="I487" i="1" s="1"/>
  <c r="J487" i="1" s="1"/>
  <c r="C466" i="1"/>
  <c r="D466" i="1" s="1"/>
  <c r="E466" i="1" s="1"/>
  <c r="C460" i="1"/>
  <c r="D460" i="1" s="1"/>
  <c r="E460" i="1" s="1"/>
  <c r="C455" i="1"/>
  <c r="D455" i="1" s="1"/>
  <c r="E455" i="1" s="1"/>
  <c r="C372" i="1"/>
  <c r="D372" i="1" s="1"/>
  <c r="C364" i="1"/>
  <c r="D364" i="1" s="1"/>
  <c r="E364" i="1" s="1"/>
  <c r="C321" i="1"/>
  <c r="D321" i="1" s="1"/>
  <c r="L289" i="1"/>
  <c r="M289" i="1" s="1"/>
  <c r="N289" i="1" s="1"/>
  <c r="O289" i="1" s="1"/>
  <c r="L228" i="1"/>
  <c r="M228" i="1" s="1"/>
  <c r="N228" i="1" s="1"/>
  <c r="O228" i="1" s="1"/>
  <c r="L211" i="1"/>
  <c r="M211" i="1" s="1"/>
  <c r="N211" i="1" s="1"/>
  <c r="P211" i="1" s="1"/>
  <c r="H194" i="1"/>
  <c r="I194" i="1" s="1"/>
  <c r="J194" i="1" s="1"/>
  <c r="L691" i="1"/>
  <c r="M691" i="1" s="1"/>
  <c r="N691" i="1" s="1"/>
  <c r="O691" i="1" s="1"/>
  <c r="H649" i="1"/>
  <c r="I649" i="1" s="1"/>
  <c r="J649" i="1" s="1"/>
  <c r="C563" i="1"/>
  <c r="D563" i="1" s="1"/>
  <c r="E563" i="1" s="1"/>
  <c r="L553" i="1"/>
  <c r="M553" i="1" s="1"/>
  <c r="N553" i="1" s="1"/>
  <c r="O553" i="1" s="1"/>
  <c r="H535" i="1"/>
  <c r="I535" i="1" s="1"/>
  <c r="J535" i="1" s="1"/>
  <c r="H512" i="1"/>
  <c r="I512" i="1" s="1"/>
  <c r="J512" i="1" s="1"/>
  <c r="C473" i="1"/>
  <c r="D473" i="1" s="1"/>
  <c r="E473" i="1" s="1"/>
  <c r="H465" i="1"/>
  <c r="I465" i="1" s="1"/>
  <c r="J465" i="1" s="1"/>
  <c r="H448" i="1"/>
  <c r="I448" i="1" s="1"/>
  <c r="H429" i="1"/>
  <c r="I429" i="1" s="1"/>
  <c r="J429" i="1" s="1"/>
  <c r="L300" i="1"/>
  <c r="M300" i="1" s="1"/>
  <c r="N300" i="1" s="1"/>
  <c r="C289" i="1"/>
  <c r="D289" i="1" s="1"/>
  <c r="F289" i="1" s="1"/>
  <c r="C281" i="1"/>
  <c r="D281" i="1" s="1"/>
  <c r="E281" i="1" s="1"/>
  <c r="H277" i="1"/>
  <c r="I277" i="1" s="1"/>
  <c r="C228" i="1"/>
  <c r="D228" i="1" s="1"/>
  <c r="E228" i="1" s="1"/>
  <c r="C211" i="1"/>
  <c r="D211" i="1" s="1"/>
  <c r="F211" i="1" s="1"/>
  <c r="H207" i="1"/>
  <c r="I207" i="1" s="1"/>
  <c r="J207" i="1" s="1"/>
  <c r="C194" i="1"/>
  <c r="D194" i="1" s="1"/>
  <c r="E194" i="1" s="1"/>
  <c r="H376" i="1"/>
  <c r="I376" i="1" s="1"/>
  <c r="L371" i="1"/>
  <c r="M371" i="1" s="1"/>
  <c r="N371" i="1" s="1"/>
  <c r="P371" i="1" s="1"/>
  <c r="L336" i="1"/>
  <c r="M336" i="1" s="1"/>
  <c r="N336" i="1" s="1"/>
  <c r="O336" i="1" s="1"/>
  <c r="L305" i="1"/>
  <c r="M305" i="1" s="1"/>
  <c r="N305" i="1" s="1"/>
  <c r="P305" i="1" s="1"/>
  <c r="L295" i="1"/>
  <c r="M295" i="1" s="1"/>
  <c r="N295" i="1" s="1"/>
  <c r="O295" i="1" s="1"/>
  <c r="C262" i="1"/>
  <c r="D262" i="1" s="1"/>
  <c r="E262" i="1" s="1"/>
  <c r="L206" i="1"/>
  <c r="M206" i="1" s="1"/>
  <c r="N206" i="1" s="1"/>
  <c r="H200" i="1"/>
  <c r="I200" i="1" s="1"/>
  <c r="H144" i="1"/>
  <c r="I144" i="1" s="1"/>
  <c r="C763" i="1"/>
  <c r="D763" i="1" s="1"/>
  <c r="E763" i="1" s="1"/>
  <c r="C699" i="1"/>
  <c r="D699" i="1" s="1"/>
  <c r="F699" i="1" s="1"/>
  <c r="C674" i="1"/>
  <c r="D674" i="1" s="1"/>
  <c r="F674" i="1" s="1"/>
  <c r="H635" i="1"/>
  <c r="I635" i="1" s="1"/>
  <c r="J635" i="1" s="1"/>
  <c r="L610" i="1"/>
  <c r="M610" i="1" s="1"/>
  <c r="N610" i="1" s="1"/>
  <c r="O610" i="1" s="1"/>
  <c r="C598" i="1"/>
  <c r="D598" i="1" s="1"/>
  <c r="F598" i="1" s="1"/>
  <c r="G557" i="1"/>
  <c r="L557" i="1" s="1"/>
  <c r="M557" i="1" s="1"/>
  <c r="N557" i="1" s="1"/>
  <c r="O557" i="1" s="1"/>
  <c r="C539" i="1"/>
  <c r="D539" i="1" s="1"/>
  <c r="F539" i="1" s="1"/>
  <c r="C534" i="1"/>
  <c r="D534" i="1" s="1"/>
  <c r="E534" i="1" s="1"/>
  <c r="C517" i="1"/>
  <c r="D517" i="1" s="1"/>
  <c r="E517" i="1" s="1"/>
  <c r="C512" i="1"/>
  <c r="D512" i="1" s="1"/>
  <c r="L420" i="1"/>
  <c r="M420" i="1" s="1"/>
  <c r="N420" i="1" s="1"/>
  <c r="O420" i="1" s="1"/>
  <c r="C336" i="1"/>
  <c r="D336" i="1" s="1"/>
  <c r="F336" i="1" s="1"/>
  <c r="C326" i="1"/>
  <c r="D326" i="1" s="1"/>
  <c r="C305" i="1"/>
  <c r="D305" i="1" s="1"/>
  <c r="E305" i="1" s="1"/>
  <c r="C288" i="1"/>
  <c r="D288" i="1" s="1"/>
  <c r="E288" i="1" s="1"/>
  <c r="H249" i="1"/>
  <c r="I249" i="1" s="1"/>
  <c r="J249" i="1" s="1"/>
  <c r="F845" i="1"/>
  <c r="K74" i="1"/>
  <c r="J74" i="1"/>
  <c r="F55" i="1"/>
  <c r="L930" i="1"/>
  <c r="M930" i="1" s="1"/>
  <c r="N930" i="1" s="1"/>
  <c r="H930" i="1"/>
  <c r="I930" i="1" s="1"/>
  <c r="J930" i="1" s="1"/>
  <c r="H875" i="1"/>
  <c r="I875" i="1" s="1"/>
  <c r="J875" i="1" s="1"/>
  <c r="L875" i="1"/>
  <c r="M875" i="1" s="1"/>
  <c r="N875" i="1" s="1"/>
  <c r="O875" i="1" s="1"/>
  <c r="F655" i="1"/>
  <c r="E655" i="1"/>
  <c r="H505" i="1"/>
  <c r="I505" i="1" s="1"/>
  <c r="J505" i="1" s="1"/>
  <c r="L505" i="1"/>
  <c r="M505" i="1" s="1"/>
  <c r="N505" i="1" s="1"/>
  <c r="P505" i="1" s="1"/>
  <c r="E178" i="1"/>
  <c r="F178" i="1"/>
  <c r="H110" i="1"/>
  <c r="I110" i="1" s="1"/>
  <c r="K110" i="1" s="1"/>
  <c r="L106" i="1"/>
  <c r="M106" i="1" s="1"/>
  <c r="N106" i="1" s="1"/>
  <c r="P106" i="1" s="1"/>
  <c r="L49" i="1"/>
  <c r="M49" i="1" s="1"/>
  <c r="N49" i="1" s="1"/>
  <c r="O49" i="1" s="1"/>
  <c r="H45" i="1"/>
  <c r="I45" i="1" s="1"/>
  <c r="J45" i="1" s="1"/>
  <c r="L45" i="1"/>
  <c r="M45" i="1" s="1"/>
  <c r="N45" i="1" s="1"/>
  <c r="P45" i="1" s="1"/>
  <c r="H35" i="1"/>
  <c r="I35" i="1" s="1"/>
  <c r="J35" i="1" s="1"/>
  <c r="H879" i="1"/>
  <c r="I879" i="1" s="1"/>
  <c r="K879" i="1" s="1"/>
  <c r="L879" i="1"/>
  <c r="M879" i="1" s="1"/>
  <c r="N879" i="1" s="1"/>
  <c r="L845" i="1"/>
  <c r="M845" i="1" s="1"/>
  <c r="N845" i="1" s="1"/>
  <c r="P845" i="1" s="1"/>
  <c r="E819" i="1"/>
  <c r="F819" i="1"/>
  <c r="H665" i="1"/>
  <c r="I665" i="1" s="1"/>
  <c r="K665" i="1" s="1"/>
  <c r="L665" i="1"/>
  <c r="M665" i="1" s="1"/>
  <c r="N665" i="1" s="1"/>
  <c r="P665" i="1" s="1"/>
  <c r="L445" i="1"/>
  <c r="M445" i="1" s="1"/>
  <c r="N445" i="1" s="1"/>
  <c r="O445" i="1" s="1"/>
  <c r="H445" i="1"/>
  <c r="I445" i="1" s="1"/>
  <c r="K845" i="1"/>
  <c r="J845" i="1"/>
  <c r="L759" i="1"/>
  <c r="M759" i="1" s="1"/>
  <c r="N759" i="1" s="1"/>
  <c r="O759" i="1" s="1"/>
  <c r="H759" i="1"/>
  <c r="I759" i="1" s="1"/>
  <c r="J759" i="1" s="1"/>
  <c r="H583" i="1"/>
  <c r="I583" i="1" s="1"/>
  <c r="K583" i="1" s="1"/>
  <c r="L583" i="1"/>
  <c r="M583" i="1" s="1"/>
  <c r="N583" i="1" s="1"/>
  <c r="O583" i="1" s="1"/>
  <c r="H317" i="1"/>
  <c r="I317" i="1" s="1"/>
  <c r="L317" i="1"/>
  <c r="M317" i="1" s="1"/>
  <c r="N317" i="1" s="1"/>
  <c r="P317" i="1" s="1"/>
  <c r="J303" i="1"/>
  <c r="E88" i="1"/>
  <c r="L65" i="1"/>
  <c r="M65" i="1" s="1"/>
  <c r="N65" i="1" s="1"/>
  <c r="P65" i="1" s="1"/>
  <c r="H57" i="1"/>
  <c r="I57" i="1" s="1"/>
  <c r="H54" i="1"/>
  <c r="I54" i="1" s="1"/>
  <c r="E49" i="1"/>
  <c r="F49" i="1"/>
  <c r="H860" i="1"/>
  <c r="I860" i="1" s="1"/>
  <c r="J860" i="1" s="1"/>
  <c r="L860" i="1"/>
  <c r="M860" i="1" s="1"/>
  <c r="N860" i="1" s="1"/>
  <c r="P860" i="1" s="1"/>
  <c r="E796" i="1"/>
  <c r="F796" i="1"/>
  <c r="H681" i="1"/>
  <c r="I681" i="1" s="1"/>
  <c r="J681" i="1" s="1"/>
  <c r="L681" i="1"/>
  <c r="M681" i="1" s="1"/>
  <c r="N681" i="1" s="1"/>
  <c r="O681" i="1" s="1"/>
  <c r="H629" i="1"/>
  <c r="I629" i="1" s="1"/>
  <c r="J629" i="1" s="1"/>
  <c r="J561" i="1"/>
  <c r="K561" i="1"/>
  <c r="H279" i="1"/>
  <c r="I279" i="1" s="1"/>
  <c r="J279" i="1" s="1"/>
  <c r="L279" i="1"/>
  <c r="M279" i="1" s="1"/>
  <c r="N279" i="1" s="1"/>
  <c r="O279" i="1" s="1"/>
  <c r="L252" i="1"/>
  <c r="M252" i="1" s="1"/>
  <c r="N252" i="1" s="1"/>
  <c r="O252" i="1" s="1"/>
  <c r="H252" i="1"/>
  <c r="I252" i="1" s="1"/>
  <c r="K252" i="1" s="1"/>
  <c r="L594" i="1"/>
  <c r="M594" i="1" s="1"/>
  <c r="N594" i="1" s="1"/>
  <c r="O594" i="1" s="1"/>
  <c r="H594" i="1"/>
  <c r="I594" i="1" s="1"/>
  <c r="L520" i="1"/>
  <c r="M520" i="1" s="1"/>
  <c r="N520" i="1" s="1"/>
  <c r="P520" i="1" s="1"/>
  <c r="H520" i="1"/>
  <c r="I520" i="1" s="1"/>
  <c r="J439" i="1"/>
  <c r="K439" i="1"/>
  <c r="H933" i="1"/>
  <c r="I933" i="1" s="1"/>
  <c r="K933" i="1" s="1"/>
  <c r="L933" i="1"/>
  <c r="M933" i="1" s="1"/>
  <c r="N933" i="1" s="1"/>
  <c r="O933" i="1" s="1"/>
  <c r="H877" i="1"/>
  <c r="I877" i="1" s="1"/>
  <c r="J877" i="1" s="1"/>
  <c r="L877" i="1"/>
  <c r="M877" i="1" s="1"/>
  <c r="N877" i="1" s="1"/>
  <c r="P877" i="1" s="1"/>
  <c r="H794" i="1"/>
  <c r="I794" i="1" s="1"/>
  <c r="J794" i="1" s="1"/>
  <c r="L794" i="1"/>
  <c r="M794" i="1" s="1"/>
  <c r="N794" i="1" s="1"/>
  <c r="P794" i="1" s="1"/>
  <c r="L633" i="1"/>
  <c r="M633" i="1" s="1"/>
  <c r="N633" i="1" s="1"/>
  <c r="P633" i="1" s="1"/>
  <c r="L599" i="1"/>
  <c r="M599" i="1" s="1"/>
  <c r="N599" i="1" s="1"/>
  <c r="P599" i="1" s="1"/>
  <c r="H537" i="1"/>
  <c r="I537" i="1" s="1"/>
  <c r="L537" i="1"/>
  <c r="M537" i="1" s="1"/>
  <c r="N537" i="1" s="1"/>
  <c r="P537" i="1" s="1"/>
  <c r="L423" i="1"/>
  <c r="M423" i="1" s="1"/>
  <c r="N423" i="1" s="1"/>
  <c r="P423" i="1" s="1"/>
  <c r="H423" i="1"/>
  <c r="I423" i="1" s="1"/>
  <c r="J423" i="1" s="1"/>
  <c r="L912" i="1"/>
  <c r="M912" i="1" s="1"/>
  <c r="N912" i="1" s="1"/>
  <c r="O912" i="1" s="1"/>
  <c r="H912" i="1"/>
  <c r="I912" i="1" s="1"/>
  <c r="K912" i="1" s="1"/>
  <c r="L780" i="1"/>
  <c r="M780" i="1" s="1"/>
  <c r="N780" i="1" s="1"/>
  <c r="O780" i="1" s="1"/>
  <c r="H780" i="1"/>
  <c r="I780" i="1" s="1"/>
  <c r="K780" i="1" s="1"/>
  <c r="H762" i="1"/>
  <c r="I762" i="1" s="1"/>
  <c r="L762" i="1"/>
  <c r="M762" i="1" s="1"/>
  <c r="N762" i="1" s="1"/>
  <c r="P762" i="1" s="1"/>
  <c r="H707" i="1"/>
  <c r="I707" i="1" s="1"/>
  <c r="J707" i="1" s="1"/>
  <c r="L707" i="1"/>
  <c r="M707" i="1" s="1"/>
  <c r="N707" i="1" s="1"/>
  <c r="O707" i="1" s="1"/>
  <c r="E38" i="1"/>
  <c r="F38" i="1"/>
  <c r="J916" i="1"/>
  <c r="K916" i="1"/>
  <c r="H836" i="1"/>
  <c r="I836" i="1" s="1"/>
  <c r="K836" i="1" s="1"/>
  <c r="L836" i="1"/>
  <c r="M836" i="1" s="1"/>
  <c r="N836" i="1" s="1"/>
  <c r="P836" i="1" s="1"/>
  <c r="J680" i="1"/>
  <c r="K680" i="1"/>
  <c r="H554" i="1"/>
  <c r="I554" i="1" s="1"/>
  <c r="J554" i="1" s="1"/>
  <c r="L554" i="1"/>
  <c r="M554" i="1" s="1"/>
  <c r="N554" i="1" s="1"/>
  <c r="O554" i="1" s="1"/>
  <c r="L17" i="1"/>
  <c r="M17" i="1" s="1"/>
  <c r="N17" i="1" s="1"/>
  <c r="P17" i="1" s="1"/>
  <c r="H17" i="1"/>
  <c r="I17" i="1" s="1"/>
  <c r="H359" i="1"/>
  <c r="I359" i="1" s="1"/>
  <c r="K359" i="1" s="1"/>
  <c r="L359" i="1"/>
  <c r="M359" i="1" s="1"/>
  <c r="N359" i="1" s="1"/>
  <c r="O359" i="1" s="1"/>
  <c r="K983" i="1"/>
  <c r="J983" i="1"/>
  <c r="H27" i="1"/>
  <c r="I27" i="1" s="1"/>
  <c r="K27" i="1" s="1"/>
  <c r="L1002" i="1"/>
  <c r="M1002" i="1" s="1"/>
  <c r="N1002" i="1" s="1"/>
  <c r="P1002" i="1" s="1"/>
  <c r="L961" i="1"/>
  <c r="M961" i="1" s="1"/>
  <c r="N961" i="1" s="1"/>
  <c r="O961" i="1" s="1"/>
  <c r="H961" i="1"/>
  <c r="I961" i="1" s="1"/>
  <c r="K961" i="1" s="1"/>
  <c r="F883" i="1"/>
  <c r="E883" i="1"/>
  <c r="H775" i="1"/>
  <c r="I775" i="1" s="1"/>
  <c r="J775" i="1" s="1"/>
  <c r="L775" i="1"/>
  <c r="M775" i="1" s="1"/>
  <c r="N775" i="1" s="1"/>
  <c r="P775" i="1" s="1"/>
  <c r="E640" i="1"/>
  <c r="F640" i="1"/>
  <c r="K300" i="1"/>
  <c r="L201" i="1"/>
  <c r="M201" i="1" s="1"/>
  <c r="N201" i="1" s="1"/>
  <c r="O201" i="1" s="1"/>
  <c r="H201" i="1"/>
  <c r="I201" i="1" s="1"/>
  <c r="L1004" i="1"/>
  <c r="M1004" i="1" s="1"/>
  <c r="N1004" i="1" s="1"/>
  <c r="O1004" i="1" s="1"/>
  <c r="H1004" i="1"/>
  <c r="I1004" i="1" s="1"/>
  <c r="J1004" i="1" s="1"/>
  <c r="E895" i="1"/>
  <c r="F895" i="1"/>
  <c r="L111" i="1"/>
  <c r="M111" i="1" s="1"/>
  <c r="N111" i="1" s="1"/>
  <c r="O111" i="1" s="1"/>
  <c r="H41" i="1"/>
  <c r="I41" i="1" s="1"/>
  <c r="H1013" i="1"/>
  <c r="I1013" i="1" s="1"/>
  <c r="J1013" i="1" s="1"/>
  <c r="L988" i="1"/>
  <c r="M988" i="1" s="1"/>
  <c r="N988" i="1" s="1"/>
  <c r="P988" i="1" s="1"/>
  <c r="H988" i="1"/>
  <c r="I988" i="1" s="1"/>
  <c r="J988" i="1" s="1"/>
  <c r="H967" i="1"/>
  <c r="I967" i="1" s="1"/>
  <c r="J967" i="1" s="1"/>
  <c r="L967" i="1"/>
  <c r="M967" i="1" s="1"/>
  <c r="N967" i="1" s="1"/>
  <c r="O967" i="1" s="1"/>
  <c r="L843" i="1"/>
  <c r="M843" i="1" s="1"/>
  <c r="N843" i="1" s="1"/>
  <c r="O843" i="1" s="1"/>
  <c r="H843" i="1"/>
  <c r="I843" i="1" s="1"/>
  <c r="J843" i="1" s="1"/>
  <c r="L726" i="1"/>
  <c r="M726" i="1" s="1"/>
  <c r="N726" i="1" s="1"/>
  <c r="O726" i="1" s="1"/>
  <c r="H726" i="1"/>
  <c r="I726" i="1" s="1"/>
  <c r="K726" i="1" s="1"/>
  <c r="H686" i="1"/>
  <c r="I686" i="1" s="1"/>
  <c r="K686" i="1" s="1"/>
  <c r="L686" i="1"/>
  <c r="M686" i="1" s="1"/>
  <c r="N686" i="1" s="1"/>
  <c r="H706" i="1"/>
  <c r="I706" i="1" s="1"/>
  <c r="J706" i="1" s="1"/>
  <c r="L706" i="1"/>
  <c r="M706" i="1" s="1"/>
  <c r="N706" i="1" s="1"/>
  <c r="O706" i="1" s="1"/>
  <c r="L685" i="1"/>
  <c r="M685" i="1" s="1"/>
  <c r="N685" i="1" s="1"/>
  <c r="P685" i="1" s="1"/>
  <c r="H685" i="1"/>
  <c r="I685" i="1" s="1"/>
  <c r="J685" i="1" s="1"/>
  <c r="K644" i="1"/>
  <c r="J644" i="1"/>
  <c r="L597" i="1"/>
  <c r="M597" i="1" s="1"/>
  <c r="N597" i="1" s="1"/>
  <c r="P597" i="1" s="1"/>
  <c r="H597" i="1"/>
  <c r="I597" i="1" s="1"/>
  <c r="E250" i="1"/>
  <c r="H175" i="1"/>
  <c r="I175" i="1" s="1"/>
  <c r="L175" i="1"/>
  <c r="M175" i="1" s="1"/>
  <c r="N175" i="1" s="1"/>
  <c r="P175" i="1" s="1"/>
  <c r="H702" i="1"/>
  <c r="I702" i="1" s="1"/>
  <c r="J702" i="1" s="1"/>
  <c r="L702" i="1"/>
  <c r="M702" i="1" s="1"/>
  <c r="N702" i="1" s="1"/>
  <c r="O702" i="1" s="1"/>
  <c r="H672" i="1"/>
  <c r="I672" i="1" s="1"/>
  <c r="J672" i="1" s="1"/>
  <c r="L672" i="1"/>
  <c r="M672" i="1" s="1"/>
  <c r="N672" i="1" s="1"/>
  <c r="O672" i="1" s="1"/>
  <c r="F942" i="1"/>
  <c r="E942" i="1"/>
  <c r="H89" i="1"/>
  <c r="I89" i="1" s="1"/>
  <c r="J89" i="1" s="1"/>
  <c r="L31" i="1"/>
  <c r="M31" i="1" s="1"/>
  <c r="N31" i="1" s="1"/>
  <c r="P31" i="1" s="1"/>
  <c r="H893" i="1"/>
  <c r="I893" i="1" s="1"/>
  <c r="K893" i="1" s="1"/>
  <c r="L893" i="1"/>
  <c r="M893" i="1" s="1"/>
  <c r="N893" i="1" s="1"/>
  <c r="P893" i="1" s="1"/>
  <c r="H746" i="1"/>
  <c r="I746" i="1" s="1"/>
  <c r="E685" i="1"/>
  <c r="H656" i="1"/>
  <c r="I656" i="1" s="1"/>
  <c r="K656" i="1" s="1"/>
  <c r="L459" i="1"/>
  <c r="M459" i="1" s="1"/>
  <c r="N459" i="1" s="1"/>
  <c r="P459" i="1" s="1"/>
  <c r="H459" i="1"/>
  <c r="I459" i="1" s="1"/>
  <c r="J459" i="1" s="1"/>
  <c r="L873" i="1"/>
  <c r="M873" i="1" s="1"/>
  <c r="N873" i="1" s="1"/>
  <c r="O873" i="1" s="1"/>
  <c r="H873" i="1"/>
  <c r="I873" i="1" s="1"/>
  <c r="J873" i="1" s="1"/>
  <c r="H951" i="1"/>
  <c r="I951" i="1" s="1"/>
  <c r="J951" i="1" s="1"/>
  <c r="H945" i="1"/>
  <c r="I945" i="1" s="1"/>
  <c r="K945" i="1" s="1"/>
  <c r="H792" i="1"/>
  <c r="I792" i="1" s="1"/>
  <c r="J792" i="1" s="1"/>
  <c r="L792" i="1"/>
  <c r="M792" i="1" s="1"/>
  <c r="N792" i="1" s="1"/>
  <c r="L36" i="1"/>
  <c r="M36" i="1" s="1"/>
  <c r="N36" i="1" s="1"/>
  <c r="O36" i="1" s="1"/>
  <c r="L785" i="1"/>
  <c r="M785" i="1" s="1"/>
  <c r="N785" i="1" s="1"/>
  <c r="P785" i="1" s="1"/>
  <c r="H738" i="1"/>
  <c r="I738" i="1" s="1"/>
  <c r="J738" i="1" s="1"/>
  <c r="L738" i="1"/>
  <c r="M738" i="1" s="1"/>
  <c r="N738" i="1" s="1"/>
  <c r="O738" i="1" s="1"/>
  <c r="J545" i="1"/>
  <c r="K545" i="1"/>
  <c r="L93" i="1"/>
  <c r="M93" i="1" s="1"/>
  <c r="N93" i="1" s="1"/>
  <c r="P93" i="1" s="1"/>
  <c r="H107" i="1"/>
  <c r="I107" i="1" s="1"/>
  <c r="J70" i="1"/>
  <c r="L861" i="1"/>
  <c r="M861" i="1" s="1"/>
  <c r="N861" i="1" s="1"/>
  <c r="O861" i="1" s="1"/>
  <c r="F846" i="1"/>
  <c r="L798" i="1"/>
  <c r="M798" i="1" s="1"/>
  <c r="N798" i="1" s="1"/>
  <c r="P798" i="1" s="1"/>
  <c r="H798" i="1"/>
  <c r="I798" i="1" s="1"/>
  <c r="J798" i="1" s="1"/>
  <c r="H660" i="1"/>
  <c r="I660" i="1" s="1"/>
  <c r="J660" i="1" s="1"/>
  <c r="L660" i="1"/>
  <c r="M660" i="1" s="1"/>
  <c r="N660" i="1" s="1"/>
  <c r="P660" i="1" s="1"/>
  <c r="L596" i="1"/>
  <c r="M596" i="1" s="1"/>
  <c r="N596" i="1" s="1"/>
  <c r="O596" i="1" s="1"/>
  <c r="H596" i="1"/>
  <c r="I596" i="1" s="1"/>
  <c r="L802" i="1"/>
  <c r="M802" i="1" s="1"/>
  <c r="N802" i="1" s="1"/>
  <c r="O802" i="1" s="1"/>
  <c r="L391" i="1"/>
  <c r="M391" i="1" s="1"/>
  <c r="N391" i="1" s="1"/>
  <c r="O391" i="1" s="1"/>
  <c r="L144" i="1"/>
  <c r="M144" i="1" s="1"/>
  <c r="N144" i="1" s="1"/>
  <c r="O144" i="1" s="1"/>
  <c r="L238" i="1"/>
  <c r="M238" i="1" s="1"/>
  <c r="N238" i="1" s="1"/>
  <c r="P238" i="1" s="1"/>
  <c r="L226" i="1"/>
  <c r="M226" i="1" s="1"/>
  <c r="N226" i="1" s="1"/>
  <c r="O226" i="1" s="1"/>
  <c r="L191" i="1"/>
  <c r="M191" i="1" s="1"/>
  <c r="N191" i="1" s="1"/>
  <c r="O191" i="1" s="1"/>
  <c r="L169" i="1"/>
  <c r="M169" i="1" s="1"/>
  <c r="N169" i="1" s="1"/>
  <c r="O169" i="1" s="1"/>
  <c r="H548" i="1"/>
  <c r="I548" i="1" s="1"/>
  <c r="J548" i="1" s="1"/>
  <c r="L499" i="1"/>
  <c r="M499" i="1" s="1"/>
  <c r="N499" i="1" s="1"/>
  <c r="O499" i="1" s="1"/>
  <c r="H408" i="1"/>
  <c r="I408" i="1" s="1"/>
  <c r="J408" i="1" s="1"/>
  <c r="H385" i="1"/>
  <c r="I385" i="1" s="1"/>
  <c r="K385" i="1" s="1"/>
  <c r="H305" i="1"/>
  <c r="I305" i="1" s="1"/>
  <c r="J305" i="1" s="1"/>
  <c r="H282" i="1"/>
  <c r="I282" i="1" s="1"/>
  <c r="K282" i="1" s="1"/>
  <c r="H229" i="1"/>
  <c r="I229" i="1" s="1"/>
  <c r="J229" i="1" s="1"/>
  <c r="H206" i="1"/>
  <c r="I206" i="1" s="1"/>
  <c r="F43" i="1"/>
  <c r="L999" i="1"/>
  <c r="M999" i="1" s="1"/>
  <c r="N999" i="1" s="1"/>
  <c r="O999" i="1" s="1"/>
  <c r="L898" i="1"/>
  <c r="M898" i="1" s="1"/>
  <c r="N898" i="1" s="1"/>
  <c r="P898" i="1" s="1"/>
  <c r="H881" i="1"/>
  <c r="I881" i="1" s="1"/>
  <c r="L831" i="1"/>
  <c r="M831" i="1" s="1"/>
  <c r="N831" i="1" s="1"/>
  <c r="O831" i="1" s="1"/>
  <c r="L819" i="1"/>
  <c r="M819" i="1" s="1"/>
  <c r="N819" i="1" s="1"/>
  <c r="P819" i="1" s="1"/>
  <c r="L816" i="1"/>
  <c r="M816" i="1" s="1"/>
  <c r="N816" i="1" s="1"/>
  <c r="O816" i="1" s="1"/>
  <c r="L805" i="1"/>
  <c r="M805" i="1" s="1"/>
  <c r="N805" i="1" s="1"/>
  <c r="L768" i="1"/>
  <c r="M768" i="1" s="1"/>
  <c r="N768" i="1" s="1"/>
  <c r="O768" i="1" s="1"/>
  <c r="L752" i="1"/>
  <c r="M752" i="1" s="1"/>
  <c r="N752" i="1" s="1"/>
  <c r="O752" i="1" s="1"/>
  <c r="L448" i="1"/>
  <c r="M448" i="1" s="1"/>
  <c r="N448" i="1" s="1"/>
  <c r="P448" i="1" s="1"/>
  <c r="H444" i="1"/>
  <c r="I444" i="1" s="1"/>
  <c r="J444" i="1" s="1"/>
  <c r="L390" i="1"/>
  <c r="M390" i="1" s="1"/>
  <c r="N390" i="1" s="1"/>
  <c r="P390" i="1" s="1"/>
  <c r="L335" i="1"/>
  <c r="M335" i="1" s="1"/>
  <c r="N335" i="1" s="1"/>
  <c r="H34" i="1"/>
  <c r="I34" i="1" s="1"/>
  <c r="K34" i="1" s="1"/>
  <c r="F25" i="1"/>
  <c r="L21" i="1"/>
  <c r="M21" i="1" s="1"/>
  <c r="N21" i="1" s="1"/>
  <c r="P21" i="1" s="1"/>
  <c r="L1005" i="1"/>
  <c r="M1005" i="1" s="1"/>
  <c r="N1005" i="1" s="1"/>
  <c r="P1005" i="1" s="1"/>
  <c r="L916" i="1"/>
  <c r="M916" i="1" s="1"/>
  <c r="N916" i="1" s="1"/>
  <c r="O916" i="1" s="1"/>
  <c r="L884" i="1"/>
  <c r="M884" i="1" s="1"/>
  <c r="N884" i="1" s="1"/>
  <c r="L670" i="1"/>
  <c r="M670" i="1" s="1"/>
  <c r="N670" i="1" s="1"/>
  <c r="O670" i="1" s="1"/>
  <c r="L612" i="1"/>
  <c r="M612" i="1" s="1"/>
  <c r="N612" i="1" s="1"/>
  <c r="O612" i="1" s="1"/>
  <c r="L585" i="1"/>
  <c r="M585" i="1" s="1"/>
  <c r="N585" i="1" s="1"/>
  <c r="P585" i="1" s="1"/>
  <c r="L424" i="1"/>
  <c r="M424" i="1" s="1"/>
  <c r="N424" i="1" s="1"/>
  <c r="O424" i="1" s="1"/>
  <c r="L344" i="1"/>
  <c r="M344" i="1" s="1"/>
  <c r="N344" i="1" s="1"/>
  <c r="P344" i="1" s="1"/>
  <c r="L194" i="1"/>
  <c r="M194" i="1" s="1"/>
  <c r="N194" i="1" s="1"/>
  <c r="P194" i="1" s="1"/>
  <c r="L185" i="1"/>
  <c r="M185" i="1" s="1"/>
  <c r="N185" i="1" s="1"/>
  <c r="P185" i="1" s="1"/>
  <c r="H163" i="1"/>
  <c r="I163" i="1" s="1"/>
  <c r="J163" i="1" s="1"/>
  <c r="L135" i="1"/>
  <c r="M135" i="1" s="1"/>
  <c r="N135" i="1" s="1"/>
  <c r="P135" i="1" s="1"/>
  <c r="L935" i="1"/>
  <c r="M935" i="1" s="1"/>
  <c r="N935" i="1" s="1"/>
  <c r="L889" i="1"/>
  <c r="M889" i="1" s="1"/>
  <c r="N889" i="1" s="1"/>
  <c r="H578" i="1"/>
  <c r="I578" i="1" s="1"/>
  <c r="H542" i="1"/>
  <c r="I542" i="1" s="1"/>
  <c r="K542" i="1" s="1"/>
  <c r="L440" i="1"/>
  <c r="M440" i="1" s="1"/>
  <c r="N440" i="1" s="1"/>
  <c r="P440" i="1" s="1"/>
  <c r="K437" i="1"/>
  <c r="L404" i="1"/>
  <c r="M404" i="1" s="1"/>
  <c r="N404" i="1" s="1"/>
  <c r="P404" i="1" s="1"/>
  <c r="H401" i="1"/>
  <c r="I401" i="1" s="1"/>
  <c r="L327" i="1"/>
  <c r="M327" i="1" s="1"/>
  <c r="N327" i="1" s="1"/>
  <c r="P327" i="1" s="1"/>
  <c r="L324" i="1"/>
  <c r="M324" i="1" s="1"/>
  <c r="N324" i="1" s="1"/>
  <c r="O324" i="1" s="1"/>
  <c r="L319" i="1"/>
  <c r="M319" i="1" s="1"/>
  <c r="N319" i="1" s="1"/>
  <c r="P319" i="1" s="1"/>
  <c r="L287" i="1"/>
  <c r="M287" i="1" s="1"/>
  <c r="N287" i="1" s="1"/>
  <c r="L250" i="1"/>
  <c r="M250" i="1" s="1"/>
  <c r="N250" i="1" s="1"/>
  <c r="P250" i="1" s="1"/>
  <c r="L176" i="1"/>
  <c r="M176" i="1" s="1"/>
  <c r="N176" i="1" s="1"/>
  <c r="L143" i="1"/>
  <c r="M143" i="1" s="1"/>
  <c r="N143" i="1" s="1"/>
  <c r="O143" i="1" s="1"/>
  <c r="L908" i="1"/>
  <c r="M908" i="1" s="1"/>
  <c r="N908" i="1" s="1"/>
  <c r="O908" i="1" s="1"/>
  <c r="J801" i="1"/>
  <c r="H700" i="1"/>
  <c r="I700" i="1" s="1"/>
  <c r="K700" i="1" s="1"/>
  <c r="L677" i="1"/>
  <c r="M677" i="1" s="1"/>
  <c r="N677" i="1" s="1"/>
  <c r="P677" i="1" s="1"/>
  <c r="L601" i="1"/>
  <c r="M601" i="1" s="1"/>
  <c r="N601" i="1" s="1"/>
  <c r="P601" i="1" s="1"/>
  <c r="H581" i="1"/>
  <c r="I581" i="1" s="1"/>
  <c r="L535" i="1"/>
  <c r="M535" i="1" s="1"/>
  <c r="N535" i="1" s="1"/>
  <c r="O535" i="1" s="1"/>
  <c r="H511" i="1"/>
  <c r="I511" i="1" s="1"/>
  <c r="L501" i="1"/>
  <c r="M501" i="1" s="1"/>
  <c r="N501" i="1" s="1"/>
  <c r="H486" i="1"/>
  <c r="I486" i="1" s="1"/>
  <c r="K486" i="1" s="1"/>
  <c r="H475" i="1"/>
  <c r="I475" i="1" s="1"/>
  <c r="J475" i="1" s="1"/>
  <c r="L430" i="1"/>
  <c r="M430" i="1" s="1"/>
  <c r="N430" i="1" s="1"/>
  <c r="O430" i="1" s="1"/>
  <c r="K404" i="1"/>
  <c r="L397" i="1"/>
  <c r="M397" i="1" s="1"/>
  <c r="N397" i="1" s="1"/>
  <c r="O397" i="1" s="1"/>
  <c r="L384" i="1"/>
  <c r="M384" i="1" s="1"/>
  <c r="N384" i="1" s="1"/>
  <c r="P384" i="1" s="1"/>
  <c r="L352" i="1"/>
  <c r="M352" i="1" s="1"/>
  <c r="N352" i="1" s="1"/>
  <c r="P352" i="1" s="1"/>
  <c r="L304" i="1"/>
  <c r="M304" i="1" s="1"/>
  <c r="N304" i="1" s="1"/>
  <c r="P304" i="1" s="1"/>
  <c r="H254" i="1"/>
  <c r="I254" i="1" s="1"/>
  <c r="J254" i="1" s="1"/>
  <c r="H236" i="1"/>
  <c r="I236" i="1" s="1"/>
  <c r="L233" i="1"/>
  <c r="M233" i="1" s="1"/>
  <c r="N233" i="1" s="1"/>
  <c r="P233" i="1" s="1"/>
  <c r="H220" i="1"/>
  <c r="I220" i="1" s="1"/>
  <c r="L159" i="1"/>
  <c r="M159" i="1" s="1"/>
  <c r="N159" i="1" s="1"/>
  <c r="P159" i="1" s="1"/>
  <c r="L121" i="1"/>
  <c r="M121" i="1" s="1"/>
  <c r="N121" i="1" s="1"/>
  <c r="O121" i="1" s="1"/>
  <c r="L530" i="1"/>
  <c r="M530" i="1" s="1"/>
  <c r="N530" i="1" s="1"/>
  <c r="P530" i="1" s="1"/>
  <c r="H518" i="1"/>
  <c r="I518" i="1" s="1"/>
  <c r="K518" i="1" s="1"/>
  <c r="L506" i="1"/>
  <c r="M506" i="1" s="1"/>
  <c r="N506" i="1" s="1"/>
  <c r="O506" i="1" s="1"/>
  <c r="L465" i="1"/>
  <c r="M465" i="1" s="1"/>
  <c r="N465" i="1" s="1"/>
  <c r="O465" i="1" s="1"/>
  <c r="H451" i="1"/>
  <c r="I451" i="1" s="1"/>
  <c r="J451" i="1" s="1"/>
  <c r="H443" i="1"/>
  <c r="I443" i="1" s="1"/>
  <c r="J443" i="1" s="1"/>
  <c r="L407" i="1"/>
  <c r="M407" i="1" s="1"/>
  <c r="N407" i="1" s="1"/>
  <c r="P407" i="1" s="1"/>
  <c r="L392" i="1"/>
  <c r="M392" i="1" s="1"/>
  <c r="N392" i="1" s="1"/>
  <c r="P392" i="1" s="1"/>
  <c r="H356" i="1"/>
  <c r="I356" i="1" s="1"/>
  <c r="L339" i="1"/>
  <c r="M339" i="1" s="1"/>
  <c r="N339" i="1" s="1"/>
  <c r="O339" i="1" s="1"/>
  <c r="L309" i="1"/>
  <c r="M309" i="1" s="1"/>
  <c r="N309" i="1" s="1"/>
  <c r="O309" i="1" s="1"/>
  <c r="L296" i="1"/>
  <c r="M296" i="1" s="1"/>
  <c r="N296" i="1" s="1"/>
  <c r="P296" i="1" s="1"/>
  <c r="L551" i="1"/>
  <c r="M551" i="1" s="1"/>
  <c r="N551" i="1" s="1"/>
  <c r="O551" i="1" s="1"/>
  <c r="L514" i="1"/>
  <c r="M514" i="1" s="1"/>
  <c r="N514" i="1" s="1"/>
  <c r="O514" i="1" s="1"/>
  <c r="L361" i="1"/>
  <c r="M361" i="1" s="1"/>
  <c r="N361" i="1" s="1"/>
  <c r="O361" i="1" s="1"/>
  <c r="L240" i="1"/>
  <c r="M240" i="1" s="1"/>
  <c r="N240" i="1" s="1"/>
  <c r="O240" i="1" s="1"/>
  <c r="L460" i="1"/>
  <c r="M460" i="1" s="1"/>
  <c r="N460" i="1" s="1"/>
  <c r="P460" i="1" s="1"/>
  <c r="H420" i="1"/>
  <c r="I420" i="1" s="1"/>
  <c r="E54" i="1"/>
  <c r="L852" i="1"/>
  <c r="M852" i="1" s="1"/>
  <c r="N852" i="1" s="1"/>
  <c r="P852" i="1" s="1"/>
  <c r="E727" i="1"/>
  <c r="H710" i="1"/>
  <c r="I710" i="1" s="1"/>
  <c r="K710" i="1" s="1"/>
  <c r="L513" i="1"/>
  <c r="M513" i="1" s="1"/>
  <c r="N513" i="1" s="1"/>
  <c r="O513" i="1" s="1"/>
  <c r="L367" i="1"/>
  <c r="M367" i="1" s="1"/>
  <c r="N367" i="1" s="1"/>
  <c r="O367" i="1" s="1"/>
  <c r="H333" i="1"/>
  <c r="I333" i="1" s="1"/>
  <c r="J333" i="1" s="1"/>
  <c r="H323" i="1"/>
  <c r="I323" i="1" s="1"/>
  <c r="J323" i="1" s="1"/>
  <c r="L232" i="1"/>
  <c r="M232" i="1" s="1"/>
  <c r="N232" i="1" s="1"/>
  <c r="O232" i="1" s="1"/>
  <c r="L549" i="1"/>
  <c r="M549" i="1" s="1"/>
  <c r="N549" i="1" s="1"/>
  <c r="P549" i="1" s="1"/>
  <c r="H540" i="1"/>
  <c r="I540" i="1" s="1"/>
  <c r="J540" i="1" s="1"/>
  <c r="L474" i="1"/>
  <c r="M474" i="1" s="1"/>
  <c r="N474" i="1" s="1"/>
  <c r="P474" i="1" s="1"/>
  <c r="H386" i="1"/>
  <c r="I386" i="1" s="1"/>
  <c r="K386" i="1" s="1"/>
  <c r="L376" i="1"/>
  <c r="M376" i="1" s="1"/>
  <c r="N376" i="1" s="1"/>
  <c r="O376" i="1" s="1"/>
  <c r="L342" i="1"/>
  <c r="M342" i="1" s="1"/>
  <c r="N342" i="1" s="1"/>
  <c r="O342" i="1" s="1"/>
  <c r="H263" i="1"/>
  <c r="I263" i="1" s="1"/>
  <c r="J263" i="1" s="1"/>
  <c r="H156" i="1"/>
  <c r="I156" i="1" s="1"/>
  <c r="O657" i="1"/>
  <c r="O864" i="1"/>
  <c r="P518" i="1"/>
  <c r="P758" i="1"/>
  <c r="P452" i="1"/>
  <c r="O452" i="1"/>
  <c r="P764" i="1"/>
  <c r="O764" i="1"/>
  <c r="P504" i="1"/>
  <c r="O504" i="1"/>
  <c r="O783" i="1"/>
  <c r="P783" i="1"/>
  <c r="O340" i="1"/>
  <c r="P340" i="1"/>
  <c r="O572" i="1"/>
  <c r="P572" i="1"/>
  <c r="P113" i="1"/>
  <c r="O113" i="1"/>
  <c r="O75" i="1"/>
  <c r="P75" i="1"/>
  <c r="P483" i="1"/>
  <c r="O74" i="1"/>
  <c r="P315" i="1"/>
  <c r="P132" i="1"/>
  <c r="P495" i="1"/>
  <c r="P403" i="1"/>
  <c r="J1005" i="1"/>
  <c r="K1005" i="1"/>
  <c r="L1009" i="1"/>
  <c r="M1009" i="1" s="1"/>
  <c r="N1009" i="1" s="1"/>
  <c r="H1009" i="1"/>
  <c r="I1009" i="1" s="1"/>
  <c r="O997" i="1"/>
  <c r="P997" i="1"/>
  <c r="K999" i="1"/>
  <c r="J999" i="1"/>
  <c r="C939" i="1"/>
  <c r="D939" i="1" s="1"/>
  <c r="G939" i="1"/>
  <c r="G882" i="1"/>
  <c r="C882" i="1"/>
  <c r="D882" i="1" s="1"/>
  <c r="G1003" i="1"/>
  <c r="E963" i="1"/>
  <c r="F963" i="1"/>
  <c r="J958" i="1"/>
  <c r="K958" i="1"/>
  <c r="O945" i="1"/>
  <c r="P945" i="1"/>
  <c r="E934" i="1"/>
  <c r="F934" i="1"/>
  <c r="O910" i="1"/>
  <c r="P910" i="1"/>
  <c r="E1003" i="1"/>
  <c r="H970" i="1"/>
  <c r="I970" i="1" s="1"/>
  <c r="L970" i="1"/>
  <c r="M970" i="1" s="1"/>
  <c r="N970" i="1" s="1"/>
  <c r="H938" i="1"/>
  <c r="I938" i="1" s="1"/>
  <c r="L938" i="1"/>
  <c r="M938" i="1" s="1"/>
  <c r="N938" i="1" s="1"/>
  <c r="H929" i="1"/>
  <c r="I929" i="1" s="1"/>
  <c r="L929" i="1"/>
  <c r="M929" i="1" s="1"/>
  <c r="N929" i="1" s="1"/>
  <c r="O913" i="1"/>
  <c r="P913" i="1"/>
  <c r="C890" i="1"/>
  <c r="D890" i="1" s="1"/>
  <c r="G890" i="1"/>
  <c r="G1007" i="1"/>
  <c r="C1007" i="1"/>
  <c r="D1007" i="1" s="1"/>
  <c r="C1005" i="1"/>
  <c r="D1005" i="1" s="1"/>
  <c r="L962" i="1"/>
  <c r="M962" i="1" s="1"/>
  <c r="N962" i="1" s="1"/>
  <c r="H962" i="1"/>
  <c r="I962" i="1" s="1"/>
  <c r="H944" i="1"/>
  <c r="I944" i="1" s="1"/>
  <c r="L944" i="1"/>
  <c r="M944" i="1" s="1"/>
  <c r="N944" i="1" s="1"/>
  <c r="J928" i="1"/>
  <c r="K928" i="1"/>
  <c r="H924" i="1"/>
  <c r="I924" i="1" s="1"/>
  <c r="L924" i="1"/>
  <c r="M924" i="1" s="1"/>
  <c r="N924" i="1" s="1"/>
  <c r="E855" i="1"/>
  <c r="F855" i="1"/>
  <c r="C993" i="1"/>
  <c r="D993" i="1" s="1"/>
  <c r="G993" i="1"/>
  <c r="E928" i="1"/>
  <c r="F928" i="1"/>
  <c r="F874" i="1"/>
  <c r="E874" i="1"/>
  <c r="P868" i="1"/>
  <c r="O868" i="1"/>
  <c r="L844" i="1"/>
  <c r="M844" i="1" s="1"/>
  <c r="N844" i="1" s="1"/>
  <c r="H844" i="1"/>
  <c r="I844" i="1" s="1"/>
  <c r="H975" i="1"/>
  <c r="I975" i="1" s="1"/>
  <c r="L975" i="1"/>
  <c r="M975" i="1" s="1"/>
  <c r="N975" i="1" s="1"/>
  <c r="E933" i="1"/>
  <c r="F933" i="1"/>
  <c r="K909" i="1"/>
  <c r="J909" i="1"/>
  <c r="H874" i="1"/>
  <c r="I874" i="1" s="1"/>
  <c r="L874" i="1"/>
  <c r="M874" i="1" s="1"/>
  <c r="N874" i="1" s="1"/>
  <c r="O949" i="1"/>
  <c r="P949" i="1"/>
  <c r="L992" i="1"/>
  <c r="M992" i="1" s="1"/>
  <c r="N992" i="1" s="1"/>
  <c r="G987" i="1"/>
  <c r="G957" i="1"/>
  <c r="C957" i="1"/>
  <c r="D957" i="1" s="1"/>
  <c r="J936" i="1"/>
  <c r="K936" i="1"/>
  <c r="O881" i="1"/>
  <c r="P881" i="1"/>
  <c r="F868" i="1"/>
  <c r="E868" i="1"/>
  <c r="K906" i="1"/>
  <c r="L1012" i="1"/>
  <c r="M1012" i="1" s="1"/>
  <c r="N1012" i="1" s="1"/>
  <c r="H1012" i="1"/>
  <c r="I1012" i="1" s="1"/>
  <c r="J992" i="1"/>
  <c r="K992" i="1"/>
  <c r="H984" i="1"/>
  <c r="I984" i="1" s="1"/>
  <c r="L984" i="1"/>
  <c r="M984" i="1" s="1"/>
  <c r="N984" i="1" s="1"/>
  <c r="L978" i="1"/>
  <c r="M978" i="1" s="1"/>
  <c r="N978" i="1" s="1"/>
  <c r="H978" i="1"/>
  <c r="I978" i="1" s="1"/>
  <c r="H943" i="1"/>
  <c r="I943" i="1" s="1"/>
  <c r="L943" i="1"/>
  <c r="M943" i="1" s="1"/>
  <c r="N943" i="1" s="1"/>
  <c r="O932" i="1"/>
  <c r="K927" i="1"/>
  <c r="J923" i="1"/>
  <c r="K923" i="1"/>
  <c r="E860" i="1"/>
  <c r="H1010" i="1"/>
  <c r="I1010" i="1" s="1"/>
  <c r="C995" i="1"/>
  <c r="D995" i="1" s="1"/>
  <c r="G995" i="1"/>
  <c r="O981" i="1"/>
  <c r="P981" i="1"/>
  <c r="J968" i="1"/>
  <c r="K968" i="1"/>
  <c r="H956" i="1"/>
  <c r="I956" i="1" s="1"/>
  <c r="L956" i="1"/>
  <c r="M956" i="1" s="1"/>
  <c r="N956" i="1" s="1"/>
  <c r="O922" i="1"/>
  <c r="P922" i="1"/>
  <c r="F888" i="1"/>
  <c r="E888" i="1"/>
  <c r="H959" i="1"/>
  <c r="I959" i="1" s="1"/>
  <c r="L959" i="1"/>
  <c r="M959" i="1" s="1"/>
  <c r="N959" i="1" s="1"/>
  <c r="E965" i="1"/>
  <c r="F965" i="1"/>
  <c r="F899" i="1"/>
  <c r="O887" i="1"/>
  <c r="O883" i="1"/>
  <c r="P883" i="1"/>
  <c r="G859" i="1"/>
  <c r="C859" i="1"/>
  <c r="D859" i="1" s="1"/>
  <c r="J827" i="1"/>
  <c r="K827" i="1"/>
  <c r="E1004" i="1"/>
  <c r="F1004" i="1"/>
  <c r="H960" i="1"/>
  <c r="I960" i="1" s="1"/>
  <c r="L960" i="1"/>
  <c r="M960" i="1" s="1"/>
  <c r="N960" i="1" s="1"/>
  <c r="C955" i="1"/>
  <c r="D955" i="1" s="1"/>
  <c r="G955" i="1"/>
  <c r="E887" i="1"/>
  <c r="H1000" i="1"/>
  <c r="I1000" i="1" s="1"/>
  <c r="L1000" i="1"/>
  <c r="M1000" i="1" s="1"/>
  <c r="N1000" i="1" s="1"/>
  <c r="L994" i="1"/>
  <c r="M994" i="1" s="1"/>
  <c r="N994" i="1" s="1"/>
  <c r="H994" i="1"/>
  <c r="I994" i="1" s="1"/>
  <c r="G973" i="1"/>
  <c r="C973" i="1"/>
  <c r="D973" i="1" s="1"/>
  <c r="J908" i="1"/>
  <c r="K908" i="1"/>
  <c r="C903" i="1"/>
  <c r="D903" i="1" s="1"/>
  <c r="G903" i="1"/>
  <c r="L872" i="1"/>
  <c r="M872" i="1" s="1"/>
  <c r="N872" i="1" s="1"/>
  <c r="H872" i="1"/>
  <c r="I872" i="1" s="1"/>
  <c r="O964" i="1"/>
  <c r="P964" i="1"/>
  <c r="J935" i="1"/>
  <c r="K935" i="1"/>
  <c r="O918" i="1"/>
  <c r="P918" i="1"/>
  <c r="F908" i="1"/>
  <c r="J902" i="1"/>
  <c r="K902" i="1"/>
  <c r="J892" i="1"/>
  <c r="K892" i="1"/>
  <c r="H858" i="1"/>
  <c r="I858" i="1" s="1"/>
  <c r="L858" i="1"/>
  <c r="M858" i="1" s="1"/>
  <c r="N858" i="1" s="1"/>
  <c r="E852" i="1"/>
  <c r="F852" i="1"/>
  <c r="C789" i="1"/>
  <c r="D789" i="1" s="1"/>
  <c r="G789" i="1"/>
  <c r="L996" i="1"/>
  <c r="M996" i="1" s="1"/>
  <c r="N996" i="1" s="1"/>
  <c r="H996" i="1"/>
  <c r="I996" i="1" s="1"/>
  <c r="G989" i="1"/>
  <c r="C989" i="1"/>
  <c r="D989" i="1" s="1"/>
  <c r="H986" i="1"/>
  <c r="I986" i="1" s="1"/>
  <c r="L986" i="1"/>
  <c r="M986" i="1" s="1"/>
  <c r="N986" i="1" s="1"/>
  <c r="H972" i="1"/>
  <c r="I972" i="1" s="1"/>
  <c r="L972" i="1"/>
  <c r="M972" i="1" s="1"/>
  <c r="N972" i="1" s="1"/>
  <c r="E964" i="1"/>
  <c r="F964" i="1"/>
  <c r="H954" i="1"/>
  <c r="I954" i="1" s="1"/>
  <c r="L954" i="1"/>
  <c r="M954" i="1" s="1"/>
  <c r="N954" i="1" s="1"/>
  <c r="O946" i="1"/>
  <c r="H941" i="1"/>
  <c r="I941" i="1" s="1"/>
  <c r="L941" i="1"/>
  <c r="M941" i="1" s="1"/>
  <c r="N941" i="1" s="1"/>
  <c r="K918" i="1"/>
  <c r="J918" i="1"/>
  <c r="H915" i="1"/>
  <c r="I915" i="1" s="1"/>
  <c r="L915" i="1"/>
  <c r="M915" i="1" s="1"/>
  <c r="N915" i="1" s="1"/>
  <c r="K911" i="1"/>
  <c r="J911" i="1"/>
  <c r="H793" i="1"/>
  <c r="I793" i="1" s="1"/>
  <c r="L793" i="1"/>
  <c r="M793" i="1" s="1"/>
  <c r="N793" i="1" s="1"/>
  <c r="G998" i="1"/>
  <c r="E935" i="1"/>
  <c r="F935" i="1"/>
  <c r="L856" i="1"/>
  <c r="M856" i="1" s="1"/>
  <c r="N856" i="1" s="1"/>
  <c r="H856" i="1"/>
  <c r="I856" i="1" s="1"/>
  <c r="E797" i="1"/>
  <c r="F797" i="1"/>
  <c r="G991" i="1"/>
  <c r="C991" i="1"/>
  <c r="D991" i="1" s="1"/>
  <c r="C1011" i="1"/>
  <c r="D1011" i="1" s="1"/>
  <c r="G1011" i="1"/>
  <c r="F1013" i="1"/>
  <c r="L980" i="1"/>
  <c r="M980" i="1" s="1"/>
  <c r="N980" i="1" s="1"/>
  <c r="H980" i="1"/>
  <c r="I980" i="1" s="1"/>
  <c r="H976" i="1"/>
  <c r="I976" i="1" s="1"/>
  <c r="L976" i="1"/>
  <c r="M976" i="1" s="1"/>
  <c r="N976" i="1" s="1"/>
  <c r="C971" i="1"/>
  <c r="D971" i="1" s="1"/>
  <c r="G971" i="1"/>
  <c r="H940" i="1"/>
  <c r="I940" i="1" s="1"/>
  <c r="L940" i="1"/>
  <c r="M940" i="1" s="1"/>
  <c r="N940" i="1" s="1"/>
  <c r="J907" i="1"/>
  <c r="K907" i="1"/>
  <c r="G977" i="1"/>
  <c r="H946" i="1"/>
  <c r="I946" i="1" s="1"/>
  <c r="C941" i="1"/>
  <c r="D941" i="1" s="1"/>
  <c r="C929" i="1"/>
  <c r="D929" i="1" s="1"/>
  <c r="H925" i="1"/>
  <c r="I925" i="1" s="1"/>
  <c r="H920" i="1"/>
  <c r="I920" i="1" s="1"/>
  <c r="H904" i="1"/>
  <c r="I904" i="1" s="1"/>
  <c r="G880" i="1"/>
  <c r="C872" i="1"/>
  <c r="D872" i="1" s="1"/>
  <c r="E844" i="1"/>
  <c r="F844" i="1"/>
  <c r="E830" i="1"/>
  <c r="F830" i="1"/>
  <c r="P771" i="1"/>
  <c r="O771" i="1"/>
  <c r="O756" i="1"/>
  <c r="O827" i="1"/>
  <c r="P827" i="1"/>
  <c r="O812" i="1"/>
  <c r="P812" i="1"/>
  <c r="C779" i="1"/>
  <c r="D779" i="1" s="1"/>
  <c r="G779" i="1"/>
  <c r="E776" i="1"/>
  <c r="F776" i="1"/>
  <c r="J763" i="1"/>
  <c r="K763" i="1"/>
  <c r="G979" i="1"/>
  <c r="C975" i="1"/>
  <c r="D975" i="1" s="1"/>
  <c r="L968" i="1"/>
  <c r="M968" i="1" s="1"/>
  <c r="N968" i="1" s="1"/>
  <c r="H964" i="1"/>
  <c r="I964" i="1" s="1"/>
  <c r="G963" i="1"/>
  <c r="C959" i="1"/>
  <c r="D959" i="1" s="1"/>
  <c r="L952" i="1"/>
  <c r="M952" i="1" s="1"/>
  <c r="N952" i="1" s="1"/>
  <c r="H948" i="1"/>
  <c r="I948" i="1" s="1"/>
  <c r="G947" i="1"/>
  <c r="C943" i="1"/>
  <c r="D943" i="1" s="1"/>
  <c r="L936" i="1"/>
  <c r="M936" i="1" s="1"/>
  <c r="N936" i="1" s="1"/>
  <c r="H932" i="1"/>
  <c r="I932" i="1" s="1"/>
  <c r="L927" i="1"/>
  <c r="M927" i="1" s="1"/>
  <c r="N927" i="1" s="1"/>
  <c r="C907" i="1"/>
  <c r="D907" i="1" s="1"/>
  <c r="E904" i="1"/>
  <c r="L892" i="1"/>
  <c r="M892" i="1" s="1"/>
  <c r="N892" i="1" s="1"/>
  <c r="H886" i="1"/>
  <c r="I886" i="1" s="1"/>
  <c r="H878" i="1"/>
  <c r="I878" i="1" s="1"/>
  <c r="L862" i="1"/>
  <c r="M862" i="1" s="1"/>
  <c r="N862" i="1" s="1"/>
  <c r="H862" i="1"/>
  <c r="I862" i="1" s="1"/>
  <c r="H835" i="1"/>
  <c r="I835" i="1" s="1"/>
  <c r="L835" i="1"/>
  <c r="M835" i="1" s="1"/>
  <c r="N835" i="1" s="1"/>
  <c r="H826" i="1"/>
  <c r="I826" i="1" s="1"/>
  <c r="L826" i="1"/>
  <c r="M826" i="1" s="1"/>
  <c r="N826" i="1" s="1"/>
  <c r="G901" i="1"/>
  <c r="P896" i="1"/>
  <c r="E866" i="1"/>
  <c r="F866" i="1"/>
  <c r="G839" i="1"/>
  <c r="C839" i="1"/>
  <c r="D839" i="1" s="1"/>
  <c r="E826" i="1"/>
  <c r="P755" i="1"/>
  <c r="O755" i="1"/>
  <c r="G744" i="1"/>
  <c r="C744" i="1"/>
  <c r="D744" i="1" s="1"/>
  <c r="L909" i="1"/>
  <c r="M909" i="1" s="1"/>
  <c r="N909" i="1" s="1"/>
  <c r="L902" i="1"/>
  <c r="M902" i="1" s="1"/>
  <c r="N902" i="1" s="1"/>
  <c r="C891" i="1"/>
  <c r="D891" i="1" s="1"/>
  <c r="H866" i="1"/>
  <c r="I866" i="1" s="1"/>
  <c r="L866" i="1"/>
  <c r="M866" i="1" s="1"/>
  <c r="N866" i="1" s="1"/>
  <c r="K819" i="1"/>
  <c r="J819" i="1"/>
  <c r="J783" i="1"/>
  <c r="G982" i="1"/>
  <c r="G966" i="1"/>
  <c r="G950" i="1"/>
  <c r="G934" i="1"/>
  <c r="L928" i="1"/>
  <c r="M928" i="1" s="1"/>
  <c r="N928" i="1" s="1"/>
  <c r="K922" i="1"/>
  <c r="H871" i="1"/>
  <c r="I871" i="1" s="1"/>
  <c r="C851" i="1"/>
  <c r="D851" i="1" s="1"/>
  <c r="E838" i="1"/>
  <c r="F838" i="1"/>
  <c r="H825" i="1"/>
  <c r="I825" i="1" s="1"/>
  <c r="L825" i="1"/>
  <c r="M825" i="1" s="1"/>
  <c r="N825" i="1" s="1"/>
  <c r="E800" i="1"/>
  <c r="E795" i="1"/>
  <c r="F795" i="1"/>
  <c r="J722" i="1"/>
  <c r="G917" i="1"/>
  <c r="L906" i="1"/>
  <c r="M906" i="1" s="1"/>
  <c r="N906" i="1" s="1"/>
  <c r="K876" i="1"/>
  <c r="C875" i="1"/>
  <c r="D875" i="1" s="1"/>
  <c r="H855" i="1"/>
  <c r="I855" i="1" s="1"/>
  <c r="L855" i="1"/>
  <c r="M855" i="1" s="1"/>
  <c r="N855" i="1" s="1"/>
  <c r="H851" i="1"/>
  <c r="I851" i="1" s="1"/>
  <c r="L851" i="1"/>
  <c r="M851" i="1" s="1"/>
  <c r="N851" i="1" s="1"/>
  <c r="K824" i="1"/>
  <c r="J807" i="1"/>
  <c r="E783" i="1"/>
  <c r="F783" i="1"/>
  <c r="L914" i="1"/>
  <c r="M914" i="1" s="1"/>
  <c r="N914" i="1" s="1"/>
  <c r="E881" i="1"/>
  <c r="H842" i="1"/>
  <c r="I842" i="1" s="1"/>
  <c r="L842" i="1"/>
  <c r="M842" i="1" s="1"/>
  <c r="N842" i="1" s="1"/>
  <c r="O832" i="1"/>
  <c r="P832" i="1"/>
  <c r="H800" i="1"/>
  <c r="I800" i="1" s="1"/>
  <c r="L800" i="1"/>
  <c r="M800" i="1" s="1"/>
  <c r="N800" i="1" s="1"/>
  <c r="F762" i="1"/>
  <c r="H741" i="1"/>
  <c r="I741" i="1" s="1"/>
  <c r="L741" i="1"/>
  <c r="M741" i="1" s="1"/>
  <c r="N741" i="1" s="1"/>
  <c r="L1006" i="1"/>
  <c r="M1006" i="1" s="1"/>
  <c r="N1006" i="1" s="1"/>
  <c r="G1001" i="1"/>
  <c r="L990" i="1"/>
  <c r="M990" i="1" s="1"/>
  <c r="N990" i="1" s="1"/>
  <c r="G985" i="1"/>
  <c r="L974" i="1"/>
  <c r="M974" i="1" s="1"/>
  <c r="N974" i="1" s="1"/>
  <c r="G969" i="1"/>
  <c r="L958" i="1"/>
  <c r="M958" i="1" s="1"/>
  <c r="N958" i="1" s="1"/>
  <c r="G953" i="1"/>
  <c r="L942" i="1"/>
  <c r="M942" i="1" s="1"/>
  <c r="N942" i="1" s="1"/>
  <c r="G937" i="1"/>
  <c r="L923" i="1"/>
  <c r="M923" i="1" s="1"/>
  <c r="N923" i="1" s="1"/>
  <c r="C905" i="1"/>
  <c r="D905" i="1" s="1"/>
  <c r="C889" i="1"/>
  <c r="D889" i="1" s="1"/>
  <c r="C873" i="1"/>
  <c r="D873" i="1" s="1"/>
  <c r="L867" i="1"/>
  <c r="M867" i="1" s="1"/>
  <c r="N867" i="1" s="1"/>
  <c r="C853" i="1"/>
  <c r="D853" i="1" s="1"/>
  <c r="G853" i="1"/>
  <c r="C837" i="1"/>
  <c r="D837" i="1" s="1"/>
  <c r="G837" i="1"/>
  <c r="J832" i="1"/>
  <c r="K832" i="1"/>
  <c r="C782" i="1"/>
  <c r="D782" i="1" s="1"/>
  <c r="G782" i="1"/>
  <c r="K773" i="1"/>
  <c r="J773" i="1"/>
  <c r="E922" i="1"/>
  <c r="H896" i="1"/>
  <c r="I896" i="1" s="1"/>
  <c r="H887" i="1"/>
  <c r="I887" i="1" s="1"/>
  <c r="J861" i="1"/>
  <c r="E781" i="1"/>
  <c r="F781" i="1"/>
  <c r="H709" i="1"/>
  <c r="I709" i="1" s="1"/>
  <c r="L709" i="1"/>
  <c r="M709" i="1" s="1"/>
  <c r="N709" i="1" s="1"/>
  <c r="E832" i="1"/>
  <c r="F832" i="1"/>
  <c r="H786" i="1"/>
  <c r="I786" i="1" s="1"/>
  <c r="L786" i="1"/>
  <c r="M786" i="1" s="1"/>
  <c r="N786" i="1" s="1"/>
  <c r="O731" i="1"/>
  <c r="P731" i="1"/>
  <c r="L907" i="1"/>
  <c r="M907" i="1" s="1"/>
  <c r="N907" i="1" s="1"/>
  <c r="L900" i="1"/>
  <c r="M900" i="1" s="1"/>
  <c r="N900" i="1" s="1"/>
  <c r="C869" i="1"/>
  <c r="D869" i="1" s="1"/>
  <c r="G869" i="1"/>
  <c r="C865" i="1"/>
  <c r="D865" i="1" s="1"/>
  <c r="G865" i="1"/>
  <c r="G857" i="1"/>
  <c r="C857" i="1"/>
  <c r="D857" i="1" s="1"/>
  <c r="C850" i="1"/>
  <c r="D850" i="1" s="1"/>
  <c r="G850" i="1"/>
  <c r="K805" i="1"/>
  <c r="J805" i="1"/>
  <c r="O757" i="1"/>
  <c r="P757" i="1"/>
  <c r="O746" i="1"/>
  <c r="P746" i="1"/>
  <c r="C867" i="1"/>
  <c r="D867" i="1" s="1"/>
  <c r="K852" i="1"/>
  <c r="H841" i="1"/>
  <c r="I841" i="1" s="1"/>
  <c r="L841" i="1"/>
  <c r="M841" i="1" s="1"/>
  <c r="N841" i="1" s="1"/>
  <c r="H823" i="1"/>
  <c r="I823" i="1" s="1"/>
  <c r="L823" i="1"/>
  <c r="M823" i="1" s="1"/>
  <c r="N823" i="1" s="1"/>
  <c r="L931" i="1"/>
  <c r="M931" i="1" s="1"/>
  <c r="N931" i="1" s="1"/>
  <c r="G919" i="1"/>
  <c r="G885" i="1"/>
  <c r="J854" i="1"/>
  <c r="K854" i="1"/>
  <c r="E831" i="1"/>
  <c r="F831" i="1"/>
  <c r="C822" i="1"/>
  <c r="D822" i="1" s="1"/>
  <c r="G822" i="1"/>
  <c r="C814" i="1"/>
  <c r="D814" i="1" s="1"/>
  <c r="G814" i="1"/>
  <c r="P801" i="1"/>
  <c r="O801" i="1"/>
  <c r="O790" i="1"/>
  <c r="P790" i="1"/>
  <c r="H870" i="1"/>
  <c r="I870" i="1" s="1"/>
  <c r="L870" i="1"/>
  <c r="M870" i="1" s="1"/>
  <c r="N870" i="1" s="1"/>
  <c r="E847" i="1"/>
  <c r="F847" i="1"/>
  <c r="E790" i="1"/>
  <c r="F790" i="1"/>
  <c r="H828" i="1"/>
  <c r="I828" i="1" s="1"/>
  <c r="C823" i="1"/>
  <c r="D823" i="1" s="1"/>
  <c r="H815" i="1"/>
  <c r="I815" i="1" s="1"/>
  <c r="G797" i="1"/>
  <c r="H790" i="1"/>
  <c r="I790" i="1" s="1"/>
  <c r="J787" i="1"/>
  <c r="H771" i="1"/>
  <c r="I771" i="1" s="1"/>
  <c r="G765" i="1"/>
  <c r="L753" i="1"/>
  <c r="M753" i="1" s="1"/>
  <c r="N753" i="1" s="1"/>
  <c r="O700" i="1"/>
  <c r="P700" i="1"/>
  <c r="H695" i="1"/>
  <c r="I695" i="1" s="1"/>
  <c r="L695" i="1"/>
  <c r="M695" i="1" s="1"/>
  <c r="N695" i="1" s="1"/>
  <c r="L669" i="1"/>
  <c r="M669" i="1" s="1"/>
  <c r="N669" i="1" s="1"/>
  <c r="H669" i="1"/>
  <c r="I669" i="1" s="1"/>
  <c r="J645" i="1"/>
  <c r="K645" i="1"/>
  <c r="J730" i="1"/>
  <c r="K730" i="1"/>
  <c r="E705" i="1"/>
  <c r="F705" i="1"/>
  <c r="G694" i="1"/>
  <c r="C694" i="1"/>
  <c r="D694" i="1" s="1"/>
  <c r="H846" i="1"/>
  <c r="I846" i="1" s="1"/>
  <c r="C841" i="1"/>
  <c r="D841" i="1" s="1"/>
  <c r="H830" i="1"/>
  <c r="I830" i="1" s="1"/>
  <c r="C825" i="1"/>
  <c r="D825" i="1" s="1"/>
  <c r="L809" i="1"/>
  <c r="M809" i="1" s="1"/>
  <c r="N809" i="1" s="1"/>
  <c r="C793" i="1"/>
  <c r="D793" i="1" s="1"/>
  <c r="G774" i="1"/>
  <c r="L763" i="1"/>
  <c r="M763" i="1" s="1"/>
  <c r="N763" i="1" s="1"/>
  <c r="C736" i="1"/>
  <c r="D736" i="1" s="1"/>
  <c r="G736" i="1"/>
  <c r="H725" i="1"/>
  <c r="I725" i="1" s="1"/>
  <c r="L725" i="1"/>
  <c r="M725" i="1" s="1"/>
  <c r="N725" i="1" s="1"/>
  <c r="H705" i="1"/>
  <c r="I705" i="1" s="1"/>
  <c r="L705" i="1"/>
  <c r="M705" i="1" s="1"/>
  <c r="N705" i="1" s="1"/>
  <c r="H820" i="1"/>
  <c r="I820" i="1" s="1"/>
  <c r="C815" i="1"/>
  <c r="D815" i="1" s="1"/>
  <c r="H758" i="1"/>
  <c r="I758" i="1" s="1"/>
  <c r="O735" i="1"/>
  <c r="E725" i="1"/>
  <c r="F725" i="1"/>
  <c r="C708" i="1"/>
  <c r="D708" i="1" s="1"/>
  <c r="G708" i="1"/>
  <c r="H693" i="1"/>
  <c r="I693" i="1" s="1"/>
  <c r="L693" i="1"/>
  <c r="M693" i="1" s="1"/>
  <c r="N693" i="1" s="1"/>
  <c r="C602" i="1"/>
  <c r="D602" i="1" s="1"/>
  <c r="G602" i="1"/>
  <c r="E721" i="1"/>
  <c r="F721" i="1"/>
  <c r="C704" i="1"/>
  <c r="D704" i="1" s="1"/>
  <c r="G704" i="1"/>
  <c r="H679" i="1"/>
  <c r="I679" i="1" s="1"/>
  <c r="L679" i="1"/>
  <c r="M679" i="1" s="1"/>
  <c r="N679" i="1" s="1"/>
  <c r="L799" i="1"/>
  <c r="M799" i="1" s="1"/>
  <c r="N799" i="1" s="1"/>
  <c r="L769" i="1"/>
  <c r="M769" i="1" s="1"/>
  <c r="N769" i="1" s="1"/>
  <c r="H743" i="1"/>
  <c r="I743" i="1" s="1"/>
  <c r="L743" i="1"/>
  <c r="M743" i="1" s="1"/>
  <c r="N743" i="1" s="1"/>
  <c r="H721" i="1"/>
  <c r="I721" i="1" s="1"/>
  <c r="L721" i="1"/>
  <c r="M721" i="1" s="1"/>
  <c r="N721" i="1" s="1"/>
  <c r="L854" i="1"/>
  <c r="M854" i="1" s="1"/>
  <c r="N854" i="1" s="1"/>
  <c r="G849" i="1"/>
  <c r="L838" i="1"/>
  <c r="M838" i="1" s="1"/>
  <c r="N838" i="1" s="1"/>
  <c r="G833" i="1"/>
  <c r="L810" i="1"/>
  <c r="M810" i="1" s="1"/>
  <c r="N810" i="1" s="1"/>
  <c r="L803" i="1"/>
  <c r="M803" i="1" s="1"/>
  <c r="N803" i="1" s="1"/>
  <c r="G781" i="1"/>
  <c r="G745" i="1"/>
  <c r="C724" i="1"/>
  <c r="D724" i="1" s="1"/>
  <c r="G724" i="1"/>
  <c r="H688" i="1"/>
  <c r="I688" i="1" s="1"/>
  <c r="L688" i="1"/>
  <c r="M688" i="1" s="1"/>
  <c r="N688" i="1" s="1"/>
  <c r="E683" i="1"/>
  <c r="F683" i="1"/>
  <c r="C666" i="1"/>
  <c r="D666" i="1" s="1"/>
  <c r="G666" i="1"/>
  <c r="O654" i="1"/>
  <c r="P654" i="1"/>
  <c r="G834" i="1"/>
  <c r="G821" i="1"/>
  <c r="K817" i="1"/>
  <c r="G813" i="1"/>
  <c r="F802" i="1"/>
  <c r="G795" i="1"/>
  <c r="G788" i="1"/>
  <c r="G784" i="1"/>
  <c r="G772" i="1"/>
  <c r="G766" i="1"/>
  <c r="L761" i="1"/>
  <c r="M761" i="1" s="1"/>
  <c r="N761" i="1" s="1"/>
  <c r="K754" i="1"/>
  <c r="C740" i="1"/>
  <c r="D740" i="1" s="1"/>
  <c r="G740" i="1"/>
  <c r="P723" i="1"/>
  <c r="C720" i="1"/>
  <c r="D720" i="1" s="1"/>
  <c r="G720" i="1"/>
  <c r="H712" i="1"/>
  <c r="I712" i="1" s="1"/>
  <c r="L712" i="1"/>
  <c r="M712" i="1" s="1"/>
  <c r="N712" i="1" s="1"/>
  <c r="H703" i="1"/>
  <c r="I703" i="1" s="1"/>
  <c r="L703" i="1"/>
  <c r="M703" i="1" s="1"/>
  <c r="N703" i="1" s="1"/>
  <c r="J698" i="1"/>
  <c r="C682" i="1"/>
  <c r="D682" i="1" s="1"/>
  <c r="G682" i="1"/>
  <c r="J633" i="1"/>
  <c r="G806" i="1"/>
  <c r="C791" i="1"/>
  <c r="D791" i="1" s="1"/>
  <c r="E775" i="1"/>
  <c r="L773" i="1"/>
  <c r="M773" i="1" s="1"/>
  <c r="N773" i="1" s="1"/>
  <c r="H764" i="1"/>
  <c r="I764" i="1" s="1"/>
  <c r="K723" i="1"/>
  <c r="O648" i="1"/>
  <c r="P648" i="1"/>
  <c r="H544" i="1"/>
  <c r="I544" i="1" s="1"/>
  <c r="L544" i="1"/>
  <c r="M544" i="1" s="1"/>
  <c r="N544" i="1" s="1"/>
  <c r="L750" i="1"/>
  <c r="M750" i="1" s="1"/>
  <c r="N750" i="1" s="1"/>
  <c r="L818" i="1"/>
  <c r="M818" i="1" s="1"/>
  <c r="N818" i="1" s="1"/>
  <c r="H796" i="1"/>
  <c r="I796" i="1" s="1"/>
  <c r="L770" i="1"/>
  <c r="M770" i="1" s="1"/>
  <c r="N770" i="1" s="1"/>
  <c r="F764" i="1"/>
  <c r="J748" i="1"/>
  <c r="L739" i="1"/>
  <c r="M739" i="1" s="1"/>
  <c r="N739" i="1" s="1"/>
  <c r="H728" i="1"/>
  <c r="I728" i="1" s="1"/>
  <c r="L728" i="1"/>
  <c r="M728" i="1" s="1"/>
  <c r="N728" i="1" s="1"/>
  <c r="H719" i="1"/>
  <c r="I719" i="1" s="1"/>
  <c r="L719" i="1"/>
  <c r="M719" i="1" s="1"/>
  <c r="N719" i="1" s="1"/>
  <c r="J677" i="1"/>
  <c r="K677" i="1"/>
  <c r="O571" i="1"/>
  <c r="P571" i="1"/>
  <c r="K818" i="1"/>
  <c r="E761" i="1"/>
  <c r="H757" i="1"/>
  <c r="I757" i="1" s="1"/>
  <c r="G742" i="1"/>
  <c r="C742" i="1"/>
  <c r="D742" i="1" s="1"/>
  <c r="H711" i="1"/>
  <c r="I711" i="1" s="1"/>
  <c r="L711" i="1"/>
  <c r="M711" i="1" s="1"/>
  <c r="N711" i="1" s="1"/>
  <c r="L653" i="1"/>
  <c r="M653" i="1" s="1"/>
  <c r="N653" i="1" s="1"/>
  <c r="H653" i="1"/>
  <c r="I653" i="1" s="1"/>
  <c r="H647" i="1"/>
  <c r="I647" i="1" s="1"/>
  <c r="L647" i="1"/>
  <c r="M647" i="1" s="1"/>
  <c r="N647" i="1" s="1"/>
  <c r="O628" i="1"/>
  <c r="P628" i="1"/>
  <c r="J617" i="1"/>
  <c r="K617" i="1"/>
  <c r="L808" i="1"/>
  <c r="M808" i="1" s="1"/>
  <c r="N808" i="1" s="1"/>
  <c r="H737" i="1"/>
  <c r="I737" i="1" s="1"/>
  <c r="L737" i="1"/>
  <c r="M737" i="1" s="1"/>
  <c r="N737" i="1" s="1"/>
  <c r="F623" i="1"/>
  <c r="L609" i="1"/>
  <c r="M609" i="1" s="1"/>
  <c r="N609" i="1" s="1"/>
  <c r="H609" i="1"/>
  <c r="I609" i="1" s="1"/>
  <c r="O581" i="1"/>
  <c r="P581" i="1"/>
  <c r="H570" i="1"/>
  <c r="I570" i="1" s="1"/>
  <c r="L570" i="1"/>
  <c r="M570" i="1" s="1"/>
  <c r="N570" i="1" s="1"/>
  <c r="G811" i="1"/>
  <c r="G804" i="1"/>
  <c r="H727" i="1"/>
  <c r="I727" i="1" s="1"/>
  <c r="L727" i="1"/>
  <c r="M727" i="1" s="1"/>
  <c r="N727" i="1" s="1"/>
  <c r="H696" i="1"/>
  <c r="I696" i="1" s="1"/>
  <c r="L696" i="1"/>
  <c r="M696" i="1" s="1"/>
  <c r="N696" i="1" s="1"/>
  <c r="O680" i="1"/>
  <c r="P680" i="1"/>
  <c r="J673" i="1"/>
  <c r="K673" i="1"/>
  <c r="H651" i="1"/>
  <c r="I651" i="1" s="1"/>
  <c r="L651" i="1"/>
  <c r="M651" i="1" s="1"/>
  <c r="N651" i="1" s="1"/>
  <c r="L627" i="1"/>
  <c r="M627" i="1" s="1"/>
  <c r="N627" i="1" s="1"/>
  <c r="H627" i="1"/>
  <c r="I627" i="1" s="1"/>
  <c r="H731" i="1"/>
  <c r="I731" i="1" s="1"/>
  <c r="C726" i="1"/>
  <c r="D726" i="1" s="1"/>
  <c r="C710" i="1"/>
  <c r="D710" i="1" s="1"/>
  <c r="H699" i="1"/>
  <c r="I699" i="1" s="1"/>
  <c r="C695" i="1"/>
  <c r="D695" i="1" s="1"/>
  <c r="H691" i="1"/>
  <c r="I691" i="1" s="1"/>
  <c r="G683" i="1"/>
  <c r="L673" i="1"/>
  <c r="M673" i="1" s="1"/>
  <c r="N673" i="1" s="1"/>
  <c r="C669" i="1"/>
  <c r="D669" i="1" s="1"/>
  <c r="H659" i="1"/>
  <c r="I659" i="1" s="1"/>
  <c r="C648" i="1"/>
  <c r="D648" i="1" s="1"/>
  <c r="G642" i="1"/>
  <c r="H638" i="1"/>
  <c r="I638" i="1" s="1"/>
  <c r="L638" i="1"/>
  <c r="M638" i="1" s="1"/>
  <c r="N638" i="1" s="1"/>
  <c r="F627" i="1"/>
  <c r="C622" i="1"/>
  <c r="D622" i="1" s="1"/>
  <c r="F606" i="1"/>
  <c r="L593" i="1"/>
  <c r="M593" i="1" s="1"/>
  <c r="N593" i="1" s="1"/>
  <c r="H593" i="1"/>
  <c r="I593" i="1" s="1"/>
  <c r="H547" i="1"/>
  <c r="I547" i="1" s="1"/>
  <c r="L547" i="1"/>
  <c r="M547" i="1" s="1"/>
  <c r="N547" i="1" s="1"/>
  <c r="K532" i="1"/>
  <c r="H667" i="1"/>
  <c r="I667" i="1" s="1"/>
  <c r="L667" i="1"/>
  <c r="M667" i="1" s="1"/>
  <c r="N667" i="1" s="1"/>
  <c r="H624" i="1"/>
  <c r="I624" i="1" s="1"/>
  <c r="H622" i="1"/>
  <c r="I622" i="1" s="1"/>
  <c r="L622" i="1"/>
  <c r="M622" i="1" s="1"/>
  <c r="N622" i="1" s="1"/>
  <c r="J599" i="1"/>
  <c r="K599" i="1"/>
  <c r="F590" i="1"/>
  <c r="L564" i="1"/>
  <c r="M564" i="1" s="1"/>
  <c r="N564" i="1" s="1"/>
  <c r="H564" i="1"/>
  <c r="I564" i="1" s="1"/>
  <c r="G521" i="1"/>
  <c r="C521" i="1"/>
  <c r="D521" i="1" s="1"/>
  <c r="C728" i="1"/>
  <c r="D728" i="1" s="1"/>
  <c r="C712" i="1"/>
  <c r="D712" i="1" s="1"/>
  <c r="H701" i="1"/>
  <c r="I701" i="1" s="1"/>
  <c r="C696" i="1"/>
  <c r="D696" i="1" s="1"/>
  <c r="C686" i="1"/>
  <c r="D686" i="1" s="1"/>
  <c r="C672" i="1"/>
  <c r="D672" i="1" s="1"/>
  <c r="C664" i="1"/>
  <c r="D664" i="1" s="1"/>
  <c r="F659" i="1"/>
  <c r="E629" i="1"/>
  <c r="L616" i="1"/>
  <c r="M616" i="1" s="1"/>
  <c r="N616" i="1" s="1"/>
  <c r="F599" i="1"/>
  <c r="F580" i="1"/>
  <c r="E504" i="1"/>
  <c r="F676" i="1"/>
  <c r="C646" i="1"/>
  <c r="D646" i="1" s="1"/>
  <c r="G646" i="1"/>
  <c r="H606" i="1"/>
  <c r="I606" i="1" s="1"/>
  <c r="L606" i="1"/>
  <c r="M606" i="1" s="1"/>
  <c r="N606" i="1" s="1"/>
  <c r="C618" i="1"/>
  <c r="D618" i="1" s="1"/>
  <c r="G618" i="1"/>
  <c r="K601" i="1"/>
  <c r="H590" i="1"/>
  <c r="I590" i="1" s="1"/>
  <c r="L590" i="1"/>
  <c r="M590" i="1" s="1"/>
  <c r="N590" i="1" s="1"/>
  <c r="H576" i="1"/>
  <c r="I576" i="1" s="1"/>
  <c r="G569" i="1"/>
  <c r="C569" i="1"/>
  <c r="D569" i="1" s="1"/>
  <c r="C503" i="1"/>
  <c r="D503" i="1" s="1"/>
  <c r="G503" i="1"/>
  <c r="G692" i="1"/>
  <c r="G684" i="1"/>
  <c r="L674" i="1"/>
  <c r="M674" i="1" s="1"/>
  <c r="N674" i="1" s="1"/>
  <c r="C662" i="1"/>
  <c r="D662" i="1" s="1"/>
  <c r="G662" i="1"/>
  <c r="O643" i="1"/>
  <c r="C637" i="1"/>
  <c r="D637" i="1" s="1"/>
  <c r="G626" i="1"/>
  <c r="H621" i="1"/>
  <c r="I621" i="1" s="1"/>
  <c r="L621" i="1"/>
  <c r="M621" i="1" s="1"/>
  <c r="N621" i="1" s="1"/>
  <c r="O617" i="1"/>
  <c r="H611" i="1"/>
  <c r="I611" i="1" s="1"/>
  <c r="H608" i="1"/>
  <c r="I608" i="1" s="1"/>
  <c r="C605" i="1"/>
  <c r="D605" i="1" s="1"/>
  <c r="K595" i="1"/>
  <c r="O561" i="1"/>
  <c r="P561" i="1"/>
  <c r="L663" i="1"/>
  <c r="M663" i="1" s="1"/>
  <c r="N663" i="1" s="1"/>
  <c r="G652" i="1"/>
  <c r="L641" i="1"/>
  <c r="M641" i="1" s="1"/>
  <c r="N641" i="1" s="1"/>
  <c r="H641" i="1"/>
  <c r="I641" i="1" s="1"/>
  <c r="H639" i="1"/>
  <c r="I639" i="1" s="1"/>
  <c r="L639" i="1"/>
  <c r="M639" i="1" s="1"/>
  <c r="N639" i="1" s="1"/>
  <c r="H637" i="1"/>
  <c r="I637" i="1" s="1"/>
  <c r="L637" i="1"/>
  <c r="M637" i="1" s="1"/>
  <c r="N637" i="1" s="1"/>
  <c r="H605" i="1"/>
  <c r="I605" i="1" s="1"/>
  <c r="L605" i="1"/>
  <c r="M605" i="1" s="1"/>
  <c r="N605" i="1" s="1"/>
  <c r="H592" i="1"/>
  <c r="I592" i="1" s="1"/>
  <c r="O579" i="1"/>
  <c r="F560" i="1"/>
  <c r="E560" i="1"/>
  <c r="K549" i="1"/>
  <c r="J549" i="1"/>
  <c r="L632" i="1"/>
  <c r="M632" i="1" s="1"/>
  <c r="N632" i="1" s="1"/>
  <c r="H589" i="1"/>
  <c r="I589" i="1" s="1"/>
  <c r="L589" i="1"/>
  <c r="M589" i="1" s="1"/>
  <c r="N589" i="1" s="1"/>
  <c r="H560" i="1"/>
  <c r="I560" i="1" s="1"/>
  <c r="L560" i="1"/>
  <c r="M560" i="1" s="1"/>
  <c r="N560" i="1" s="1"/>
  <c r="O541" i="1"/>
  <c r="P541" i="1"/>
  <c r="L510" i="1"/>
  <c r="M510" i="1" s="1"/>
  <c r="N510" i="1" s="1"/>
  <c r="H510" i="1"/>
  <c r="I510" i="1" s="1"/>
  <c r="G668" i="1"/>
  <c r="L658" i="1"/>
  <c r="M658" i="1" s="1"/>
  <c r="N658" i="1" s="1"/>
  <c r="E647" i="1"/>
  <c r="H623" i="1"/>
  <c r="I623" i="1" s="1"/>
  <c r="L623" i="1"/>
  <c r="M623" i="1" s="1"/>
  <c r="N623" i="1" s="1"/>
  <c r="G604" i="1"/>
  <c r="C604" i="1"/>
  <c r="D604" i="1" s="1"/>
  <c r="K675" i="1"/>
  <c r="H671" i="1"/>
  <c r="I671" i="1" s="1"/>
  <c r="L671" i="1"/>
  <c r="M671" i="1" s="1"/>
  <c r="N671" i="1" s="1"/>
  <c r="C634" i="1"/>
  <c r="D634" i="1" s="1"/>
  <c r="G634" i="1"/>
  <c r="G620" i="1"/>
  <c r="C620" i="1"/>
  <c r="D620" i="1" s="1"/>
  <c r="L615" i="1"/>
  <c r="M615" i="1" s="1"/>
  <c r="N615" i="1" s="1"/>
  <c r="G588" i="1"/>
  <c r="C588" i="1"/>
  <c r="D588" i="1" s="1"/>
  <c r="H575" i="1"/>
  <c r="I575" i="1" s="1"/>
  <c r="L575" i="1"/>
  <c r="M575" i="1" s="1"/>
  <c r="N575" i="1" s="1"/>
  <c r="C456" i="1"/>
  <c r="D456" i="1" s="1"/>
  <c r="G456" i="1"/>
  <c r="H655" i="1"/>
  <c r="I655" i="1" s="1"/>
  <c r="L655" i="1"/>
  <c r="M655" i="1" s="1"/>
  <c r="N655" i="1" s="1"/>
  <c r="L625" i="1"/>
  <c r="M625" i="1" s="1"/>
  <c r="N625" i="1" s="1"/>
  <c r="H625" i="1"/>
  <c r="I625" i="1" s="1"/>
  <c r="H610" i="1"/>
  <c r="I610" i="1" s="1"/>
  <c r="J587" i="1"/>
  <c r="K587" i="1"/>
  <c r="L534" i="1"/>
  <c r="M534" i="1" s="1"/>
  <c r="N534" i="1" s="1"/>
  <c r="H534" i="1"/>
  <c r="I534" i="1" s="1"/>
  <c r="C523" i="1"/>
  <c r="D523" i="1" s="1"/>
  <c r="G523" i="1"/>
  <c r="H607" i="1"/>
  <c r="I607" i="1" s="1"/>
  <c r="L607" i="1"/>
  <c r="M607" i="1" s="1"/>
  <c r="N607" i="1" s="1"/>
  <c r="O592" i="1"/>
  <c r="F553" i="1"/>
  <c r="E553" i="1"/>
  <c r="C492" i="1"/>
  <c r="D492" i="1" s="1"/>
  <c r="G492" i="1"/>
  <c r="G636" i="1"/>
  <c r="C636" i="1"/>
  <c r="D636" i="1" s="1"/>
  <c r="E615" i="1"/>
  <c r="H591" i="1"/>
  <c r="I591" i="1" s="1"/>
  <c r="L591" i="1"/>
  <c r="M591" i="1" s="1"/>
  <c r="N591" i="1" s="1"/>
  <c r="E545" i="1"/>
  <c r="F545" i="1"/>
  <c r="G527" i="1"/>
  <c r="C527" i="1"/>
  <c r="D527" i="1" s="1"/>
  <c r="C678" i="1"/>
  <c r="D678" i="1" s="1"/>
  <c r="G678" i="1"/>
  <c r="C650" i="1"/>
  <c r="D650" i="1" s="1"/>
  <c r="G650" i="1"/>
  <c r="L640" i="1"/>
  <c r="M640" i="1" s="1"/>
  <c r="N640" i="1" s="1"/>
  <c r="H600" i="1"/>
  <c r="I600" i="1" s="1"/>
  <c r="L600" i="1"/>
  <c r="M600" i="1" s="1"/>
  <c r="N600" i="1" s="1"/>
  <c r="H584" i="1"/>
  <c r="I584" i="1" s="1"/>
  <c r="L584" i="1"/>
  <c r="M584" i="1" s="1"/>
  <c r="N584" i="1" s="1"/>
  <c r="E581" i="1"/>
  <c r="F581" i="1"/>
  <c r="C485" i="1"/>
  <c r="D485" i="1" s="1"/>
  <c r="G485" i="1"/>
  <c r="G690" i="1"/>
  <c r="C586" i="1"/>
  <c r="D586" i="1" s="1"/>
  <c r="G586" i="1"/>
  <c r="H574" i="1"/>
  <c r="I574" i="1" s="1"/>
  <c r="L574" i="1"/>
  <c r="M574" i="1" s="1"/>
  <c r="N574" i="1" s="1"/>
  <c r="H555" i="1"/>
  <c r="I555" i="1" s="1"/>
  <c r="L555" i="1"/>
  <c r="M555" i="1" s="1"/>
  <c r="N555" i="1" s="1"/>
  <c r="J552" i="1"/>
  <c r="K552" i="1"/>
  <c r="H577" i="1"/>
  <c r="I577" i="1" s="1"/>
  <c r="H567" i="1"/>
  <c r="I567" i="1" s="1"/>
  <c r="H558" i="1"/>
  <c r="I558" i="1" s="1"/>
  <c r="C552" i="1"/>
  <c r="D552" i="1" s="1"/>
  <c r="C544" i="1"/>
  <c r="D544" i="1" s="1"/>
  <c r="H498" i="1"/>
  <c r="I498" i="1" s="1"/>
  <c r="L498" i="1"/>
  <c r="M498" i="1" s="1"/>
  <c r="N498" i="1" s="1"/>
  <c r="H481" i="1"/>
  <c r="I481" i="1" s="1"/>
  <c r="L481" i="1"/>
  <c r="M481" i="1" s="1"/>
  <c r="N481" i="1" s="1"/>
  <c r="H477" i="1"/>
  <c r="I477" i="1" s="1"/>
  <c r="P469" i="1"/>
  <c r="O469" i="1"/>
  <c r="J365" i="1"/>
  <c r="K365" i="1"/>
  <c r="G550" i="1"/>
  <c r="H458" i="1"/>
  <c r="I458" i="1" s="1"/>
  <c r="L458" i="1"/>
  <c r="M458" i="1" s="1"/>
  <c r="N458" i="1" s="1"/>
  <c r="P437" i="1"/>
  <c r="L411" i="1"/>
  <c r="M411" i="1" s="1"/>
  <c r="N411" i="1" s="1"/>
  <c r="H411" i="1"/>
  <c r="I411" i="1" s="1"/>
  <c r="H364" i="1"/>
  <c r="I364" i="1" s="1"/>
  <c r="L364" i="1"/>
  <c r="M364" i="1" s="1"/>
  <c r="N364" i="1" s="1"/>
  <c r="L526" i="1"/>
  <c r="M526" i="1" s="1"/>
  <c r="N526" i="1" s="1"/>
  <c r="H526" i="1"/>
  <c r="I526" i="1" s="1"/>
  <c r="H522" i="1"/>
  <c r="I522" i="1" s="1"/>
  <c r="L522" i="1"/>
  <c r="M522" i="1" s="1"/>
  <c r="N522" i="1" s="1"/>
  <c r="L533" i="1"/>
  <c r="M533" i="1" s="1"/>
  <c r="N533" i="1" s="1"/>
  <c r="L516" i="1"/>
  <c r="M516" i="1" s="1"/>
  <c r="N516" i="1" s="1"/>
  <c r="H516" i="1"/>
  <c r="I516" i="1" s="1"/>
  <c r="C491" i="1"/>
  <c r="D491" i="1" s="1"/>
  <c r="G491" i="1"/>
  <c r="J480" i="1"/>
  <c r="K480" i="1"/>
  <c r="O449" i="1"/>
  <c r="O401" i="1"/>
  <c r="P401" i="1"/>
  <c r="F571" i="1"/>
  <c r="G565" i="1"/>
  <c r="F524" i="1"/>
  <c r="H494" i="1"/>
  <c r="I494" i="1" s="1"/>
  <c r="C453" i="1"/>
  <c r="D453" i="1" s="1"/>
  <c r="G453" i="1"/>
  <c r="L635" i="1"/>
  <c r="M635" i="1" s="1"/>
  <c r="N635" i="1" s="1"/>
  <c r="G630" i="1"/>
  <c r="L619" i="1"/>
  <c r="M619" i="1" s="1"/>
  <c r="N619" i="1" s="1"/>
  <c r="G614" i="1"/>
  <c r="L603" i="1"/>
  <c r="M603" i="1" s="1"/>
  <c r="N603" i="1" s="1"/>
  <c r="G598" i="1"/>
  <c r="L587" i="1"/>
  <c r="M587" i="1" s="1"/>
  <c r="N587" i="1" s="1"/>
  <c r="G582" i="1"/>
  <c r="L573" i="1"/>
  <c r="M573" i="1" s="1"/>
  <c r="N573" i="1" s="1"/>
  <c r="H572" i="1"/>
  <c r="I572" i="1" s="1"/>
  <c r="L546" i="1"/>
  <c r="M546" i="1" s="1"/>
  <c r="N546" i="1" s="1"/>
  <c r="H543" i="1"/>
  <c r="I543" i="1" s="1"/>
  <c r="C535" i="1"/>
  <c r="D535" i="1" s="1"/>
  <c r="C514" i="1"/>
  <c r="D514" i="1" s="1"/>
  <c r="C509" i="1"/>
  <c r="D509" i="1" s="1"/>
  <c r="G509" i="1"/>
  <c r="J504" i="1"/>
  <c r="E494" i="1"/>
  <c r="C425" i="1"/>
  <c r="D425" i="1" s="1"/>
  <c r="G425" i="1"/>
  <c r="G490" i="1"/>
  <c r="C490" i="1"/>
  <c r="D490" i="1" s="1"/>
  <c r="O480" i="1"/>
  <c r="P480" i="1"/>
  <c r="C568" i="1"/>
  <c r="D568" i="1" s="1"/>
  <c r="L563" i="1"/>
  <c r="M563" i="1" s="1"/>
  <c r="N563" i="1" s="1"/>
  <c r="H541" i="1"/>
  <c r="I541" i="1" s="1"/>
  <c r="H531" i="1"/>
  <c r="I531" i="1" s="1"/>
  <c r="J513" i="1"/>
  <c r="P496" i="1"/>
  <c r="L417" i="1"/>
  <c r="M417" i="1" s="1"/>
  <c r="N417" i="1" s="1"/>
  <c r="H417" i="1"/>
  <c r="I417" i="1" s="1"/>
  <c r="H566" i="1"/>
  <c r="I566" i="1" s="1"/>
  <c r="O486" i="1"/>
  <c r="P486" i="1"/>
  <c r="G472" i="1"/>
  <c r="C472" i="1"/>
  <c r="D472" i="1" s="1"/>
  <c r="L435" i="1"/>
  <c r="M435" i="1" s="1"/>
  <c r="N435" i="1" s="1"/>
  <c r="H435" i="1"/>
  <c r="I435" i="1" s="1"/>
  <c r="L552" i="1"/>
  <c r="M552" i="1" s="1"/>
  <c r="N552" i="1" s="1"/>
  <c r="C479" i="1"/>
  <c r="D479" i="1" s="1"/>
  <c r="G479" i="1"/>
  <c r="H471" i="1"/>
  <c r="I471" i="1" s="1"/>
  <c r="L471" i="1"/>
  <c r="M471" i="1" s="1"/>
  <c r="N471" i="1" s="1"/>
  <c r="E422" i="1"/>
  <c r="F422" i="1"/>
  <c r="G539" i="1"/>
  <c r="G493" i="1"/>
  <c r="C493" i="1"/>
  <c r="D493" i="1" s="1"/>
  <c r="F489" i="1"/>
  <c r="F471" i="1"/>
  <c r="H488" i="1"/>
  <c r="I488" i="1" s="1"/>
  <c r="L488" i="1"/>
  <c r="M488" i="1" s="1"/>
  <c r="N488" i="1" s="1"/>
  <c r="H400" i="1"/>
  <c r="I400" i="1" s="1"/>
  <c r="L400" i="1"/>
  <c r="M400" i="1" s="1"/>
  <c r="N400" i="1" s="1"/>
  <c r="C525" i="1"/>
  <c r="D525" i="1" s="1"/>
  <c r="G525" i="1"/>
  <c r="L512" i="1"/>
  <c r="M512" i="1" s="1"/>
  <c r="N512" i="1" s="1"/>
  <c r="H495" i="1"/>
  <c r="I495" i="1" s="1"/>
  <c r="L487" i="1"/>
  <c r="M487" i="1" s="1"/>
  <c r="N487" i="1" s="1"/>
  <c r="L466" i="1"/>
  <c r="M466" i="1" s="1"/>
  <c r="N466" i="1" s="1"/>
  <c r="C432" i="1"/>
  <c r="D432" i="1" s="1"/>
  <c r="G432" i="1"/>
  <c r="H450" i="1"/>
  <c r="I450" i="1" s="1"/>
  <c r="L450" i="1"/>
  <c r="M450" i="1" s="1"/>
  <c r="N450" i="1" s="1"/>
  <c r="G473" i="1"/>
  <c r="L468" i="1"/>
  <c r="M468" i="1" s="1"/>
  <c r="N468" i="1" s="1"/>
  <c r="H468" i="1"/>
  <c r="I468" i="1" s="1"/>
  <c r="E431" i="1"/>
  <c r="C428" i="1"/>
  <c r="D428" i="1" s="1"/>
  <c r="J452" i="1"/>
  <c r="K452" i="1"/>
  <c r="H431" i="1"/>
  <c r="I431" i="1" s="1"/>
  <c r="L431" i="1"/>
  <c r="M431" i="1" s="1"/>
  <c r="N431" i="1" s="1"/>
  <c r="H428" i="1"/>
  <c r="I428" i="1" s="1"/>
  <c r="L428" i="1"/>
  <c r="M428" i="1" s="1"/>
  <c r="N428" i="1" s="1"/>
  <c r="K410" i="1"/>
  <c r="F516" i="1"/>
  <c r="C402" i="1"/>
  <c r="D402" i="1" s="1"/>
  <c r="G402" i="1"/>
  <c r="C520" i="1"/>
  <c r="D520" i="1" s="1"/>
  <c r="G502" i="1"/>
  <c r="J457" i="1"/>
  <c r="K457" i="1"/>
  <c r="G396" i="1"/>
  <c r="C396" i="1"/>
  <c r="D396" i="1" s="1"/>
  <c r="H349" i="1"/>
  <c r="I349" i="1" s="1"/>
  <c r="L349" i="1"/>
  <c r="M349" i="1" s="1"/>
  <c r="N349" i="1" s="1"/>
  <c r="C505" i="1"/>
  <c r="D505" i="1" s="1"/>
  <c r="C470" i="1"/>
  <c r="D470" i="1" s="1"/>
  <c r="G461" i="1"/>
  <c r="P451" i="1"/>
  <c r="E427" i="1"/>
  <c r="F427" i="1"/>
  <c r="H399" i="1"/>
  <c r="I399" i="1" s="1"/>
  <c r="L399" i="1"/>
  <c r="M399" i="1" s="1"/>
  <c r="N399" i="1" s="1"/>
  <c r="G517" i="1"/>
  <c r="L470" i="1"/>
  <c r="M470" i="1" s="1"/>
  <c r="N470" i="1" s="1"/>
  <c r="H470" i="1"/>
  <c r="I470" i="1" s="1"/>
  <c r="L463" i="1"/>
  <c r="M463" i="1" s="1"/>
  <c r="N463" i="1" s="1"/>
  <c r="P447" i="1"/>
  <c r="O447" i="1"/>
  <c r="G416" i="1"/>
  <c r="C416" i="1"/>
  <c r="D416" i="1" s="1"/>
  <c r="K474" i="1"/>
  <c r="J474" i="1"/>
  <c r="G434" i="1"/>
  <c r="C434" i="1"/>
  <c r="D434" i="1" s="1"/>
  <c r="F398" i="1"/>
  <c r="J384" i="1"/>
  <c r="K384" i="1"/>
  <c r="C484" i="1"/>
  <c r="D484" i="1" s="1"/>
  <c r="G484" i="1"/>
  <c r="C478" i="1"/>
  <c r="D478" i="1" s="1"/>
  <c r="G478" i="1"/>
  <c r="H469" i="1"/>
  <c r="I469" i="1" s="1"/>
  <c r="C426" i="1"/>
  <c r="D426" i="1" s="1"/>
  <c r="G426" i="1"/>
  <c r="L418" i="1"/>
  <c r="M418" i="1" s="1"/>
  <c r="N418" i="1" s="1"/>
  <c r="H418" i="1"/>
  <c r="I418" i="1" s="1"/>
  <c r="H467" i="1"/>
  <c r="I467" i="1" s="1"/>
  <c r="L467" i="1"/>
  <c r="M467" i="1" s="1"/>
  <c r="N467" i="1" s="1"/>
  <c r="G454" i="1"/>
  <c r="C454" i="1"/>
  <c r="D454" i="1" s="1"/>
  <c r="C482" i="1"/>
  <c r="D482" i="1" s="1"/>
  <c r="G482" i="1"/>
  <c r="J460" i="1"/>
  <c r="K460" i="1"/>
  <c r="C446" i="1"/>
  <c r="D446" i="1" s="1"/>
  <c r="G446" i="1"/>
  <c r="G436" i="1"/>
  <c r="C436" i="1"/>
  <c r="D436" i="1" s="1"/>
  <c r="L433" i="1"/>
  <c r="M433" i="1" s="1"/>
  <c r="N433" i="1" s="1"/>
  <c r="H433" i="1"/>
  <c r="I433" i="1" s="1"/>
  <c r="G421" i="1"/>
  <c r="C421" i="1"/>
  <c r="D421" i="1" s="1"/>
  <c r="G412" i="1"/>
  <c r="C412" i="1"/>
  <c r="D412" i="1" s="1"/>
  <c r="K371" i="1"/>
  <c r="J371" i="1"/>
  <c r="H427" i="1"/>
  <c r="I427" i="1" s="1"/>
  <c r="L427" i="1"/>
  <c r="M427" i="1" s="1"/>
  <c r="N427" i="1" s="1"/>
  <c r="P303" i="1"/>
  <c r="C393" i="1"/>
  <c r="D393" i="1" s="1"/>
  <c r="G393" i="1"/>
  <c r="G382" i="1"/>
  <c r="C382" i="1"/>
  <c r="D382" i="1" s="1"/>
  <c r="L379" i="1"/>
  <c r="M379" i="1" s="1"/>
  <c r="N379" i="1" s="1"/>
  <c r="H379" i="1"/>
  <c r="I379" i="1" s="1"/>
  <c r="G345" i="1"/>
  <c r="C345" i="1"/>
  <c r="D345" i="1" s="1"/>
  <c r="C320" i="1"/>
  <c r="D320" i="1" s="1"/>
  <c r="G320" i="1"/>
  <c r="J262" i="1"/>
  <c r="K262" i="1"/>
  <c r="H415" i="1"/>
  <c r="I415" i="1" s="1"/>
  <c r="L415" i="1"/>
  <c r="M415" i="1" s="1"/>
  <c r="N415" i="1" s="1"/>
  <c r="J403" i="1"/>
  <c r="C370" i="1"/>
  <c r="D370" i="1" s="1"/>
  <c r="G370" i="1"/>
  <c r="L388" i="1"/>
  <c r="M388" i="1" s="1"/>
  <c r="N388" i="1" s="1"/>
  <c r="H388" i="1"/>
  <c r="I388" i="1" s="1"/>
  <c r="O385" i="1"/>
  <c r="P385" i="1"/>
  <c r="L362" i="1"/>
  <c r="M362" i="1" s="1"/>
  <c r="N362" i="1" s="1"/>
  <c r="H362" i="1"/>
  <c r="I362" i="1" s="1"/>
  <c r="C409" i="1"/>
  <c r="D409" i="1" s="1"/>
  <c r="G409" i="1"/>
  <c r="L395" i="1"/>
  <c r="M395" i="1" s="1"/>
  <c r="N395" i="1" s="1"/>
  <c r="H395" i="1"/>
  <c r="I395" i="1" s="1"/>
  <c r="G378" i="1"/>
  <c r="F374" i="1"/>
  <c r="E374" i="1"/>
  <c r="H383" i="1"/>
  <c r="I383" i="1" s="1"/>
  <c r="G381" i="1"/>
  <c r="C381" i="1"/>
  <c r="D381" i="1" s="1"/>
  <c r="L358" i="1"/>
  <c r="M358" i="1" s="1"/>
  <c r="N358" i="1" s="1"/>
  <c r="L464" i="1"/>
  <c r="M464" i="1" s="1"/>
  <c r="N464" i="1" s="1"/>
  <c r="G438" i="1"/>
  <c r="C438" i="1"/>
  <c r="D438" i="1" s="1"/>
  <c r="C419" i="1"/>
  <c r="D419" i="1" s="1"/>
  <c r="G419" i="1"/>
  <c r="C405" i="1"/>
  <c r="D405" i="1" s="1"/>
  <c r="G405" i="1"/>
  <c r="F390" i="1"/>
  <c r="E390" i="1"/>
  <c r="K380" i="1"/>
  <c r="H368" i="1"/>
  <c r="I368" i="1" s="1"/>
  <c r="L368" i="1"/>
  <c r="M368" i="1" s="1"/>
  <c r="N368" i="1" s="1"/>
  <c r="G441" i="1"/>
  <c r="H394" i="1"/>
  <c r="I394" i="1" s="1"/>
  <c r="L394" i="1"/>
  <c r="M394" i="1" s="1"/>
  <c r="N394" i="1" s="1"/>
  <c r="G387" i="1"/>
  <c r="G357" i="1"/>
  <c r="C357" i="1"/>
  <c r="D357" i="1" s="1"/>
  <c r="F414" i="1"/>
  <c r="L422" i="1"/>
  <c r="M422" i="1" s="1"/>
  <c r="N422" i="1" s="1"/>
  <c r="H422" i="1"/>
  <c r="I422" i="1" s="1"/>
  <c r="H414" i="1"/>
  <c r="I414" i="1" s="1"/>
  <c r="L414" i="1"/>
  <c r="M414" i="1" s="1"/>
  <c r="N414" i="1" s="1"/>
  <c r="E349" i="1"/>
  <c r="F349" i="1"/>
  <c r="C363" i="1"/>
  <c r="D363" i="1" s="1"/>
  <c r="G363" i="1"/>
  <c r="H353" i="1"/>
  <c r="I353" i="1" s="1"/>
  <c r="L353" i="1"/>
  <c r="M353" i="1" s="1"/>
  <c r="N353" i="1" s="1"/>
  <c r="E298" i="1"/>
  <c r="F298" i="1"/>
  <c r="C179" i="1"/>
  <c r="D179" i="1" s="1"/>
  <c r="G179" i="1"/>
  <c r="E332" i="1"/>
  <c r="K319" i="1"/>
  <c r="G316" i="1"/>
  <c r="C316" i="1"/>
  <c r="D316" i="1" s="1"/>
  <c r="L297" i="1"/>
  <c r="M297" i="1" s="1"/>
  <c r="N297" i="1" s="1"/>
  <c r="H297" i="1"/>
  <c r="I297" i="1" s="1"/>
  <c r="L281" i="1"/>
  <c r="M281" i="1" s="1"/>
  <c r="N281" i="1" s="1"/>
  <c r="H281" i="1"/>
  <c r="I281" i="1" s="1"/>
  <c r="G337" i="1"/>
  <c r="C337" i="1"/>
  <c r="D337" i="1" s="1"/>
  <c r="F319" i="1"/>
  <c r="C306" i="1"/>
  <c r="D306" i="1" s="1"/>
  <c r="G306" i="1"/>
  <c r="L346" i="1"/>
  <c r="M346" i="1" s="1"/>
  <c r="N346" i="1" s="1"/>
  <c r="H346" i="1"/>
  <c r="I346" i="1" s="1"/>
  <c r="F300" i="1"/>
  <c r="E300" i="1"/>
  <c r="C366" i="1"/>
  <c r="D366" i="1" s="1"/>
  <c r="G366" i="1"/>
  <c r="H329" i="1"/>
  <c r="I329" i="1" s="1"/>
  <c r="L329" i="1"/>
  <c r="M329" i="1" s="1"/>
  <c r="N329" i="1" s="1"/>
  <c r="G310" i="1"/>
  <c r="C310" i="1"/>
  <c r="D310" i="1" s="1"/>
  <c r="C286" i="1"/>
  <c r="D286" i="1" s="1"/>
  <c r="G286" i="1"/>
  <c r="C373" i="1"/>
  <c r="D373" i="1" s="1"/>
  <c r="G373" i="1"/>
  <c r="L354" i="1"/>
  <c r="M354" i="1" s="1"/>
  <c r="N354" i="1" s="1"/>
  <c r="L365" i="1"/>
  <c r="M365" i="1" s="1"/>
  <c r="N365" i="1" s="1"/>
  <c r="K354" i="1"/>
  <c r="L322" i="1"/>
  <c r="M322" i="1" s="1"/>
  <c r="N322" i="1" s="1"/>
  <c r="H322" i="1"/>
  <c r="I322" i="1" s="1"/>
  <c r="H299" i="1"/>
  <c r="I299" i="1" s="1"/>
  <c r="L299" i="1"/>
  <c r="M299" i="1" s="1"/>
  <c r="N299" i="1" s="1"/>
  <c r="F285" i="1"/>
  <c r="H398" i="1"/>
  <c r="I398" i="1" s="1"/>
  <c r="L398" i="1"/>
  <c r="M398" i="1" s="1"/>
  <c r="N398" i="1" s="1"/>
  <c r="C389" i="1"/>
  <c r="D389" i="1" s="1"/>
  <c r="G389" i="1"/>
  <c r="F354" i="1"/>
  <c r="C331" i="1"/>
  <c r="D331" i="1" s="1"/>
  <c r="G331" i="1"/>
  <c r="G302" i="1"/>
  <c r="C302" i="1"/>
  <c r="D302" i="1" s="1"/>
  <c r="C360" i="1"/>
  <c r="D360" i="1" s="1"/>
  <c r="G360" i="1"/>
  <c r="L321" i="1"/>
  <c r="M321" i="1" s="1"/>
  <c r="N321" i="1" s="1"/>
  <c r="H321" i="1"/>
  <c r="I321" i="1" s="1"/>
  <c r="E277" i="1"/>
  <c r="L314" i="1"/>
  <c r="M314" i="1" s="1"/>
  <c r="N314" i="1" s="1"/>
  <c r="H314" i="1"/>
  <c r="I314" i="1" s="1"/>
  <c r="G247" i="1"/>
  <c r="C247" i="1"/>
  <c r="D247" i="1" s="1"/>
  <c r="C369" i="1"/>
  <c r="D369" i="1" s="1"/>
  <c r="G369" i="1"/>
  <c r="L350" i="1"/>
  <c r="M350" i="1" s="1"/>
  <c r="N350" i="1" s="1"/>
  <c r="H350" i="1"/>
  <c r="I350" i="1" s="1"/>
  <c r="J335" i="1"/>
  <c r="K335" i="1"/>
  <c r="J326" i="1"/>
  <c r="H288" i="1"/>
  <c r="I288" i="1" s="1"/>
  <c r="L288" i="1"/>
  <c r="M288" i="1" s="1"/>
  <c r="N288" i="1" s="1"/>
  <c r="G343" i="1"/>
  <c r="C343" i="1"/>
  <c r="D343" i="1" s="1"/>
  <c r="G308" i="1"/>
  <c r="C308" i="1"/>
  <c r="D308" i="1" s="1"/>
  <c r="F270" i="1"/>
  <c r="L429" i="1"/>
  <c r="M429" i="1" s="1"/>
  <c r="N429" i="1" s="1"/>
  <c r="C377" i="1"/>
  <c r="D377" i="1" s="1"/>
  <c r="G377" i="1"/>
  <c r="G372" i="1"/>
  <c r="K361" i="1"/>
  <c r="L307" i="1"/>
  <c r="M307" i="1" s="1"/>
  <c r="N307" i="1" s="1"/>
  <c r="H258" i="1"/>
  <c r="I258" i="1" s="1"/>
  <c r="L258" i="1"/>
  <c r="M258" i="1" s="1"/>
  <c r="N258" i="1" s="1"/>
  <c r="F135" i="1"/>
  <c r="L253" i="1"/>
  <c r="M253" i="1" s="1"/>
  <c r="N253" i="1" s="1"/>
  <c r="H253" i="1"/>
  <c r="I253" i="1" s="1"/>
  <c r="G293" i="1"/>
  <c r="C293" i="1"/>
  <c r="D293" i="1" s="1"/>
  <c r="H285" i="1"/>
  <c r="I285" i="1" s="1"/>
  <c r="L285" i="1"/>
  <c r="M285" i="1" s="1"/>
  <c r="N285" i="1" s="1"/>
  <c r="H273" i="1"/>
  <c r="I273" i="1" s="1"/>
  <c r="L273" i="1"/>
  <c r="M273" i="1" s="1"/>
  <c r="N273" i="1" s="1"/>
  <c r="K261" i="1"/>
  <c r="J261" i="1"/>
  <c r="L204" i="1"/>
  <c r="M204" i="1" s="1"/>
  <c r="N204" i="1" s="1"/>
  <c r="H204" i="1"/>
  <c r="I204" i="1" s="1"/>
  <c r="E273" i="1"/>
  <c r="L269" i="1"/>
  <c r="M269" i="1" s="1"/>
  <c r="N269" i="1" s="1"/>
  <c r="H269" i="1"/>
  <c r="I269" i="1" s="1"/>
  <c r="L338" i="1"/>
  <c r="M338" i="1" s="1"/>
  <c r="N338" i="1" s="1"/>
  <c r="H338" i="1"/>
  <c r="I338" i="1" s="1"/>
  <c r="H334" i="1"/>
  <c r="I334" i="1" s="1"/>
  <c r="L334" i="1"/>
  <c r="M334" i="1" s="1"/>
  <c r="N334" i="1" s="1"/>
  <c r="C313" i="1"/>
  <c r="D313" i="1" s="1"/>
  <c r="G313" i="1"/>
  <c r="J311" i="1"/>
  <c r="K311" i="1"/>
  <c r="E299" i="1"/>
  <c r="F299" i="1"/>
  <c r="G276" i="1"/>
  <c r="C276" i="1"/>
  <c r="D276" i="1" s="1"/>
  <c r="C317" i="1"/>
  <c r="D317" i="1" s="1"/>
  <c r="G341" i="1"/>
  <c r="C341" i="1"/>
  <c r="D341" i="1" s="1"/>
  <c r="G292" i="1"/>
  <c r="C292" i="1"/>
  <c r="D292" i="1" s="1"/>
  <c r="K289" i="1"/>
  <c r="J289" i="1"/>
  <c r="G272" i="1"/>
  <c r="C272" i="1"/>
  <c r="D272" i="1" s="1"/>
  <c r="O218" i="1"/>
  <c r="H280" i="1"/>
  <c r="I280" i="1" s="1"/>
  <c r="L280" i="1"/>
  <c r="M280" i="1" s="1"/>
  <c r="N280" i="1" s="1"/>
  <c r="C268" i="1"/>
  <c r="D268" i="1" s="1"/>
  <c r="G268" i="1"/>
  <c r="C244" i="1"/>
  <c r="D244" i="1" s="1"/>
  <c r="G244" i="1"/>
  <c r="C275" i="1"/>
  <c r="D275" i="1" s="1"/>
  <c r="G275" i="1"/>
  <c r="G264" i="1"/>
  <c r="C264" i="1"/>
  <c r="D264" i="1" s="1"/>
  <c r="C260" i="1"/>
  <c r="D260" i="1" s="1"/>
  <c r="G260" i="1"/>
  <c r="G256" i="1"/>
  <c r="C256" i="1"/>
  <c r="D256" i="1" s="1"/>
  <c r="O243" i="1"/>
  <c r="G271" i="1"/>
  <c r="C271" i="1"/>
  <c r="D271" i="1" s="1"/>
  <c r="O267" i="1"/>
  <c r="P267" i="1"/>
  <c r="J304" i="1"/>
  <c r="K304" i="1"/>
  <c r="G283" i="1"/>
  <c r="C283" i="1"/>
  <c r="D283" i="1" s="1"/>
  <c r="F263" i="1"/>
  <c r="E255" i="1"/>
  <c r="F255" i="1"/>
  <c r="C367" i="1"/>
  <c r="D367" i="1" s="1"/>
  <c r="H325" i="1"/>
  <c r="I325" i="1" s="1"/>
  <c r="L325" i="1"/>
  <c r="M325" i="1" s="1"/>
  <c r="N325" i="1" s="1"/>
  <c r="C291" i="1"/>
  <c r="D291" i="1" s="1"/>
  <c r="G291" i="1"/>
  <c r="L328" i="1"/>
  <c r="M328" i="1" s="1"/>
  <c r="N328" i="1" s="1"/>
  <c r="H328" i="1"/>
  <c r="I328" i="1" s="1"/>
  <c r="G294" i="1"/>
  <c r="C294" i="1"/>
  <c r="D294" i="1" s="1"/>
  <c r="E224" i="1"/>
  <c r="F224" i="1"/>
  <c r="H266" i="1"/>
  <c r="I266" i="1" s="1"/>
  <c r="L266" i="1"/>
  <c r="M266" i="1" s="1"/>
  <c r="N266" i="1" s="1"/>
  <c r="G165" i="1"/>
  <c r="C165" i="1"/>
  <c r="D165" i="1" s="1"/>
  <c r="L255" i="1"/>
  <c r="M255" i="1" s="1"/>
  <c r="N255" i="1" s="1"/>
  <c r="H255" i="1"/>
  <c r="I255" i="1" s="1"/>
  <c r="H223" i="1"/>
  <c r="I223" i="1" s="1"/>
  <c r="L223" i="1"/>
  <c r="M223" i="1" s="1"/>
  <c r="N223" i="1" s="1"/>
  <c r="L246" i="1"/>
  <c r="M246" i="1" s="1"/>
  <c r="N246" i="1" s="1"/>
  <c r="H246" i="1"/>
  <c r="I246" i="1" s="1"/>
  <c r="L235" i="1"/>
  <c r="M235" i="1" s="1"/>
  <c r="N235" i="1" s="1"/>
  <c r="H235" i="1"/>
  <c r="I235" i="1" s="1"/>
  <c r="L213" i="1"/>
  <c r="M213" i="1" s="1"/>
  <c r="N213" i="1" s="1"/>
  <c r="H213" i="1"/>
  <c r="I213" i="1" s="1"/>
  <c r="L249" i="1"/>
  <c r="M249" i="1" s="1"/>
  <c r="N249" i="1" s="1"/>
  <c r="G241" i="1"/>
  <c r="C241" i="1"/>
  <c r="D241" i="1" s="1"/>
  <c r="J227" i="1"/>
  <c r="E217" i="1"/>
  <c r="H202" i="1"/>
  <c r="I202" i="1" s="1"/>
  <c r="L202" i="1"/>
  <c r="M202" i="1" s="1"/>
  <c r="N202" i="1" s="1"/>
  <c r="O152" i="1"/>
  <c r="H265" i="1"/>
  <c r="I265" i="1" s="1"/>
  <c r="L265" i="1"/>
  <c r="M265" i="1" s="1"/>
  <c r="N265" i="1" s="1"/>
  <c r="F233" i="1"/>
  <c r="E233" i="1"/>
  <c r="H298" i="1"/>
  <c r="I298" i="1" s="1"/>
  <c r="H270" i="1"/>
  <c r="I270" i="1" s="1"/>
  <c r="J259" i="1"/>
  <c r="K259" i="1"/>
  <c r="K212" i="1"/>
  <c r="G257" i="1"/>
  <c r="C257" i="1"/>
  <c r="D257" i="1" s="1"/>
  <c r="F249" i="1"/>
  <c r="E249" i="1"/>
  <c r="H245" i="1"/>
  <c r="I245" i="1" s="1"/>
  <c r="P234" i="1"/>
  <c r="O234" i="1"/>
  <c r="F240" i="1"/>
  <c r="E240" i="1"/>
  <c r="H216" i="1"/>
  <c r="I216" i="1" s="1"/>
  <c r="L216" i="1"/>
  <c r="M216" i="1" s="1"/>
  <c r="N216" i="1" s="1"/>
  <c r="G174" i="1"/>
  <c r="C174" i="1"/>
  <c r="D174" i="1" s="1"/>
  <c r="E282" i="1"/>
  <c r="E267" i="1"/>
  <c r="F267" i="1"/>
  <c r="E232" i="1"/>
  <c r="H284" i="1"/>
  <c r="I284" i="1" s="1"/>
  <c r="L284" i="1"/>
  <c r="M284" i="1" s="1"/>
  <c r="N284" i="1" s="1"/>
  <c r="L278" i="1"/>
  <c r="M278" i="1" s="1"/>
  <c r="N278" i="1" s="1"/>
  <c r="G248" i="1"/>
  <c r="C248" i="1"/>
  <c r="D248" i="1" s="1"/>
  <c r="E185" i="1"/>
  <c r="F185" i="1"/>
  <c r="C222" i="1"/>
  <c r="D222" i="1" s="1"/>
  <c r="G222" i="1"/>
  <c r="L209" i="1"/>
  <c r="M209" i="1" s="1"/>
  <c r="N209" i="1" s="1"/>
  <c r="H209" i="1"/>
  <c r="I209" i="1" s="1"/>
  <c r="C205" i="1"/>
  <c r="D205" i="1" s="1"/>
  <c r="G205" i="1"/>
  <c r="H196" i="1"/>
  <c r="I196" i="1" s="1"/>
  <c r="L154" i="1"/>
  <c r="M154" i="1" s="1"/>
  <c r="N154" i="1" s="1"/>
  <c r="H154" i="1"/>
  <c r="I154" i="1" s="1"/>
  <c r="H119" i="1"/>
  <c r="I119" i="1" s="1"/>
  <c r="L119" i="1"/>
  <c r="M119" i="1" s="1"/>
  <c r="N119" i="1" s="1"/>
  <c r="C196" i="1"/>
  <c r="D196" i="1" s="1"/>
  <c r="H187" i="1"/>
  <c r="I187" i="1" s="1"/>
  <c r="L140" i="1"/>
  <c r="M140" i="1" s="1"/>
  <c r="N140" i="1" s="1"/>
  <c r="H140" i="1"/>
  <c r="I140" i="1" s="1"/>
  <c r="L219" i="1"/>
  <c r="M219" i="1" s="1"/>
  <c r="N219" i="1" s="1"/>
  <c r="H219" i="1"/>
  <c r="I219" i="1" s="1"/>
  <c r="J193" i="1"/>
  <c r="K193" i="1"/>
  <c r="J161" i="1"/>
  <c r="K161" i="1"/>
  <c r="L259" i="1"/>
  <c r="M259" i="1" s="1"/>
  <c r="N259" i="1" s="1"/>
  <c r="E229" i="1"/>
  <c r="F229" i="1"/>
  <c r="L217" i="1"/>
  <c r="M217" i="1" s="1"/>
  <c r="N217" i="1" s="1"/>
  <c r="H182" i="1"/>
  <c r="I182" i="1" s="1"/>
  <c r="L182" i="1"/>
  <c r="M182" i="1" s="1"/>
  <c r="N182" i="1" s="1"/>
  <c r="C231" i="1"/>
  <c r="D231" i="1" s="1"/>
  <c r="L225" i="1"/>
  <c r="M225" i="1" s="1"/>
  <c r="N225" i="1" s="1"/>
  <c r="P129" i="1"/>
  <c r="H231" i="1"/>
  <c r="I231" i="1" s="1"/>
  <c r="L231" i="1"/>
  <c r="M231" i="1" s="1"/>
  <c r="N231" i="1" s="1"/>
  <c r="J210" i="1"/>
  <c r="K210" i="1"/>
  <c r="L208" i="1"/>
  <c r="M208" i="1" s="1"/>
  <c r="N208" i="1" s="1"/>
  <c r="E201" i="1"/>
  <c r="F201" i="1"/>
  <c r="G190" i="1"/>
  <c r="C190" i="1"/>
  <c r="D190" i="1" s="1"/>
  <c r="O153" i="1"/>
  <c r="H215" i="1"/>
  <c r="I215" i="1" s="1"/>
  <c r="L215" i="1"/>
  <c r="M215" i="1" s="1"/>
  <c r="N215" i="1" s="1"/>
  <c r="L186" i="1"/>
  <c r="M186" i="1" s="1"/>
  <c r="N186" i="1" s="1"/>
  <c r="G181" i="1"/>
  <c r="C181" i="1"/>
  <c r="D181" i="1" s="1"/>
  <c r="G151" i="1"/>
  <c r="C151" i="1"/>
  <c r="D151" i="1" s="1"/>
  <c r="G198" i="1"/>
  <c r="C198" i="1"/>
  <c r="D198" i="1" s="1"/>
  <c r="J186" i="1"/>
  <c r="K186" i="1"/>
  <c r="O156" i="1"/>
  <c r="P156" i="1"/>
  <c r="C189" i="1"/>
  <c r="D189" i="1" s="1"/>
  <c r="G189" i="1"/>
  <c r="C167" i="1"/>
  <c r="D167" i="1" s="1"/>
  <c r="F160" i="1"/>
  <c r="E160" i="1"/>
  <c r="H167" i="1"/>
  <c r="I167" i="1" s="1"/>
  <c r="L167" i="1"/>
  <c r="M167" i="1" s="1"/>
  <c r="N167" i="1" s="1"/>
  <c r="H160" i="1"/>
  <c r="I160" i="1" s="1"/>
  <c r="L160" i="1"/>
  <c r="M160" i="1" s="1"/>
  <c r="N160" i="1" s="1"/>
  <c r="O145" i="1"/>
  <c r="P145" i="1"/>
  <c r="O207" i="1"/>
  <c r="J177" i="1"/>
  <c r="K177" i="1"/>
  <c r="G166" i="1"/>
  <c r="C166" i="1"/>
  <c r="D166" i="1" s="1"/>
  <c r="H162" i="1"/>
  <c r="I162" i="1" s="1"/>
  <c r="L162" i="1"/>
  <c r="M162" i="1" s="1"/>
  <c r="N162" i="1" s="1"/>
  <c r="K155" i="1"/>
  <c r="J155" i="1"/>
  <c r="H239" i="1"/>
  <c r="I239" i="1" s="1"/>
  <c r="J218" i="1"/>
  <c r="K218" i="1"/>
  <c r="C197" i="1"/>
  <c r="D197" i="1" s="1"/>
  <c r="G197" i="1"/>
  <c r="L242" i="1"/>
  <c r="M242" i="1" s="1"/>
  <c r="N242" i="1" s="1"/>
  <c r="G237" i="1"/>
  <c r="G230" i="1"/>
  <c r="C230" i="1"/>
  <c r="D230" i="1" s="1"/>
  <c r="L224" i="1"/>
  <c r="M224" i="1" s="1"/>
  <c r="N224" i="1" s="1"/>
  <c r="G214" i="1"/>
  <c r="C214" i="1"/>
  <c r="D214" i="1" s="1"/>
  <c r="G192" i="1"/>
  <c r="C192" i="1"/>
  <c r="D192" i="1" s="1"/>
  <c r="G149" i="1"/>
  <c r="C149" i="1"/>
  <c r="D149" i="1" s="1"/>
  <c r="C173" i="1"/>
  <c r="D173" i="1" s="1"/>
  <c r="G173" i="1"/>
  <c r="E140" i="1"/>
  <c r="F140" i="1"/>
  <c r="C125" i="1"/>
  <c r="D125" i="1" s="1"/>
  <c r="G125" i="1"/>
  <c r="H118" i="1"/>
  <c r="I118" i="1" s="1"/>
  <c r="L118" i="1"/>
  <c r="M118" i="1" s="1"/>
  <c r="N118" i="1" s="1"/>
  <c r="C142" i="1"/>
  <c r="D142" i="1" s="1"/>
  <c r="E136" i="1"/>
  <c r="H134" i="1"/>
  <c r="I134" i="1" s="1"/>
  <c r="L134" i="1"/>
  <c r="M134" i="1" s="1"/>
  <c r="N134" i="1" s="1"/>
  <c r="H142" i="1"/>
  <c r="I142" i="1" s="1"/>
  <c r="L142" i="1"/>
  <c r="M142" i="1" s="1"/>
  <c r="N142" i="1" s="1"/>
  <c r="H117" i="1"/>
  <c r="I117" i="1" s="1"/>
  <c r="L117" i="1"/>
  <c r="M117" i="1" s="1"/>
  <c r="N117" i="1" s="1"/>
  <c r="L124" i="1"/>
  <c r="M124" i="1" s="1"/>
  <c r="N124" i="1" s="1"/>
  <c r="H124" i="1"/>
  <c r="I124" i="1" s="1"/>
  <c r="J116" i="1"/>
  <c r="K116" i="1"/>
  <c r="G203" i="1"/>
  <c r="L184" i="1"/>
  <c r="M184" i="1" s="1"/>
  <c r="N184" i="1" s="1"/>
  <c r="H178" i="1"/>
  <c r="I178" i="1" s="1"/>
  <c r="L178" i="1"/>
  <c r="M178" i="1" s="1"/>
  <c r="N178" i="1" s="1"/>
  <c r="H172" i="1"/>
  <c r="I172" i="1" s="1"/>
  <c r="L170" i="1"/>
  <c r="M170" i="1" s="1"/>
  <c r="N170" i="1" s="1"/>
  <c r="H170" i="1"/>
  <c r="I170" i="1" s="1"/>
  <c r="C158" i="1"/>
  <c r="D158" i="1" s="1"/>
  <c r="E152" i="1"/>
  <c r="H150" i="1"/>
  <c r="I150" i="1" s="1"/>
  <c r="L150" i="1"/>
  <c r="M150" i="1" s="1"/>
  <c r="N150" i="1" s="1"/>
  <c r="L168" i="1"/>
  <c r="M168" i="1" s="1"/>
  <c r="N168" i="1" s="1"/>
  <c r="H158" i="1"/>
  <c r="I158" i="1" s="1"/>
  <c r="L158" i="1"/>
  <c r="M158" i="1" s="1"/>
  <c r="N158" i="1" s="1"/>
  <c r="H127" i="1"/>
  <c r="I127" i="1" s="1"/>
  <c r="L127" i="1"/>
  <c r="M127" i="1" s="1"/>
  <c r="N127" i="1" s="1"/>
  <c r="H211" i="1"/>
  <c r="I211" i="1" s="1"/>
  <c r="C206" i="1"/>
  <c r="D206" i="1" s="1"/>
  <c r="C191" i="1"/>
  <c r="D191" i="1" s="1"/>
  <c r="H180" i="1"/>
  <c r="I180" i="1" s="1"/>
  <c r="G147" i="1"/>
  <c r="G133" i="1"/>
  <c r="C133" i="1"/>
  <c r="D133" i="1" s="1"/>
  <c r="C115" i="1"/>
  <c r="D115" i="1" s="1"/>
  <c r="G115" i="1"/>
  <c r="C141" i="1"/>
  <c r="D141" i="1" s="1"/>
  <c r="G141" i="1"/>
  <c r="H130" i="1"/>
  <c r="I130" i="1" s="1"/>
  <c r="L130" i="1"/>
  <c r="M130" i="1" s="1"/>
  <c r="N130" i="1" s="1"/>
  <c r="C126" i="1"/>
  <c r="D126" i="1" s="1"/>
  <c r="E143" i="1"/>
  <c r="H126" i="1"/>
  <c r="I126" i="1" s="1"/>
  <c r="L126" i="1"/>
  <c r="M126" i="1" s="1"/>
  <c r="N126" i="1" s="1"/>
  <c r="H120" i="1"/>
  <c r="I120" i="1" s="1"/>
  <c r="L120" i="1"/>
  <c r="M120" i="1" s="1"/>
  <c r="N120" i="1" s="1"/>
  <c r="C157" i="1"/>
  <c r="D157" i="1" s="1"/>
  <c r="G157" i="1"/>
  <c r="E120" i="1"/>
  <c r="F120" i="1"/>
  <c r="L199" i="1"/>
  <c r="M199" i="1" s="1"/>
  <c r="N199" i="1" s="1"/>
  <c r="L183" i="1"/>
  <c r="M183" i="1" s="1"/>
  <c r="N183" i="1" s="1"/>
  <c r="H146" i="1"/>
  <c r="I146" i="1" s="1"/>
  <c r="L146" i="1"/>
  <c r="M146" i="1" s="1"/>
  <c r="N146" i="1" s="1"/>
  <c r="L138" i="1"/>
  <c r="M138" i="1" s="1"/>
  <c r="N138" i="1" s="1"/>
  <c r="H138" i="1"/>
  <c r="I138" i="1" s="1"/>
  <c r="E132" i="1"/>
  <c r="F132" i="1"/>
  <c r="H122" i="1"/>
  <c r="I122" i="1" s="1"/>
  <c r="C117" i="1"/>
  <c r="D117" i="1" s="1"/>
  <c r="H123" i="1"/>
  <c r="I123" i="1" s="1"/>
  <c r="C118" i="1"/>
  <c r="D118" i="1" s="1"/>
  <c r="C119" i="1"/>
  <c r="D119" i="1" s="1"/>
  <c r="L114" i="1"/>
  <c r="M114" i="1" s="1"/>
  <c r="N114" i="1" s="1"/>
  <c r="E79" i="1"/>
  <c r="K102" i="1"/>
  <c r="E86" i="1"/>
  <c r="J52" i="1"/>
  <c r="K52" i="1"/>
  <c r="P109" i="1"/>
  <c r="O109" i="1"/>
  <c r="E105" i="1"/>
  <c r="F105" i="1"/>
  <c r="L105" i="1"/>
  <c r="M105" i="1" s="1"/>
  <c r="N105" i="1" s="1"/>
  <c r="H105" i="1"/>
  <c r="I105" i="1" s="1"/>
  <c r="P110" i="1"/>
  <c r="P97" i="1"/>
  <c r="L95" i="1"/>
  <c r="M95" i="1" s="1"/>
  <c r="N95" i="1" s="1"/>
  <c r="P50" i="1"/>
  <c r="H104" i="1"/>
  <c r="I104" i="1" s="1"/>
  <c r="C100" i="1"/>
  <c r="D100" i="1" s="1"/>
  <c r="J95" i="1"/>
  <c r="H88" i="1"/>
  <c r="I88" i="1" s="1"/>
  <c r="L88" i="1"/>
  <c r="M88" i="1" s="1"/>
  <c r="N88" i="1" s="1"/>
  <c r="C83" i="1"/>
  <c r="D83" i="1" s="1"/>
  <c r="C77" i="1"/>
  <c r="D77" i="1" s="1"/>
  <c r="O67" i="1"/>
  <c r="P67" i="1"/>
  <c r="L64" i="1"/>
  <c r="M64" i="1" s="1"/>
  <c r="N64" i="1" s="1"/>
  <c r="H64" i="1"/>
  <c r="I64" i="1" s="1"/>
  <c r="C59" i="1"/>
  <c r="D59" i="1" s="1"/>
  <c r="C80" i="1"/>
  <c r="D80" i="1" s="1"/>
  <c r="G80" i="1"/>
  <c r="H85" i="1"/>
  <c r="I85" i="1" s="1"/>
  <c r="L85" i="1"/>
  <c r="M85" i="1" s="1"/>
  <c r="N85" i="1" s="1"/>
  <c r="H79" i="1"/>
  <c r="I79" i="1" s="1"/>
  <c r="L79" i="1"/>
  <c r="M79" i="1" s="1"/>
  <c r="N79" i="1" s="1"/>
  <c r="L58" i="1"/>
  <c r="M58" i="1" s="1"/>
  <c r="N58" i="1" s="1"/>
  <c r="H58" i="1"/>
  <c r="I58" i="1" s="1"/>
  <c r="L83" i="1"/>
  <c r="M83" i="1" s="1"/>
  <c r="N83" i="1" s="1"/>
  <c r="H83" i="1"/>
  <c r="I83" i="1" s="1"/>
  <c r="E44" i="1"/>
  <c r="F44" i="1"/>
  <c r="O22" i="1"/>
  <c r="P22" i="1"/>
  <c r="L59" i="1"/>
  <c r="M59" i="1" s="1"/>
  <c r="N59" i="1" s="1"/>
  <c r="H59" i="1"/>
  <c r="I59" i="1" s="1"/>
  <c r="K106" i="1"/>
  <c r="J106" i="1"/>
  <c r="E110" i="1"/>
  <c r="G108" i="1"/>
  <c r="O89" i="1"/>
  <c r="P89" i="1"/>
  <c r="P63" i="1"/>
  <c r="O63" i="1"/>
  <c r="H53" i="1"/>
  <c r="I53" i="1" s="1"/>
  <c r="L53" i="1"/>
  <c r="M53" i="1" s="1"/>
  <c r="N53" i="1" s="1"/>
  <c r="H87" i="1"/>
  <c r="I87" i="1" s="1"/>
  <c r="L87" i="1"/>
  <c r="M87" i="1" s="1"/>
  <c r="N87" i="1" s="1"/>
  <c r="C82" i="1"/>
  <c r="D82" i="1" s="1"/>
  <c r="G82" i="1"/>
  <c r="H76" i="1"/>
  <c r="I76" i="1" s="1"/>
  <c r="L76" i="1"/>
  <c r="M76" i="1" s="1"/>
  <c r="N76" i="1" s="1"/>
  <c r="E61" i="1"/>
  <c r="F53" i="1"/>
  <c r="E53" i="1"/>
  <c r="O37" i="1"/>
  <c r="P37" i="1"/>
  <c r="H101" i="1"/>
  <c r="I101" i="1" s="1"/>
  <c r="L101" i="1"/>
  <c r="M101" i="1" s="1"/>
  <c r="N101" i="1" s="1"/>
  <c r="F92" i="1"/>
  <c r="C66" i="1"/>
  <c r="D66" i="1" s="1"/>
  <c r="G66" i="1"/>
  <c r="F104" i="1"/>
  <c r="J97" i="1"/>
  <c r="K97" i="1"/>
  <c r="G69" i="1"/>
  <c r="C69" i="1"/>
  <c r="D69" i="1" s="1"/>
  <c r="J111" i="1"/>
  <c r="O98" i="1"/>
  <c r="F94" i="1"/>
  <c r="H81" i="1"/>
  <c r="I81" i="1" s="1"/>
  <c r="L73" i="1"/>
  <c r="M73" i="1" s="1"/>
  <c r="N73" i="1" s="1"/>
  <c r="H73" i="1"/>
  <c r="I73" i="1" s="1"/>
  <c r="L55" i="1"/>
  <c r="M55" i="1" s="1"/>
  <c r="N55" i="1" s="1"/>
  <c r="F37" i="1"/>
  <c r="E37" i="1"/>
  <c r="E30" i="1"/>
  <c r="F30" i="1"/>
  <c r="O81" i="1"/>
  <c r="P81" i="1"/>
  <c r="E73" i="1"/>
  <c r="F73" i="1"/>
  <c r="C71" i="1"/>
  <c r="D71" i="1" s="1"/>
  <c r="G71" i="1"/>
  <c r="E63" i="1"/>
  <c r="F63" i="1"/>
  <c r="K96" i="1"/>
  <c r="O86" i="1"/>
  <c r="P86" i="1"/>
  <c r="O70" i="1"/>
  <c r="P70" i="1"/>
  <c r="F46" i="1"/>
  <c r="O43" i="1"/>
  <c r="P43" i="1"/>
  <c r="E36" i="1"/>
  <c r="F36" i="1"/>
  <c r="C103" i="1"/>
  <c r="D103" i="1" s="1"/>
  <c r="G103" i="1"/>
  <c r="L102" i="1"/>
  <c r="M102" i="1" s="1"/>
  <c r="N102" i="1" s="1"/>
  <c r="H94" i="1"/>
  <c r="I94" i="1" s="1"/>
  <c r="L94" i="1"/>
  <c r="M94" i="1" s="1"/>
  <c r="N94" i="1" s="1"/>
  <c r="E111" i="1"/>
  <c r="F111" i="1"/>
  <c r="G84" i="1"/>
  <c r="C84" i="1"/>
  <c r="D84" i="1" s="1"/>
  <c r="G78" i="1"/>
  <c r="C78" i="1"/>
  <c r="D78" i="1" s="1"/>
  <c r="C42" i="1"/>
  <c r="D42" i="1" s="1"/>
  <c r="G42" i="1"/>
  <c r="C60" i="1"/>
  <c r="D60" i="1" s="1"/>
  <c r="G60" i="1"/>
  <c r="L100" i="1"/>
  <c r="M100" i="1" s="1"/>
  <c r="N100" i="1" s="1"/>
  <c r="G91" i="1"/>
  <c r="C91" i="1"/>
  <c r="D91" i="1" s="1"/>
  <c r="J93" i="1"/>
  <c r="L77" i="1"/>
  <c r="M77" i="1" s="1"/>
  <c r="N77" i="1" s="1"/>
  <c r="O56" i="1"/>
  <c r="L51" i="1"/>
  <c r="M51" i="1" s="1"/>
  <c r="N51" i="1" s="1"/>
  <c r="H51" i="1"/>
  <c r="I51" i="1" s="1"/>
  <c r="O41" i="1"/>
  <c r="P41" i="1"/>
  <c r="L92" i="1"/>
  <c r="M92" i="1" s="1"/>
  <c r="N92" i="1" s="1"/>
  <c r="C51" i="1"/>
  <c r="D51" i="1" s="1"/>
  <c r="C45" i="1"/>
  <c r="D45" i="1" s="1"/>
  <c r="L40" i="1"/>
  <c r="M40" i="1" s="1"/>
  <c r="N40" i="1" s="1"/>
  <c r="K37" i="1"/>
  <c r="G26" i="1"/>
  <c r="E26" i="1"/>
  <c r="F26" i="1"/>
  <c r="H18" i="1"/>
  <c r="I18" i="1" s="1"/>
  <c r="L18" i="1"/>
  <c r="M18" i="1" s="1"/>
  <c r="N18" i="1" s="1"/>
  <c r="F28" i="1"/>
  <c r="J21" i="1"/>
  <c r="K21" i="1"/>
  <c r="L44" i="1"/>
  <c r="M44" i="1" s="1"/>
  <c r="N44" i="1" s="1"/>
  <c r="C107" i="1"/>
  <c r="D107" i="1" s="1"/>
  <c r="F98" i="1"/>
  <c r="K62" i="1"/>
  <c r="C35" i="1"/>
  <c r="D35" i="1" s="1"/>
  <c r="F33" i="1"/>
  <c r="J31" i="1"/>
  <c r="K31" i="1"/>
  <c r="H25" i="1"/>
  <c r="I25" i="1" s="1"/>
  <c r="H50" i="1"/>
  <c r="I50" i="1" s="1"/>
  <c r="L29" i="1"/>
  <c r="M29" i="1" s="1"/>
  <c r="N29" i="1" s="1"/>
  <c r="F41" i="1"/>
  <c r="C16" i="1"/>
  <c r="D16" i="1" s="1"/>
  <c r="G16" i="1"/>
  <c r="E27" i="1"/>
  <c r="F27" i="1"/>
  <c r="J15" i="1"/>
  <c r="K15" i="1"/>
  <c r="G20" i="1"/>
  <c r="C20" i="1"/>
  <c r="D20" i="1" s="1"/>
  <c r="C93" i="1"/>
  <c r="D93" i="1" s="1"/>
  <c r="C75" i="1"/>
  <c r="D75" i="1" s="1"/>
  <c r="H32" i="1"/>
  <c r="I32" i="1" s="1"/>
  <c r="C29" i="1"/>
  <c r="D29" i="1" s="1"/>
  <c r="G48" i="1"/>
  <c r="G39" i="1"/>
  <c r="L30" i="1"/>
  <c r="M30" i="1" s="1"/>
  <c r="N30" i="1" s="1"/>
  <c r="L24" i="1"/>
  <c r="M24" i="1" s="1"/>
  <c r="N24" i="1" s="1"/>
  <c r="H24" i="1"/>
  <c r="I24" i="1" s="1"/>
  <c r="E22" i="1"/>
  <c r="H19" i="1"/>
  <c r="I19" i="1" s="1"/>
  <c r="L19" i="1"/>
  <c r="M19" i="1" s="1"/>
  <c r="N19" i="1" s="1"/>
  <c r="H23" i="1"/>
  <c r="I23" i="1" s="1"/>
  <c r="C18" i="1"/>
  <c r="D18" i="1" s="1"/>
  <c r="C19" i="1"/>
  <c r="D19" i="1" s="1"/>
  <c r="L15" i="1"/>
  <c r="M15" i="1" s="1"/>
  <c r="N15" i="1" s="1"/>
  <c r="M13" i="1"/>
  <c r="N13" i="1" s="1"/>
  <c r="H14" i="1"/>
  <c r="I14" i="1" s="1"/>
  <c r="K14" i="1" s="1"/>
  <c r="L14" i="1"/>
  <c r="H13" i="1"/>
  <c r="I13" i="1" s="1"/>
  <c r="C14" i="1"/>
  <c r="D14" i="1" s="1"/>
  <c r="F14" i="1" s="1"/>
  <c r="C13" i="1"/>
  <c r="D13" i="1" s="1"/>
  <c r="E13" i="1" s="1"/>
  <c r="E970" i="1" l="1"/>
  <c r="E443" i="1"/>
  <c r="F139" i="1"/>
  <c r="E680" i="1"/>
  <c r="F551" i="1"/>
  <c r="K1008" i="1"/>
  <c r="P107" i="1"/>
  <c r="P613" i="1"/>
  <c r="J689" i="1"/>
  <c r="E225" i="1"/>
  <c r="F536" i="1"/>
  <c r="J648" i="1"/>
  <c r="K751" i="1"/>
  <c r="E287" i="1"/>
  <c r="E254" i="1"/>
  <c r="F411" i="1"/>
  <c r="F730" i="1"/>
  <c r="F997" i="1"/>
  <c r="F654" i="1"/>
  <c r="J188" i="1"/>
  <c r="E770" i="1"/>
  <c r="P820" i="1"/>
  <c r="F284" i="1"/>
  <c r="P500" i="1"/>
  <c r="E754" i="1"/>
  <c r="F996" i="1"/>
  <c r="F303" i="1"/>
  <c r="F843" i="1"/>
  <c r="F335" i="1"/>
  <c r="K658" i="1"/>
  <c r="E144" i="1"/>
  <c r="F927" i="1"/>
  <c r="P824" i="1"/>
  <c r="F660" i="1"/>
  <c r="F940" i="1"/>
  <c r="O220" i="1"/>
  <c r="O661" i="1"/>
  <c r="E469" i="1"/>
  <c r="O52" i="1"/>
  <c r="E128" i="1"/>
  <c r="E52" i="1"/>
  <c r="F175" i="1"/>
  <c r="P905" i="1"/>
  <c r="P532" i="1"/>
  <c r="K279" i="1"/>
  <c r="E559" i="1"/>
  <c r="F915" i="1"/>
  <c r="K159" i="1"/>
  <c r="L729" i="1"/>
  <c r="M729" i="1" s="1"/>
  <c r="N729" i="1" s="1"/>
  <c r="F451" i="1"/>
  <c r="E921" i="1"/>
  <c r="L697" i="1"/>
  <c r="M697" i="1" s="1"/>
  <c r="N697" i="1" s="1"/>
  <c r="O131" i="1"/>
  <c r="E258" i="1"/>
  <c r="E161" i="1"/>
  <c r="F624" i="1"/>
  <c r="E932" i="1"/>
  <c r="J747" i="1"/>
  <c r="F172" i="1"/>
  <c r="P137" i="1"/>
  <c r="O537" i="1"/>
  <c r="F769" i="1"/>
  <c r="F880" i="1"/>
  <c r="E910" i="1"/>
  <c r="F131" i="1"/>
  <c r="E154" i="1"/>
  <c r="J900" i="1"/>
  <c r="P840" i="1"/>
  <c r="P562" i="1"/>
  <c r="P983" i="1"/>
  <c r="E818" i="1"/>
  <c r="O301" i="1"/>
  <c r="P251" i="1"/>
  <c r="O448" i="1"/>
  <c r="O597" i="1"/>
  <c r="P542" i="1"/>
  <c r="F194" i="1"/>
  <c r="E745" i="1"/>
  <c r="F900" i="1"/>
  <c r="J556" i="1"/>
  <c r="P33" i="1"/>
  <c r="K649" i="1"/>
  <c r="E967" i="1"/>
  <c r="K164" i="1"/>
  <c r="F1000" i="1"/>
  <c r="F202" i="1"/>
  <c r="O383" i="1"/>
  <c r="H131" i="1"/>
  <c r="I131" i="1" s="1"/>
  <c r="J131" i="1" s="1"/>
  <c r="P410" i="1"/>
  <c r="F566" i="1"/>
  <c r="F716" i="1"/>
  <c r="F714" i="1"/>
  <c r="E1010" i="1"/>
  <c r="F124" i="1"/>
  <c r="J375" i="1"/>
  <c r="O344" i="1"/>
  <c r="J778" i="1"/>
  <c r="E400" i="1"/>
  <c r="F164" i="1"/>
  <c r="F603" i="1"/>
  <c r="F611" i="1"/>
  <c r="P863" i="1"/>
  <c r="K562" i="1"/>
  <c r="F156" i="1"/>
  <c r="F600" i="1"/>
  <c r="K864" i="1"/>
  <c r="F442" i="1"/>
  <c r="F597" i="1"/>
  <c r="K254" i="1"/>
  <c r="L749" i="1"/>
  <c r="M749" i="1" s="1"/>
  <c r="N749" i="1" s="1"/>
  <c r="F388" i="1"/>
  <c r="F447" i="1"/>
  <c r="K776" i="1"/>
  <c r="F148" i="1"/>
  <c r="O23" i="1"/>
  <c r="P309" i="1"/>
  <c r="O828" i="1"/>
  <c r="L476" i="1"/>
  <c r="M476" i="1" s="1"/>
  <c r="N476" i="1" s="1"/>
  <c r="E688" i="1"/>
  <c r="F733" i="1"/>
  <c r="E711" i="1"/>
  <c r="E336" i="1"/>
  <c r="F692" i="1"/>
  <c r="P846" i="1"/>
  <c r="P891" i="1"/>
  <c r="P25" i="1"/>
  <c r="K573" i="1"/>
  <c r="F906" i="1"/>
  <c r="J90" i="1"/>
  <c r="K661" i="1"/>
  <c r="K132" i="1"/>
  <c r="J499" i="1"/>
  <c r="P778" i="1"/>
  <c r="F322" i="1"/>
  <c r="E99" i="1"/>
  <c r="P455" i="1"/>
  <c r="P567" i="1"/>
  <c r="K799" i="1"/>
  <c r="K914" i="1"/>
  <c r="J616" i="1"/>
  <c r="P274" i="1"/>
  <c r="F546" i="1"/>
  <c r="E207" i="1"/>
  <c r="O407" i="1"/>
  <c r="E807" i="1"/>
  <c r="J391" i="1"/>
  <c r="K153" i="1"/>
  <c r="J121" i="1"/>
  <c r="K465" i="1"/>
  <c r="K767" i="1"/>
  <c r="P1010" i="1"/>
  <c r="F460" i="1"/>
  <c r="K506" i="1"/>
  <c r="O676" i="1"/>
  <c r="K447" i="1"/>
  <c r="P38" i="1"/>
  <c r="F437" i="1"/>
  <c r="O460" i="1"/>
  <c r="P754" i="1"/>
  <c r="P732" i="1"/>
  <c r="F977" i="1"/>
  <c r="F774" i="1"/>
  <c r="P948" i="1"/>
  <c r="F937" i="1"/>
  <c r="K185" i="1"/>
  <c r="E962" i="1"/>
  <c r="E901" i="1"/>
  <c r="E392" i="1"/>
  <c r="P558" i="1"/>
  <c r="J664" i="1"/>
  <c r="P675" i="1"/>
  <c r="J352" i="1"/>
  <c r="K442" i="1"/>
  <c r="E429" i="1"/>
  <c r="F652" i="1"/>
  <c r="J628" i="1"/>
  <c r="P787" i="1"/>
  <c r="K803" i="1"/>
  <c r="E772" i="1"/>
  <c r="K28" i="1"/>
  <c r="K500" i="1"/>
  <c r="E693" i="1"/>
  <c r="E816" i="1"/>
  <c r="P664" i="1"/>
  <c r="K974" i="1"/>
  <c r="O200" i="1"/>
  <c r="P791" i="1"/>
  <c r="F926" i="1"/>
  <c r="E917" i="1"/>
  <c r="P177" i="1"/>
  <c r="E242" i="1"/>
  <c r="E1006" i="1"/>
  <c r="F619" i="1"/>
  <c r="F849" i="1"/>
  <c r="P210" i="1"/>
  <c r="O282" i="1"/>
  <c r="H489" i="1"/>
  <c r="I489" i="1" s="1"/>
  <c r="J489" i="1" s="1"/>
  <c r="P624" i="1"/>
  <c r="F555" i="1"/>
  <c r="P807" i="1"/>
  <c r="P738" i="1"/>
  <c r="E645" i="1"/>
  <c r="E21" i="1"/>
  <c r="P895" i="1"/>
  <c r="K735" i="1"/>
  <c r="P121" i="1"/>
  <c r="E387" i="1"/>
  <c r="E449" i="1"/>
  <c r="E550" i="1"/>
  <c r="O595" i="1"/>
  <c r="E951" i="1"/>
  <c r="E1009" i="1"/>
  <c r="E506" i="1"/>
  <c r="O352" i="1"/>
  <c r="K114" i="1"/>
  <c r="K632" i="1"/>
  <c r="F116" i="1"/>
  <c r="F216" i="1"/>
  <c r="E323" i="1"/>
  <c r="F462" i="1"/>
  <c r="F760" i="1"/>
  <c r="F938" i="1"/>
  <c r="E570" i="1"/>
  <c r="F657" i="1"/>
  <c r="O68" i="1"/>
  <c r="F404" i="1"/>
  <c r="E399" i="1"/>
  <c r="K681" i="1"/>
  <c r="K640" i="1"/>
  <c r="P649" i="1"/>
  <c r="E777" i="1"/>
  <c r="F952" i="1"/>
  <c r="E981" i="1"/>
  <c r="P172" i="1"/>
  <c r="F467" i="1"/>
  <c r="F591" i="1"/>
  <c r="F364" i="1"/>
  <c r="O608" i="1"/>
  <c r="E62" i="1"/>
  <c r="F238" i="1"/>
  <c r="K263" i="1"/>
  <c r="F311" i="1"/>
  <c r="F355" i="1"/>
  <c r="E738" i="1"/>
  <c r="F961" i="1"/>
  <c r="P722" i="1"/>
  <c r="P298" i="1"/>
  <c r="F328" i="1"/>
  <c r="F97" i="1"/>
  <c r="J424" i="1"/>
  <c r="K100" i="1"/>
  <c r="F39" i="1"/>
  <c r="F643" i="1"/>
  <c r="K501" i="1"/>
  <c r="O817" i="1"/>
  <c r="K750" i="1"/>
  <c r="F946" i="1"/>
  <c r="F787" i="1"/>
  <c r="K113" i="1"/>
  <c r="K137" i="1"/>
  <c r="K184" i="1"/>
  <c r="K217" i="1"/>
  <c r="F223" i="1"/>
  <c r="K554" i="1"/>
  <c r="P557" i="1"/>
  <c r="F697" i="1"/>
  <c r="F817" i="1"/>
  <c r="F741" i="1"/>
  <c r="F896" i="1"/>
  <c r="F892" i="1"/>
  <c r="F162" i="1"/>
  <c r="E974" i="1"/>
  <c r="J110" i="1"/>
  <c r="F123" i="1"/>
  <c r="F203" i="1"/>
  <c r="F265" i="1"/>
  <c r="P356" i="1"/>
  <c r="F358" i="1"/>
  <c r="E433" i="1"/>
  <c r="E567" i="1"/>
  <c r="F510" i="1"/>
  <c r="F752" i="1"/>
  <c r="E729" i="1"/>
  <c r="J897" i="1"/>
  <c r="O413" i="1"/>
  <c r="E564" i="1"/>
  <c r="E960" i="1"/>
  <c r="O519" i="1"/>
  <c r="F670" i="1"/>
  <c r="F836" i="1"/>
  <c r="P61" i="1"/>
  <c r="J810" i="1"/>
  <c r="F968" i="1"/>
  <c r="O72" i="1"/>
  <c r="J129" i="1"/>
  <c r="O211" i="1"/>
  <c r="K309" i="1"/>
  <c r="P876" i="1"/>
  <c r="J714" i="1"/>
  <c r="F980" i="1"/>
  <c r="L348" i="1"/>
  <c r="M348" i="1" s="1"/>
  <c r="N348" i="1" s="1"/>
  <c r="P348" i="1" s="1"/>
  <c r="K65" i="1"/>
  <c r="K635" i="1"/>
  <c r="O830" i="1"/>
  <c r="O848" i="1"/>
  <c r="O330" i="1"/>
  <c r="E297" i="1"/>
  <c r="J348" i="1"/>
  <c r="K301" i="1"/>
  <c r="K49" i="1"/>
  <c r="K234" i="1"/>
  <c r="K942" i="1"/>
  <c r="E353" i="1"/>
  <c r="H733" i="1"/>
  <c r="I733" i="1" s="1"/>
  <c r="J733" i="1" s="1"/>
  <c r="J287" i="1"/>
  <c r="F495" i="1"/>
  <c r="O926" i="1"/>
  <c r="K250" i="1"/>
  <c r="P716" i="1"/>
  <c r="F468" i="1"/>
  <c r="P843" i="1"/>
  <c r="F57" i="1"/>
  <c r="P57" i="1"/>
  <c r="K889" i="1"/>
  <c r="J145" i="1"/>
  <c r="J238" i="1"/>
  <c r="K358" i="1"/>
  <c r="E391" i="1"/>
  <c r="E497" i="1"/>
  <c r="F734" i="1"/>
  <c r="P714" i="1"/>
  <c r="F715" i="1"/>
  <c r="J913" i="1"/>
  <c r="E976" i="1"/>
  <c r="K440" i="1"/>
  <c r="O21" i="1"/>
  <c r="E418" i="1"/>
  <c r="F496" i="1"/>
  <c r="P148" i="1"/>
  <c r="O304" i="1"/>
  <c r="E639" i="1"/>
  <c r="E751" i="1"/>
  <c r="K816" i="1"/>
  <c r="K894" i="1"/>
  <c r="F956" i="1"/>
  <c r="J464" i="1"/>
  <c r="E180" i="1"/>
  <c r="E314" i="1"/>
  <c r="E220" i="1"/>
  <c r="E827" i="1"/>
  <c r="J33" i="1"/>
  <c r="F106" i="1"/>
  <c r="J139" i="1"/>
  <c r="F385" i="1"/>
  <c r="E518" i="1"/>
  <c r="K483" i="1"/>
  <c r="E913" i="1"/>
  <c r="F784" i="1"/>
  <c r="E948" i="1"/>
  <c r="E480" i="1"/>
  <c r="J1006" i="1"/>
  <c r="F137" i="1"/>
  <c r="E598" i="1"/>
  <c r="O326" i="1"/>
  <c r="P180" i="1"/>
  <c r="K55" i="1"/>
  <c r="K195" i="1"/>
  <c r="E340" i="1"/>
  <c r="K603" i="1"/>
  <c r="F595" i="1"/>
  <c r="P611" i="1"/>
  <c r="F668" i="1"/>
  <c r="P747" i="1"/>
  <c r="F871" i="1"/>
  <c r="O899" i="1"/>
  <c r="F199" i="1"/>
  <c r="K242" i="1"/>
  <c r="F209" i="1"/>
  <c r="O599" i="1"/>
  <c r="P252" i="1"/>
  <c r="J327" i="1"/>
  <c r="P831" i="1"/>
  <c r="K36" i="1"/>
  <c r="P46" i="1"/>
  <c r="F76" i="1"/>
  <c r="O90" i="1"/>
  <c r="F127" i="1"/>
  <c r="P201" i="1"/>
  <c r="K224" i="1"/>
  <c r="P212" i="1"/>
  <c r="F226" i="1"/>
  <c r="F351" i="1"/>
  <c r="O375" i="1"/>
  <c r="F407" i="1"/>
  <c r="P551" i="1"/>
  <c r="F587" i="1"/>
  <c r="K759" i="1"/>
  <c r="P894" i="1"/>
  <c r="F931" i="1"/>
  <c r="E982" i="1"/>
  <c r="J949" i="1"/>
  <c r="O261" i="1"/>
  <c r="H267" i="1"/>
  <c r="I267" i="1" s="1"/>
  <c r="J267" i="1" s="1"/>
  <c r="E375" i="1"/>
  <c r="O775" i="1"/>
  <c r="F424" i="1"/>
  <c r="K45" i="1"/>
  <c r="P262" i="1"/>
  <c r="F441" i="1"/>
  <c r="F397" i="1"/>
  <c r="J340" i="1"/>
  <c r="O568" i="1"/>
  <c r="J67" i="1"/>
  <c r="F703" i="1"/>
  <c r="O1008" i="1"/>
  <c r="P559" i="1"/>
  <c r="F56" i="1"/>
  <c r="O404" i="1"/>
  <c r="P908" i="1"/>
  <c r="P188" i="1"/>
  <c r="F187" i="1"/>
  <c r="K226" i="1"/>
  <c r="K802" i="1"/>
  <c r="O549" i="1"/>
  <c r="E295" i="1"/>
  <c r="P161" i="1"/>
  <c r="E767" i="1"/>
  <c r="F72" i="1"/>
  <c r="E601" i="1"/>
  <c r="F758" i="1"/>
  <c r="J98" i="1"/>
  <c r="E596" i="1"/>
  <c r="K761" i="1"/>
  <c r="F698" i="1"/>
  <c r="F368" i="1"/>
  <c r="P336" i="1"/>
  <c r="F384" i="1"/>
  <c r="O233" i="1"/>
  <c r="J339" i="1"/>
  <c r="P718" i="1"/>
  <c r="O227" i="1"/>
  <c r="P751" i="1"/>
  <c r="J542" i="1"/>
  <c r="F778" i="1"/>
  <c r="K89" i="1"/>
  <c r="P36" i="1"/>
  <c r="K657" i="1"/>
  <c r="P920" i="1"/>
  <c r="K249" i="1"/>
  <c r="F459" i="1"/>
  <c r="K860" i="1"/>
  <c r="K707" i="1"/>
  <c r="E898" i="1"/>
  <c r="E221" i="1"/>
  <c r="O122" i="1"/>
  <c r="F347" i="1"/>
  <c r="F988" i="1"/>
  <c r="J888" i="1"/>
  <c r="O798" i="1"/>
  <c r="K305" i="1"/>
  <c r="F543" i="1"/>
  <c r="O390" i="1"/>
  <c r="E463" i="1"/>
  <c r="K752" i="1"/>
  <c r="P528" i="1"/>
  <c r="P465" i="1"/>
  <c r="J559" i="1"/>
  <c r="E575" i="1"/>
  <c r="F828" i="1"/>
  <c r="E842" i="1"/>
  <c r="F972" i="1"/>
  <c r="E108" i="1"/>
  <c r="F565" i="1"/>
  <c r="O440" i="1"/>
  <c r="O408" i="1"/>
  <c r="O921" i="1"/>
  <c r="O47" i="1"/>
  <c r="P629" i="1"/>
  <c r="P886" i="1"/>
  <c r="P27" i="1"/>
  <c r="P475" i="1"/>
  <c r="O106" i="1"/>
  <c r="P702" i="1"/>
  <c r="O347" i="1"/>
  <c r="P529" i="1"/>
  <c r="P796" i="1"/>
  <c r="P245" i="1"/>
  <c r="O540" i="1"/>
  <c r="P54" i="1"/>
  <c r="P748" i="1"/>
  <c r="P1013" i="1"/>
  <c r="O175" i="1"/>
  <c r="K163" i="1"/>
  <c r="P263" i="1"/>
  <c r="P462" i="1"/>
  <c r="F667" i="1"/>
  <c r="K672" i="1"/>
  <c r="F656" i="1"/>
  <c r="E834" i="1"/>
  <c r="P829" i="1"/>
  <c r="E923" i="1"/>
  <c r="E914" i="1"/>
  <c r="F435" i="1"/>
  <c r="E169" i="1"/>
  <c r="J92" i="1"/>
  <c r="J716" i="1"/>
  <c r="E159" i="1"/>
  <c r="K390" i="1"/>
  <c r="E465" i="1"/>
  <c r="J524" i="1"/>
  <c r="K530" i="1"/>
  <c r="J838" i="1"/>
  <c r="K232" i="1"/>
  <c r="E876" i="1"/>
  <c r="P439" i="1"/>
  <c r="K459" i="1"/>
  <c r="O505" i="1"/>
  <c r="P610" i="1"/>
  <c r="J563" i="1"/>
  <c r="F924" i="1"/>
  <c r="J910" i="1"/>
  <c r="O374" i="1"/>
  <c r="E101" i="1"/>
  <c r="F522" i="1"/>
  <c r="O312" i="1"/>
  <c r="K243" i="1"/>
  <c r="F315" i="1"/>
  <c r="F288" i="1"/>
  <c r="E558" i="1"/>
  <c r="K505" i="1"/>
  <c r="E579" i="1"/>
  <c r="P645" i="1"/>
  <c r="H717" i="1"/>
  <c r="I717" i="1" s="1"/>
  <c r="J717" i="1" s="1"/>
  <c r="F717" i="1"/>
  <c r="K831" i="1"/>
  <c r="F746" i="1"/>
  <c r="F338" i="1"/>
  <c r="E589" i="1"/>
  <c r="F750" i="1"/>
  <c r="K629" i="1"/>
  <c r="J732" i="1"/>
  <c r="P752" i="1"/>
  <c r="K397" i="1"/>
  <c r="E633" i="1"/>
  <c r="K40" i="1"/>
  <c r="K455" i="1"/>
  <c r="E930" i="1"/>
  <c r="J199" i="1"/>
  <c r="E236" i="1"/>
  <c r="P187" i="1"/>
  <c r="F350" i="1"/>
  <c r="F395" i="1"/>
  <c r="P367" i="1"/>
  <c r="F612" i="1"/>
  <c r="F488" i="1"/>
  <c r="K643" i="1"/>
  <c r="F709" i="1"/>
  <c r="P193" i="1"/>
  <c r="L508" i="1"/>
  <c r="M508" i="1" s="1"/>
  <c r="N508" i="1" s="1"/>
  <c r="O508" i="1" s="1"/>
  <c r="F219" i="1"/>
  <c r="P62" i="1"/>
  <c r="K44" i="1"/>
  <c r="O290" i="1"/>
  <c r="K769" i="1"/>
  <c r="P104" i="1"/>
  <c r="E665" i="1"/>
  <c r="F810" i="1"/>
  <c r="J895" i="1"/>
  <c r="F944" i="1"/>
  <c r="J899" i="1"/>
  <c r="E134" i="1"/>
  <c r="F502" i="1"/>
  <c r="F531" i="1"/>
  <c r="P424" i="1"/>
  <c r="E663" i="1"/>
  <c r="E681" i="1"/>
  <c r="P878" i="1"/>
  <c r="K926" i="1"/>
  <c r="E47" i="1"/>
  <c r="P578" i="1"/>
  <c r="E785" i="1"/>
  <c r="O65" i="1"/>
  <c r="F635" i="1"/>
  <c r="P32" i="1"/>
  <c r="O136" i="1"/>
  <c r="P232" i="1"/>
  <c r="E457" i="1"/>
  <c r="J462" i="1"/>
  <c r="P681" i="1"/>
  <c r="J840" i="1"/>
  <c r="E858" i="1"/>
  <c r="F121" i="1"/>
  <c r="J251" i="1"/>
  <c r="K68" i="1"/>
  <c r="E211" i="1"/>
  <c r="E677" i="1"/>
  <c r="K423" i="1"/>
  <c r="E702" i="1"/>
  <c r="K863" i="1"/>
  <c r="P556" i="1"/>
  <c r="O164" i="1"/>
  <c r="F856" i="1"/>
  <c r="F109" i="1"/>
  <c r="K444" i="1"/>
  <c r="J583" i="1"/>
  <c r="O685" i="1"/>
  <c r="P583" i="1"/>
  <c r="K35" i="1"/>
  <c r="O123" i="1"/>
  <c r="E246" i="1"/>
  <c r="J296" i="1"/>
  <c r="P279" i="1"/>
  <c r="F430" i="1"/>
  <c r="P477" i="1"/>
  <c r="E594" i="1"/>
  <c r="K663" i="1"/>
  <c r="P538" i="1"/>
  <c r="J546" i="1"/>
  <c r="E753" i="1"/>
  <c r="J780" i="1"/>
  <c r="J808" i="1"/>
  <c r="F897" i="1"/>
  <c r="O442" i="1"/>
  <c r="O305" i="1"/>
  <c r="K392" i="1"/>
  <c r="F423" i="1"/>
  <c r="E870" i="1"/>
  <c r="F23" i="1"/>
  <c r="O355" i="1"/>
  <c r="P535" i="1"/>
  <c r="K585" i="1"/>
  <c r="O660" i="1"/>
  <c r="J933" i="1"/>
  <c r="F461" i="1"/>
  <c r="O31" i="1"/>
  <c r="P144" i="1"/>
  <c r="K798" i="1"/>
  <c r="J893" i="1"/>
  <c r="P1004" i="1"/>
  <c r="K207" i="1"/>
  <c r="P155" i="1"/>
  <c r="K194" i="1"/>
  <c r="F239" i="1"/>
  <c r="K342" i="1"/>
  <c r="O319" i="1"/>
  <c r="O386" i="1"/>
  <c r="K312" i="1"/>
  <c r="O489" i="1"/>
  <c r="O566" i="1"/>
  <c r="P699" i="1"/>
  <c r="L713" i="1"/>
  <c r="M713" i="1" s="1"/>
  <c r="N713" i="1" s="1"/>
  <c r="P713" i="1" s="1"/>
  <c r="E824" i="1"/>
  <c r="F864" i="1"/>
  <c r="F820" i="1"/>
  <c r="E992" i="1"/>
  <c r="K905" i="1"/>
  <c r="K877" i="1"/>
  <c r="J952" i="1"/>
  <c r="P34" i="1"/>
  <c r="P236" i="1"/>
  <c r="F170" i="1"/>
  <c r="E886" i="1"/>
  <c r="K891" i="1"/>
  <c r="F576" i="1"/>
  <c r="F210" i="1"/>
  <c r="P169" i="1"/>
  <c r="E344" i="1"/>
  <c r="E450" i="1"/>
  <c r="P513" i="1"/>
  <c r="E476" i="1"/>
  <c r="O474" i="1"/>
  <c r="F578" i="1"/>
  <c r="E511" i="1"/>
  <c r="J656" i="1"/>
  <c r="F706" i="1"/>
  <c r="K739" i="1"/>
  <c r="F771" i="1"/>
  <c r="F722" i="1"/>
  <c r="F809" i="1"/>
  <c r="J961" i="1"/>
  <c r="E925" i="1"/>
  <c r="E58" i="1"/>
  <c r="E554" i="1"/>
  <c r="E515" i="1"/>
  <c r="E413" i="1"/>
  <c r="F95" i="1"/>
  <c r="K208" i="1"/>
  <c r="O195" i="1"/>
  <c r="F183" i="1"/>
  <c r="O633" i="1"/>
  <c r="P730" i="1"/>
  <c r="O196" i="1"/>
  <c r="F227" i="1"/>
  <c r="K324" i="1"/>
  <c r="F102" i="1"/>
  <c r="F593" i="1"/>
  <c r="E464" i="1"/>
  <c r="J836" i="1"/>
  <c r="P351" i="1"/>
  <c r="F749" i="1"/>
  <c r="F541" i="1"/>
  <c r="P916" i="1"/>
  <c r="K46" i="1"/>
  <c r="P226" i="1"/>
  <c r="K323" i="1"/>
  <c r="J282" i="1"/>
  <c r="K429" i="1"/>
  <c r="F608" i="1"/>
  <c r="F737" i="1"/>
  <c r="O845" i="1"/>
  <c r="E920" i="1"/>
  <c r="F835" i="1"/>
  <c r="F947" i="1"/>
  <c r="F237" i="1"/>
  <c r="F584" i="1"/>
  <c r="F878" i="1"/>
  <c r="F918" i="1"/>
  <c r="F200" i="1"/>
  <c r="F213" i="1"/>
  <c r="F251" i="1"/>
  <c r="O443" i="1"/>
  <c r="F452" i="1"/>
  <c r="J486" i="1"/>
  <c r="O536" i="1"/>
  <c r="K476" i="1"/>
  <c r="K548" i="1"/>
  <c r="K535" i="1"/>
  <c r="O762" i="1"/>
  <c r="O776" i="1"/>
  <c r="J912" i="1"/>
  <c r="P951" i="1"/>
  <c r="O423" i="1"/>
  <c r="F979" i="1"/>
  <c r="E266" i="1"/>
  <c r="K30" i="1"/>
  <c r="E674" i="1"/>
  <c r="E85" i="1"/>
  <c r="F31" i="1"/>
  <c r="P311" i="1"/>
  <c r="F614" i="1"/>
  <c r="K884" i="1"/>
  <c r="F253" i="1"/>
  <c r="F1002" i="1"/>
  <c r="F228" i="1"/>
  <c r="K143" i="1"/>
  <c r="F371" i="1"/>
  <c r="F64" i="1"/>
  <c r="P323" i="1"/>
  <c r="K233" i="1"/>
  <c r="K351" i="1"/>
  <c r="K176" i="1"/>
  <c r="O238" i="1"/>
  <c r="J515" i="1"/>
  <c r="P691" i="1"/>
  <c r="E743" i="1"/>
  <c r="K997" i="1"/>
  <c r="P139" i="1"/>
  <c r="P511" i="1"/>
  <c r="E440" i="1"/>
  <c r="F146" i="1"/>
  <c r="K466" i="1"/>
  <c r="K333" i="1"/>
  <c r="K443" i="1"/>
  <c r="F649" i="1"/>
  <c r="K868" i="1"/>
  <c r="O135" i="1"/>
  <c r="O159" i="1"/>
  <c r="O384" i="1"/>
  <c r="F473" i="1"/>
  <c r="H557" i="1"/>
  <c r="I557" i="1" s="1"/>
  <c r="J557" i="1" s="1"/>
  <c r="P514" i="1"/>
  <c r="F630" i="1"/>
  <c r="J665" i="1"/>
  <c r="P554" i="1"/>
  <c r="F701" i="1"/>
  <c r="E653" i="1"/>
  <c r="J674" i="1"/>
  <c r="P672" i="1"/>
  <c r="O656" i="1"/>
  <c r="F936" i="1"/>
  <c r="O221" i="1"/>
  <c r="E829" i="1"/>
  <c r="F458" i="1"/>
  <c r="F833" i="1"/>
  <c r="P706" i="1"/>
  <c r="F17" i="1"/>
  <c r="P49" i="1"/>
  <c r="F147" i="1"/>
  <c r="P228" i="1"/>
  <c r="E259" i="1"/>
  <c r="K228" i="1"/>
  <c r="F324" i="1"/>
  <c r="F455" i="1"/>
  <c r="F439" i="1"/>
  <c r="F684" i="1"/>
  <c r="E747" i="1"/>
  <c r="P777" i="1"/>
  <c r="O659" i="1"/>
  <c r="K843" i="1"/>
  <c r="F912" i="1"/>
  <c r="F984" i="1"/>
  <c r="F953" i="1"/>
  <c r="F517" i="1"/>
  <c r="F245" i="1"/>
  <c r="F138" i="1"/>
  <c r="E129" i="1"/>
  <c r="E679" i="1"/>
  <c r="K168" i="1"/>
  <c r="F261" i="1"/>
  <c r="P339" i="1"/>
  <c r="K660" i="1"/>
  <c r="P912" i="1"/>
  <c r="P270" i="1"/>
  <c r="K619" i="1"/>
  <c r="K430" i="1"/>
  <c r="K191" i="1"/>
  <c r="E557" i="1"/>
  <c r="K579" i="1"/>
  <c r="F582" i="1"/>
  <c r="P254" i="1"/>
  <c r="E356" i="1"/>
  <c r="E325" i="1"/>
  <c r="J518" i="1"/>
  <c r="P506" i="1"/>
  <c r="J710" i="1"/>
  <c r="K792" i="1"/>
  <c r="F748" i="1"/>
  <c r="P871" i="1"/>
  <c r="O459" i="1"/>
  <c r="K330" i="1"/>
  <c r="J777" i="1"/>
  <c r="J981" i="1"/>
  <c r="F406" i="1"/>
  <c r="F811" i="1"/>
  <c r="J528" i="1"/>
  <c r="O785" i="1"/>
  <c r="F212" i="1"/>
  <c r="H571" i="1"/>
  <c r="I571" i="1" s="1"/>
  <c r="K571" i="1" s="1"/>
  <c r="K1004" i="1"/>
  <c r="O530" i="1"/>
  <c r="E658" i="1"/>
  <c r="F573" i="1"/>
  <c r="P397" i="1"/>
  <c r="O1002" i="1"/>
  <c r="O333" i="1"/>
  <c r="E378" i="1"/>
  <c r="K685" i="1"/>
  <c r="E699" i="1"/>
  <c r="F763" i="1"/>
  <c r="F950" i="1"/>
  <c r="F186" i="1"/>
  <c r="J359" i="1"/>
  <c r="L847" i="1"/>
  <c r="M847" i="1" s="1"/>
  <c r="N847" i="1" s="1"/>
  <c r="P847" i="1" s="1"/>
  <c r="E334" i="1"/>
  <c r="J883" i="1"/>
  <c r="K883" i="1"/>
  <c r="K812" i="1"/>
  <c r="J812" i="1"/>
  <c r="H529" i="1"/>
  <c r="I529" i="1" s="1"/>
  <c r="K529" i="1" s="1"/>
  <c r="K775" i="1"/>
  <c r="P861" i="1"/>
  <c r="P359" i="1"/>
  <c r="J374" i="1"/>
  <c r="E1012" i="1"/>
  <c r="P961" i="1"/>
  <c r="E1001" i="1"/>
  <c r="O717" i="1"/>
  <c r="J406" i="1"/>
  <c r="E401" i="1"/>
  <c r="F538" i="1"/>
  <c r="E765" i="1"/>
  <c r="P116" i="1"/>
  <c r="P499" i="1"/>
  <c r="F644" i="1"/>
  <c r="P768" i="1"/>
  <c r="F848" i="1"/>
  <c r="F945" i="1"/>
  <c r="F500" i="1"/>
  <c r="H756" i="1"/>
  <c r="I756" i="1" s="1"/>
  <c r="F840" i="1"/>
  <c r="E840" i="1"/>
  <c r="P239" i="1"/>
  <c r="O185" i="1"/>
  <c r="E304" i="1"/>
  <c r="F529" i="1"/>
  <c r="K475" i="1"/>
  <c r="O520" i="1"/>
  <c r="P576" i="1"/>
  <c r="O677" i="1"/>
  <c r="P698" i="1"/>
  <c r="J700" i="1"/>
  <c r="O819" i="1"/>
  <c r="F919" i="1"/>
  <c r="P967" i="1"/>
  <c r="E67" i="1"/>
  <c r="K344" i="1"/>
  <c r="E862" i="1"/>
  <c r="F862" i="1"/>
  <c r="J252" i="1"/>
  <c r="P361" i="1"/>
  <c r="P457" i="1"/>
  <c r="P545" i="1"/>
  <c r="F718" i="1"/>
  <c r="F628" i="1"/>
  <c r="K718" i="1"/>
  <c r="F687" i="1"/>
  <c r="O665" i="1"/>
  <c r="K988" i="1"/>
  <c r="E994" i="1"/>
  <c r="P380" i="1"/>
  <c r="F415" i="1"/>
  <c r="F487" i="1"/>
  <c r="F81" i="1"/>
  <c r="E641" i="1"/>
  <c r="P111" i="1"/>
  <c r="E539" i="1"/>
  <c r="J847" i="1"/>
  <c r="P229" i="1"/>
  <c r="K307" i="1"/>
  <c r="E74" i="1"/>
  <c r="E90" i="1"/>
  <c r="E89" i="1"/>
  <c r="J38" i="1"/>
  <c r="K38" i="1"/>
  <c r="J43" i="1"/>
  <c r="K43" i="1"/>
  <c r="F281" i="1"/>
  <c r="K967" i="1"/>
  <c r="F65" i="1"/>
  <c r="E65" i="1"/>
  <c r="K755" i="1"/>
  <c r="J726" i="1"/>
  <c r="E533" i="1"/>
  <c r="E289" i="1"/>
  <c r="O296" i="1"/>
  <c r="P289" i="1"/>
  <c r="O194" i="1"/>
  <c r="J367" i="1"/>
  <c r="P376" i="1"/>
  <c r="K951" i="1"/>
  <c r="J945" i="1"/>
  <c r="E526" i="1"/>
  <c r="F301" i="1"/>
  <c r="E234" i="1"/>
  <c r="K794" i="1"/>
  <c r="P767" i="1"/>
  <c r="K848" i="1"/>
  <c r="K225" i="1"/>
  <c r="O335" i="1"/>
  <c r="P335" i="1"/>
  <c r="J221" i="1"/>
  <c r="K221" i="1"/>
  <c r="O930" i="1"/>
  <c r="P930" i="1"/>
  <c r="J17" i="1"/>
  <c r="K17" i="1"/>
  <c r="O815" i="1"/>
  <c r="P815" i="1"/>
  <c r="J22" i="1"/>
  <c r="K22" i="1"/>
  <c r="P277" i="1"/>
  <c r="O277" i="1"/>
  <c r="F739" i="1"/>
  <c r="E739" i="1"/>
  <c r="E786" i="1"/>
  <c r="F786" i="1"/>
  <c r="O35" i="1"/>
  <c r="P35" i="1"/>
  <c r="E592" i="1"/>
  <c r="F592" i="1"/>
  <c r="F732" i="1"/>
  <c r="E732" i="1"/>
  <c r="F215" i="1"/>
  <c r="E215" i="1"/>
  <c r="F177" i="1"/>
  <c r="E177" i="1"/>
  <c r="F380" i="1"/>
  <c r="E380" i="1"/>
  <c r="F613" i="1"/>
  <c r="E613" i="1"/>
  <c r="E379" i="1"/>
  <c r="F379" i="1"/>
  <c r="F735" i="1"/>
  <c r="E735" i="1"/>
  <c r="E307" i="1"/>
  <c r="F307" i="1"/>
  <c r="E530" i="1"/>
  <c r="F530" i="1"/>
  <c r="F408" i="1"/>
  <c r="E408" i="1"/>
  <c r="L715" i="1"/>
  <c r="M715" i="1" s="1"/>
  <c r="N715" i="1" s="1"/>
  <c r="H715" i="1"/>
  <c r="I715" i="1" s="1"/>
  <c r="J715" i="1" s="1"/>
  <c r="E549" i="1"/>
  <c r="F549" i="1"/>
  <c r="E893" i="1"/>
  <c r="F893" i="1"/>
  <c r="E949" i="1"/>
  <c r="F949" i="1"/>
  <c r="P689" i="1"/>
  <c r="O689" i="1"/>
  <c r="J921" i="1"/>
  <c r="K921" i="1"/>
  <c r="F854" i="1"/>
  <c r="E854" i="1"/>
  <c r="K63" i="1"/>
  <c r="J63" i="1"/>
  <c r="F671" i="1"/>
  <c r="E671" i="1"/>
  <c r="E616" i="1"/>
  <c r="F616" i="1"/>
  <c r="O911" i="1"/>
  <c r="P911" i="1"/>
  <c r="E806" i="1"/>
  <c r="F806" i="1"/>
  <c r="E691" i="1"/>
  <c r="F691" i="1"/>
  <c r="L734" i="1"/>
  <c r="M734" i="1" s="1"/>
  <c r="N734" i="1" s="1"/>
  <c r="H734" i="1"/>
  <c r="I734" i="1" s="1"/>
  <c r="O497" i="1"/>
  <c r="P497" i="1"/>
  <c r="E713" i="1"/>
  <c r="F713" i="1"/>
  <c r="F861" i="1"/>
  <c r="E861" i="1"/>
  <c r="K654" i="1"/>
  <c r="J654" i="1"/>
  <c r="P884" i="1"/>
  <c r="O884" i="1"/>
  <c r="J144" i="1"/>
  <c r="K144" i="1"/>
  <c r="O300" i="1"/>
  <c r="P300" i="1"/>
  <c r="E365" i="1"/>
  <c r="F365" i="1"/>
  <c r="E501" i="1"/>
  <c r="F501" i="1"/>
  <c r="J152" i="1"/>
  <c r="K152" i="1"/>
  <c r="E477" i="1"/>
  <c r="F477" i="1"/>
  <c r="F361" i="1"/>
  <c r="E361" i="1"/>
  <c r="J553" i="1"/>
  <c r="K553" i="1"/>
  <c r="J791" i="1"/>
  <c r="K791" i="1"/>
  <c r="L965" i="1"/>
  <c r="M965" i="1" s="1"/>
  <c r="N965" i="1" s="1"/>
  <c r="H965" i="1"/>
  <c r="I965" i="1" s="1"/>
  <c r="J508" i="1"/>
  <c r="K508" i="1"/>
  <c r="F537" i="1"/>
  <c r="E537" i="1"/>
  <c r="O889" i="1"/>
  <c r="P889" i="1"/>
  <c r="J200" i="1"/>
  <c r="K200" i="1"/>
  <c r="E372" i="1"/>
  <c r="F372" i="1"/>
  <c r="J514" i="1"/>
  <c r="K514" i="1"/>
  <c r="E163" i="1"/>
  <c r="F163" i="1"/>
  <c r="O163" i="1"/>
  <c r="P163" i="1"/>
  <c r="O577" i="1"/>
  <c r="P577" i="1"/>
  <c r="O543" i="1"/>
  <c r="P543" i="1"/>
  <c r="F498" i="1"/>
  <c r="E498" i="1"/>
  <c r="E34" i="1"/>
  <c r="F34" i="1"/>
  <c r="J1002" i="1"/>
  <c r="K1002" i="1"/>
  <c r="E803" i="1"/>
  <c r="F803" i="1"/>
  <c r="E673" i="1"/>
  <c r="F673" i="1"/>
  <c r="F184" i="1"/>
  <c r="E184" i="1"/>
  <c r="E333" i="1"/>
  <c r="F333" i="1"/>
  <c r="F542" i="1"/>
  <c r="E542" i="1"/>
  <c r="E417" i="1"/>
  <c r="F417" i="1"/>
  <c r="F339" i="1"/>
  <c r="E339" i="1"/>
  <c r="P612" i="1"/>
  <c r="J420" i="1"/>
  <c r="K420" i="1"/>
  <c r="O176" i="1"/>
  <c r="P176" i="1"/>
  <c r="P935" i="1"/>
  <c r="O935" i="1"/>
  <c r="K41" i="1"/>
  <c r="J41" i="1"/>
  <c r="F561" i="1"/>
  <c r="E326" i="1"/>
  <c r="F326" i="1"/>
  <c r="O206" i="1"/>
  <c r="P206" i="1"/>
  <c r="J448" i="1"/>
  <c r="K448" i="1"/>
  <c r="K496" i="1"/>
  <c r="J496" i="1"/>
  <c r="F548" i="1"/>
  <c r="E548" i="1"/>
  <c r="O531" i="1"/>
  <c r="P531" i="1"/>
  <c r="J169" i="1"/>
  <c r="K169" i="1"/>
  <c r="K183" i="1"/>
  <c r="J183" i="1"/>
  <c r="J551" i="1"/>
  <c r="K551" i="1"/>
  <c r="E610" i="1"/>
  <c r="F610" i="1"/>
  <c r="E583" i="1"/>
  <c r="F583" i="1"/>
  <c r="P792" i="1"/>
  <c r="O792" i="1"/>
  <c r="O128" i="1"/>
  <c r="O686" i="1"/>
  <c r="P686" i="1"/>
  <c r="K1013" i="1"/>
  <c r="P287" i="1"/>
  <c r="O287" i="1"/>
  <c r="O879" i="1"/>
  <c r="P879" i="1"/>
  <c r="O805" i="1"/>
  <c r="P805" i="1"/>
  <c r="E208" i="1"/>
  <c r="F966" i="1"/>
  <c r="O501" i="1"/>
  <c r="P501" i="1"/>
  <c r="K451" i="1"/>
  <c r="F519" i="1"/>
  <c r="F305" i="1"/>
  <c r="F508" i="1"/>
  <c r="E508" i="1"/>
  <c r="E15" i="1"/>
  <c r="F15" i="1"/>
  <c r="J128" i="1"/>
  <c r="K128" i="1"/>
  <c r="E346" i="1"/>
  <c r="F346" i="1"/>
  <c r="F607" i="1"/>
  <c r="E607" i="1"/>
  <c r="E577" i="1"/>
  <c r="F577" i="1"/>
  <c r="F182" i="1"/>
  <c r="E182" i="1"/>
  <c r="F481" i="1"/>
  <c r="E481" i="1"/>
  <c r="F150" i="1"/>
  <c r="E150" i="1"/>
  <c r="K72" i="1"/>
  <c r="J72" i="1"/>
  <c r="K931" i="1"/>
  <c r="J931" i="1"/>
  <c r="J274" i="1"/>
  <c r="K274" i="1"/>
  <c r="K809" i="1"/>
  <c r="J809" i="1"/>
  <c r="H507" i="1"/>
  <c r="I507" i="1" s="1"/>
  <c r="L507" i="1"/>
  <c r="M507" i="1" s="1"/>
  <c r="N507" i="1" s="1"/>
  <c r="E911" i="1"/>
  <c r="F911" i="1"/>
  <c r="F788" i="1"/>
  <c r="E788" i="1"/>
  <c r="J336" i="1"/>
  <c r="K336" i="1"/>
  <c r="E642" i="1"/>
  <c r="F642" i="1"/>
  <c r="K29" i="1"/>
  <c r="J29" i="1"/>
  <c r="E113" i="1"/>
  <c r="F113" i="1"/>
  <c r="E483" i="1"/>
  <c r="F483" i="1"/>
  <c r="F625" i="1"/>
  <c r="E625" i="1"/>
  <c r="K413" i="1"/>
  <c r="J413" i="1"/>
  <c r="J295" i="1"/>
  <c r="K295" i="1"/>
  <c r="O515" i="1"/>
  <c r="O601" i="1"/>
  <c r="P873" i="1"/>
  <c r="O96" i="1"/>
  <c r="E486" i="1"/>
  <c r="F394" i="1"/>
  <c r="K86" i="1"/>
  <c r="E512" i="1"/>
  <c r="F512" i="1"/>
  <c r="K75" i="1"/>
  <c r="J75" i="1"/>
  <c r="K631" i="1"/>
  <c r="J631" i="1"/>
  <c r="E87" i="1"/>
  <c r="F87" i="1"/>
  <c r="E403" i="1"/>
  <c r="F403" i="1"/>
  <c r="E804" i="1"/>
  <c r="F804" i="1"/>
  <c r="F990" i="1"/>
  <c r="E990" i="1"/>
  <c r="K449" i="1"/>
  <c r="J449" i="1"/>
  <c r="J315" i="1"/>
  <c r="K315" i="1"/>
  <c r="K47" i="1"/>
  <c r="J47" i="1"/>
  <c r="F475" i="1"/>
  <c r="E204" i="1"/>
  <c r="F204" i="1"/>
  <c r="E40" i="1"/>
  <c r="F40" i="1"/>
  <c r="E274" i="1"/>
  <c r="F274" i="1"/>
  <c r="E114" i="1"/>
  <c r="F114" i="1"/>
  <c r="J109" i="1"/>
  <c r="K109" i="1"/>
  <c r="F280" i="1"/>
  <c r="E280" i="1"/>
  <c r="E780" i="1"/>
  <c r="F780" i="1"/>
  <c r="E562" i="1"/>
  <c r="F562" i="1"/>
  <c r="O1005" i="1"/>
  <c r="P444" i="1"/>
  <c r="E168" i="1"/>
  <c r="E768" i="1"/>
  <c r="E723" i="1"/>
  <c r="K613" i="1"/>
  <c r="E155" i="1"/>
  <c r="F155" i="1"/>
  <c r="E359" i="1"/>
  <c r="F359" i="1"/>
  <c r="H687" i="1"/>
  <c r="I687" i="1" s="1"/>
  <c r="L687" i="1"/>
  <c r="M687" i="1" s="1"/>
  <c r="N687" i="1" s="1"/>
  <c r="E296" i="1"/>
  <c r="F296" i="1"/>
  <c r="E983" i="1"/>
  <c r="F983" i="1"/>
  <c r="E805" i="1"/>
  <c r="F805" i="1"/>
  <c r="K867" i="1"/>
  <c r="J867" i="1"/>
  <c r="F572" i="1"/>
  <c r="E572" i="1"/>
  <c r="H676" i="1"/>
  <c r="I676" i="1" s="1"/>
  <c r="J290" i="1"/>
  <c r="K290" i="1"/>
  <c r="F792" i="1"/>
  <c r="O548" i="1"/>
  <c r="F171" i="1"/>
  <c r="F188" i="1"/>
  <c r="F466" i="1"/>
  <c r="E235" i="1"/>
  <c r="J376" i="1"/>
  <c r="K376" i="1"/>
  <c r="E863" i="1"/>
  <c r="F863" i="1"/>
  <c r="F675" i="1"/>
  <c r="E675" i="1"/>
  <c r="E96" i="1"/>
  <c r="F96" i="1"/>
  <c r="F513" i="1"/>
  <c r="E513" i="1"/>
  <c r="E689" i="1"/>
  <c r="F689" i="1"/>
  <c r="K829" i="1"/>
  <c r="J829" i="1"/>
  <c r="K753" i="1"/>
  <c r="J753" i="1"/>
  <c r="F987" i="1"/>
  <c r="O877" i="1"/>
  <c r="P295" i="1"/>
  <c r="O406" i="1"/>
  <c r="F362" i="1"/>
  <c r="F252" i="1"/>
  <c r="L318" i="1"/>
  <c r="M318" i="1" s="1"/>
  <c r="N318" i="1" s="1"/>
  <c r="O318" i="1" s="1"/>
  <c r="K540" i="1"/>
  <c r="J670" i="1"/>
  <c r="F813" i="1"/>
  <c r="E798" i="1"/>
  <c r="F999" i="1"/>
  <c r="O332" i="1"/>
  <c r="O898" i="1"/>
  <c r="E556" i="1"/>
  <c r="K278" i="1"/>
  <c r="K487" i="1"/>
  <c r="F68" i="1"/>
  <c r="F877" i="1"/>
  <c r="E877" i="1"/>
  <c r="J538" i="1"/>
  <c r="K538" i="1"/>
  <c r="E24" i="1"/>
  <c r="F24" i="1"/>
  <c r="F32" i="1"/>
  <c r="E32" i="1"/>
  <c r="H355" i="1"/>
  <c r="I355" i="1" s="1"/>
  <c r="O893" i="1"/>
  <c r="E499" i="1"/>
  <c r="F376" i="1"/>
  <c r="E376" i="1"/>
  <c r="H580" i="1"/>
  <c r="I580" i="1" s="1"/>
  <c r="L580" i="1"/>
  <c r="M580" i="1" s="1"/>
  <c r="N580" i="1" s="1"/>
  <c r="E532" i="1"/>
  <c r="F532" i="1"/>
  <c r="E894" i="1"/>
  <c r="F894" i="1"/>
  <c r="E621" i="1"/>
  <c r="F352" i="1"/>
  <c r="E309" i="1"/>
  <c r="F318" i="1"/>
  <c r="K408" i="1"/>
  <c r="P391" i="1"/>
  <c r="J533" i="1"/>
  <c r="F528" i="1"/>
  <c r="F631" i="1"/>
  <c r="F638" i="1"/>
  <c r="F719" i="1"/>
  <c r="K612" i="1"/>
  <c r="E700" i="1"/>
  <c r="F821" i="1"/>
  <c r="J768" i="1"/>
  <c r="F799" i="1"/>
  <c r="F884" i="1"/>
  <c r="O860" i="1"/>
  <c r="P904" i="1"/>
  <c r="P897" i="1"/>
  <c r="P925" i="1"/>
  <c r="P999" i="1"/>
  <c r="P524" i="1"/>
  <c r="P99" i="1"/>
  <c r="P553" i="1"/>
  <c r="F327" i="1"/>
  <c r="F130" i="1"/>
  <c r="E759" i="1"/>
  <c r="K519" i="1"/>
  <c r="E312" i="1"/>
  <c r="E585" i="1"/>
  <c r="K512" i="1"/>
  <c r="F243" i="1"/>
  <c r="F122" i="1"/>
  <c r="E193" i="1"/>
  <c r="E755" i="1"/>
  <c r="F916" i="1"/>
  <c r="E410" i="1"/>
  <c r="F410" i="1"/>
  <c r="E756" i="1"/>
  <c r="F756" i="1"/>
  <c r="F540" i="1"/>
  <c r="E540" i="1"/>
  <c r="F617" i="1"/>
  <c r="E617" i="1"/>
  <c r="F812" i="1"/>
  <c r="E812" i="1"/>
  <c r="J34" i="1"/>
  <c r="J27" i="1"/>
  <c r="K136" i="1"/>
  <c r="F262" i="1"/>
  <c r="P240" i="1"/>
  <c r="K148" i="1"/>
  <c r="F269" i="1"/>
  <c r="E278" i="1"/>
  <c r="F534" i="1"/>
  <c r="E661" i="1"/>
  <c r="P707" i="1"/>
  <c r="K738" i="1"/>
  <c r="F731" i="1"/>
  <c r="F766" i="1"/>
  <c r="F808" i="1"/>
  <c r="K760" i="1"/>
  <c r="F954" i="1"/>
  <c r="E978" i="1"/>
  <c r="P760" i="1"/>
  <c r="E707" i="1"/>
  <c r="K536" i="1"/>
  <c r="E176" i="1"/>
  <c r="H99" i="1"/>
  <c r="I99" i="1" s="1"/>
  <c r="E195" i="1"/>
  <c r="F195" i="1"/>
  <c r="H112" i="1"/>
  <c r="I112" i="1" s="1"/>
  <c r="L112" i="1"/>
  <c r="M112" i="1" s="1"/>
  <c r="N112" i="1" s="1"/>
  <c r="K407" i="1"/>
  <c r="J407" i="1"/>
  <c r="F885" i="1"/>
  <c r="E885" i="1"/>
  <c r="E757" i="1"/>
  <c r="F757" i="1"/>
  <c r="F794" i="1"/>
  <c r="E794" i="1"/>
  <c r="J385" i="1"/>
  <c r="P594" i="1"/>
  <c r="K615" i="1"/>
  <c r="K568" i="1"/>
  <c r="F547" i="1"/>
  <c r="P596" i="1"/>
  <c r="P701" i="1"/>
  <c r="K770" i="1"/>
  <c r="P759" i="1"/>
  <c r="P644" i="1"/>
  <c r="F902" i="1"/>
  <c r="F969" i="1"/>
  <c r="J990" i="1"/>
  <c r="O93" i="1"/>
  <c r="F290" i="1"/>
  <c r="K347" i="1"/>
  <c r="F348" i="1"/>
  <c r="E448" i="1"/>
  <c r="F507" i="1"/>
  <c r="E342" i="1"/>
  <c r="F626" i="1"/>
  <c r="F153" i="1"/>
  <c r="K240" i="1"/>
  <c r="F383" i="1"/>
  <c r="F50" i="1"/>
  <c r="J277" i="1"/>
  <c r="K277" i="1"/>
  <c r="F48" i="1"/>
  <c r="E48" i="1"/>
  <c r="F651" i="1"/>
  <c r="E651" i="1"/>
  <c r="E801" i="1"/>
  <c r="F801" i="1"/>
  <c r="E70" i="1"/>
  <c r="F70" i="1"/>
  <c r="P28" i="1"/>
  <c r="F145" i="1"/>
  <c r="P324" i="1"/>
  <c r="O327" i="1"/>
  <c r="F444" i="1"/>
  <c r="F563" i="1"/>
  <c r="P710" i="1"/>
  <c r="P726" i="1"/>
  <c r="O836" i="1"/>
  <c r="O631" i="1"/>
  <c r="K873" i="1"/>
  <c r="E998" i="1"/>
  <c r="P933" i="1"/>
  <c r="O371" i="1"/>
  <c r="P171" i="1"/>
  <c r="K135" i="1"/>
  <c r="J898" i="1"/>
  <c r="F690" i="1"/>
  <c r="F474" i="1"/>
  <c r="F279" i="1"/>
  <c r="J332" i="1"/>
  <c r="K332" i="1"/>
  <c r="E445" i="1"/>
  <c r="F445" i="1"/>
  <c r="E986" i="1"/>
  <c r="F986" i="1"/>
  <c r="E218" i="1"/>
  <c r="F218" i="1"/>
  <c r="O45" i="1"/>
  <c r="J56" i="1"/>
  <c r="K77" i="1"/>
  <c r="F632" i="1"/>
  <c r="K785" i="1"/>
  <c r="P888" i="1"/>
  <c r="O852" i="1"/>
  <c r="F909" i="1"/>
  <c r="P802" i="1"/>
  <c r="P420" i="1"/>
  <c r="E420" i="1"/>
  <c r="F330" i="1"/>
  <c r="H171" i="1"/>
  <c r="I171" i="1" s="1"/>
  <c r="K171" i="1" s="1"/>
  <c r="E574" i="1"/>
  <c r="F773" i="1"/>
  <c r="F321" i="1"/>
  <c r="E321" i="1"/>
  <c r="F386" i="1"/>
  <c r="E386" i="1"/>
  <c r="J463" i="1"/>
  <c r="K463" i="1"/>
  <c r="E329" i="1"/>
  <c r="F329" i="1"/>
  <c r="E609" i="1"/>
  <c r="F609" i="1"/>
  <c r="E879" i="1"/>
  <c r="F879" i="1"/>
  <c r="J201" i="1"/>
  <c r="K201" i="1"/>
  <c r="K578" i="1"/>
  <c r="J578" i="1"/>
  <c r="P342" i="1"/>
  <c r="K175" i="1"/>
  <c r="J175" i="1"/>
  <c r="O392" i="1"/>
  <c r="J386" i="1"/>
  <c r="O988" i="1"/>
  <c r="K317" i="1"/>
  <c r="J317" i="1"/>
  <c r="K220" i="1"/>
  <c r="J220" i="1"/>
  <c r="K596" i="1"/>
  <c r="J596" i="1"/>
  <c r="J746" i="1"/>
  <c r="K746" i="1"/>
  <c r="O317" i="1"/>
  <c r="K511" i="1"/>
  <c r="J511" i="1"/>
  <c r="J881" i="1"/>
  <c r="K881" i="1"/>
  <c r="J520" i="1"/>
  <c r="K520" i="1"/>
  <c r="K107" i="1"/>
  <c r="J107" i="1"/>
  <c r="P445" i="1"/>
  <c r="K236" i="1"/>
  <c r="J236" i="1"/>
  <c r="K594" i="1"/>
  <c r="J594" i="1"/>
  <c r="J686" i="1"/>
  <c r="O794" i="1"/>
  <c r="P816" i="1"/>
  <c r="O585" i="1"/>
  <c r="J581" i="1"/>
  <c r="K581" i="1"/>
  <c r="P430" i="1"/>
  <c r="K930" i="1"/>
  <c r="J597" i="1"/>
  <c r="K597" i="1"/>
  <c r="J54" i="1"/>
  <c r="K54" i="1"/>
  <c r="P143" i="1"/>
  <c r="P191" i="1"/>
  <c r="P670" i="1"/>
  <c r="P875" i="1"/>
  <c r="K401" i="1"/>
  <c r="J401" i="1"/>
  <c r="K537" i="1"/>
  <c r="J537" i="1"/>
  <c r="J57" i="1"/>
  <c r="K57" i="1"/>
  <c r="K445" i="1"/>
  <c r="J445" i="1"/>
  <c r="K875" i="1"/>
  <c r="J156" i="1"/>
  <c r="K156" i="1"/>
  <c r="P780" i="1"/>
  <c r="O250" i="1"/>
  <c r="J879" i="1"/>
  <c r="O17" i="1"/>
  <c r="K206" i="1"/>
  <c r="J206" i="1"/>
  <c r="J762" i="1"/>
  <c r="K762" i="1"/>
  <c r="K229" i="1"/>
  <c r="K706" i="1"/>
  <c r="K702" i="1"/>
  <c r="K356" i="1"/>
  <c r="J356" i="1"/>
  <c r="E283" i="1"/>
  <c r="F283" i="1"/>
  <c r="P431" i="1"/>
  <c r="O431" i="1"/>
  <c r="O555" i="1"/>
  <c r="P555" i="1"/>
  <c r="E604" i="1"/>
  <c r="F604" i="1"/>
  <c r="J622" i="1"/>
  <c r="K622" i="1"/>
  <c r="E710" i="1"/>
  <c r="F710" i="1"/>
  <c r="O653" i="1"/>
  <c r="P653" i="1"/>
  <c r="J719" i="1"/>
  <c r="K719" i="1"/>
  <c r="F791" i="1"/>
  <c r="E791" i="1"/>
  <c r="L774" i="1"/>
  <c r="M774" i="1" s="1"/>
  <c r="N774" i="1" s="1"/>
  <c r="H774" i="1"/>
  <c r="I774" i="1" s="1"/>
  <c r="O695" i="1"/>
  <c r="P695" i="1"/>
  <c r="L765" i="1"/>
  <c r="M765" i="1" s="1"/>
  <c r="N765" i="1" s="1"/>
  <c r="H765" i="1"/>
  <c r="I765" i="1" s="1"/>
  <c r="E869" i="1"/>
  <c r="F869" i="1"/>
  <c r="E889" i="1"/>
  <c r="F889" i="1"/>
  <c r="J835" i="1"/>
  <c r="K835" i="1"/>
  <c r="O996" i="1"/>
  <c r="P996" i="1"/>
  <c r="O874" i="1"/>
  <c r="P874" i="1"/>
  <c r="J844" i="1"/>
  <c r="K844" i="1"/>
  <c r="J138" i="1"/>
  <c r="K138" i="1"/>
  <c r="O120" i="1"/>
  <c r="P120" i="1"/>
  <c r="O168" i="1"/>
  <c r="P168" i="1"/>
  <c r="P170" i="1"/>
  <c r="O170" i="1"/>
  <c r="J117" i="1"/>
  <c r="K117" i="1"/>
  <c r="E125" i="1"/>
  <c r="F125" i="1"/>
  <c r="E167" i="1"/>
  <c r="F167" i="1"/>
  <c r="E151" i="1"/>
  <c r="F151" i="1"/>
  <c r="J154" i="1"/>
  <c r="K154" i="1"/>
  <c r="O284" i="1"/>
  <c r="P284" i="1"/>
  <c r="E165" i="1"/>
  <c r="F165" i="1"/>
  <c r="J328" i="1"/>
  <c r="K328" i="1"/>
  <c r="L283" i="1"/>
  <c r="M283" i="1" s="1"/>
  <c r="N283" i="1" s="1"/>
  <c r="H283" i="1"/>
  <c r="I283" i="1" s="1"/>
  <c r="H256" i="1"/>
  <c r="I256" i="1" s="1"/>
  <c r="L256" i="1"/>
  <c r="M256" i="1" s="1"/>
  <c r="N256" i="1" s="1"/>
  <c r="E268" i="1"/>
  <c r="F268" i="1"/>
  <c r="E341" i="1"/>
  <c r="F341" i="1"/>
  <c r="F377" i="1"/>
  <c r="E377" i="1"/>
  <c r="P288" i="1"/>
  <c r="O288" i="1"/>
  <c r="L247" i="1"/>
  <c r="M247" i="1" s="1"/>
  <c r="N247" i="1" s="1"/>
  <c r="H247" i="1"/>
  <c r="I247" i="1" s="1"/>
  <c r="O398" i="1"/>
  <c r="P398" i="1"/>
  <c r="F286" i="1"/>
  <c r="E286" i="1"/>
  <c r="J281" i="1"/>
  <c r="K281" i="1"/>
  <c r="K368" i="1"/>
  <c r="J368" i="1"/>
  <c r="E438" i="1"/>
  <c r="F438" i="1"/>
  <c r="E393" i="1"/>
  <c r="F393" i="1"/>
  <c r="H436" i="1"/>
  <c r="I436" i="1" s="1"/>
  <c r="L436" i="1"/>
  <c r="M436" i="1" s="1"/>
  <c r="N436" i="1" s="1"/>
  <c r="L434" i="1"/>
  <c r="M434" i="1" s="1"/>
  <c r="N434" i="1" s="1"/>
  <c r="H434" i="1"/>
  <c r="I434" i="1" s="1"/>
  <c r="O470" i="1"/>
  <c r="P470" i="1"/>
  <c r="F505" i="1"/>
  <c r="E505" i="1"/>
  <c r="J431" i="1"/>
  <c r="K431" i="1"/>
  <c r="O563" i="1"/>
  <c r="P563" i="1"/>
  <c r="O587" i="1"/>
  <c r="P587" i="1"/>
  <c r="O516" i="1"/>
  <c r="P516" i="1"/>
  <c r="O364" i="1"/>
  <c r="P364" i="1"/>
  <c r="J498" i="1"/>
  <c r="K498" i="1"/>
  <c r="J555" i="1"/>
  <c r="K555" i="1"/>
  <c r="E678" i="1"/>
  <c r="F678" i="1"/>
  <c r="H456" i="1"/>
  <c r="I456" i="1" s="1"/>
  <c r="L456" i="1"/>
  <c r="M456" i="1" s="1"/>
  <c r="N456" i="1" s="1"/>
  <c r="H604" i="1"/>
  <c r="I604" i="1" s="1"/>
  <c r="L604" i="1"/>
  <c r="M604" i="1" s="1"/>
  <c r="N604" i="1" s="1"/>
  <c r="J605" i="1"/>
  <c r="K605" i="1"/>
  <c r="O606" i="1"/>
  <c r="P606" i="1"/>
  <c r="H521" i="1"/>
  <c r="I521" i="1" s="1"/>
  <c r="L521" i="1"/>
  <c r="M521" i="1" s="1"/>
  <c r="N521" i="1" s="1"/>
  <c r="J624" i="1"/>
  <c r="K624" i="1"/>
  <c r="J737" i="1"/>
  <c r="K737" i="1"/>
  <c r="O711" i="1"/>
  <c r="P711" i="1"/>
  <c r="O728" i="1"/>
  <c r="P728" i="1"/>
  <c r="O750" i="1"/>
  <c r="P750" i="1"/>
  <c r="L806" i="1"/>
  <c r="M806" i="1" s="1"/>
  <c r="N806" i="1" s="1"/>
  <c r="H806" i="1"/>
  <c r="I806" i="1" s="1"/>
  <c r="J703" i="1"/>
  <c r="K703" i="1"/>
  <c r="H724" i="1"/>
  <c r="I724" i="1" s="1"/>
  <c r="L724" i="1"/>
  <c r="M724" i="1" s="1"/>
  <c r="N724" i="1" s="1"/>
  <c r="J695" i="1"/>
  <c r="K695" i="1"/>
  <c r="K771" i="1"/>
  <c r="J771" i="1"/>
  <c r="H814" i="1"/>
  <c r="I814" i="1" s="1"/>
  <c r="L814" i="1"/>
  <c r="M814" i="1" s="1"/>
  <c r="N814" i="1" s="1"/>
  <c r="L1001" i="1"/>
  <c r="M1001" i="1" s="1"/>
  <c r="N1001" i="1" s="1"/>
  <c r="H1001" i="1"/>
  <c r="I1001" i="1" s="1"/>
  <c r="O851" i="1"/>
  <c r="P851" i="1"/>
  <c r="O928" i="1"/>
  <c r="P928" i="1"/>
  <c r="E891" i="1"/>
  <c r="F891" i="1"/>
  <c r="J862" i="1"/>
  <c r="K862" i="1"/>
  <c r="P952" i="1"/>
  <c r="O952" i="1"/>
  <c r="J980" i="1"/>
  <c r="K980" i="1"/>
  <c r="O941" i="1"/>
  <c r="P941" i="1"/>
  <c r="L995" i="1"/>
  <c r="M995" i="1" s="1"/>
  <c r="N995" i="1" s="1"/>
  <c r="H995" i="1"/>
  <c r="I995" i="1" s="1"/>
  <c r="J874" i="1"/>
  <c r="K874" i="1"/>
  <c r="O844" i="1"/>
  <c r="P844" i="1"/>
  <c r="O929" i="1"/>
  <c r="P929" i="1"/>
  <c r="O255" i="1"/>
  <c r="P255" i="1"/>
  <c r="O368" i="1"/>
  <c r="P368" i="1"/>
  <c r="F434" i="1"/>
  <c r="E434" i="1"/>
  <c r="H678" i="1"/>
  <c r="I678" i="1" s="1"/>
  <c r="L678" i="1"/>
  <c r="M678" i="1" s="1"/>
  <c r="N678" i="1" s="1"/>
  <c r="P280" i="1"/>
  <c r="O280" i="1"/>
  <c r="J288" i="1"/>
  <c r="K288" i="1"/>
  <c r="J398" i="1"/>
  <c r="K398" i="1"/>
  <c r="E310" i="1"/>
  <c r="F310" i="1"/>
  <c r="P281" i="1"/>
  <c r="O281" i="1"/>
  <c r="E357" i="1"/>
  <c r="F357" i="1"/>
  <c r="L438" i="1"/>
  <c r="M438" i="1" s="1"/>
  <c r="N438" i="1" s="1"/>
  <c r="H438" i="1"/>
  <c r="I438" i="1" s="1"/>
  <c r="J388" i="1"/>
  <c r="K388" i="1"/>
  <c r="O427" i="1"/>
  <c r="P427" i="1"/>
  <c r="H446" i="1"/>
  <c r="I446" i="1" s="1"/>
  <c r="L446" i="1"/>
  <c r="M446" i="1" s="1"/>
  <c r="N446" i="1" s="1"/>
  <c r="H517" i="1"/>
  <c r="I517" i="1" s="1"/>
  <c r="L517" i="1"/>
  <c r="M517" i="1" s="1"/>
  <c r="N517" i="1" s="1"/>
  <c r="O349" i="1"/>
  <c r="P349" i="1"/>
  <c r="L502" i="1"/>
  <c r="M502" i="1" s="1"/>
  <c r="N502" i="1" s="1"/>
  <c r="H502" i="1"/>
  <c r="I502" i="1" s="1"/>
  <c r="J468" i="1"/>
  <c r="K468" i="1"/>
  <c r="O471" i="1"/>
  <c r="P471" i="1"/>
  <c r="F568" i="1"/>
  <c r="E568" i="1"/>
  <c r="H598" i="1"/>
  <c r="I598" i="1" s="1"/>
  <c r="L598" i="1"/>
  <c r="M598" i="1" s="1"/>
  <c r="N598" i="1" s="1"/>
  <c r="O533" i="1"/>
  <c r="P533" i="1"/>
  <c r="J364" i="1"/>
  <c r="K364" i="1"/>
  <c r="O574" i="1"/>
  <c r="P574" i="1"/>
  <c r="F527" i="1"/>
  <c r="E527" i="1"/>
  <c r="E636" i="1"/>
  <c r="F636" i="1"/>
  <c r="H523" i="1"/>
  <c r="I523" i="1" s="1"/>
  <c r="L523" i="1"/>
  <c r="M523" i="1" s="1"/>
  <c r="N523" i="1" s="1"/>
  <c r="E456" i="1"/>
  <c r="F456" i="1"/>
  <c r="P623" i="1"/>
  <c r="O623" i="1"/>
  <c r="O560" i="1"/>
  <c r="P560" i="1"/>
  <c r="H662" i="1"/>
  <c r="I662" i="1" s="1"/>
  <c r="L662" i="1"/>
  <c r="M662" i="1" s="1"/>
  <c r="N662" i="1" s="1"/>
  <c r="J606" i="1"/>
  <c r="K606" i="1"/>
  <c r="E664" i="1"/>
  <c r="F664" i="1"/>
  <c r="O667" i="1"/>
  <c r="P667" i="1"/>
  <c r="E726" i="1"/>
  <c r="F726" i="1"/>
  <c r="L804" i="1"/>
  <c r="M804" i="1" s="1"/>
  <c r="N804" i="1" s="1"/>
  <c r="H804" i="1"/>
  <c r="I804" i="1" s="1"/>
  <c r="J711" i="1"/>
  <c r="K711" i="1"/>
  <c r="K728" i="1"/>
  <c r="J728" i="1"/>
  <c r="O712" i="1"/>
  <c r="P712" i="1"/>
  <c r="O761" i="1"/>
  <c r="P761" i="1"/>
  <c r="E724" i="1"/>
  <c r="F724" i="1"/>
  <c r="J749" i="1"/>
  <c r="K749" i="1"/>
  <c r="E793" i="1"/>
  <c r="F793" i="1"/>
  <c r="F814" i="1"/>
  <c r="E814" i="1"/>
  <c r="E905" i="1"/>
  <c r="F905" i="1"/>
  <c r="P1006" i="1"/>
  <c r="O1006" i="1"/>
  <c r="J851" i="1"/>
  <c r="K851" i="1"/>
  <c r="H934" i="1"/>
  <c r="I934" i="1" s="1"/>
  <c r="L934" i="1"/>
  <c r="M934" i="1" s="1"/>
  <c r="N934" i="1" s="1"/>
  <c r="O902" i="1"/>
  <c r="P902" i="1"/>
  <c r="P862" i="1"/>
  <c r="O862" i="1"/>
  <c r="E959" i="1"/>
  <c r="F959" i="1"/>
  <c r="O980" i="1"/>
  <c r="P980" i="1"/>
  <c r="H998" i="1"/>
  <c r="I998" i="1" s="1"/>
  <c r="L998" i="1"/>
  <c r="M998" i="1" s="1"/>
  <c r="N998" i="1" s="1"/>
  <c r="J941" i="1"/>
  <c r="K941" i="1"/>
  <c r="E859" i="1"/>
  <c r="F859" i="1"/>
  <c r="E995" i="1"/>
  <c r="F995" i="1"/>
  <c r="L993" i="1"/>
  <c r="M993" i="1" s="1"/>
  <c r="N993" i="1" s="1"/>
  <c r="H993" i="1"/>
  <c r="I993" i="1" s="1"/>
  <c r="E1005" i="1"/>
  <c r="F1005" i="1"/>
  <c r="J929" i="1"/>
  <c r="K929" i="1"/>
  <c r="H939" i="1"/>
  <c r="I939" i="1" s="1"/>
  <c r="L939" i="1"/>
  <c r="M939" i="1" s="1"/>
  <c r="N939" i="1" s="1"/>
  <c r="L125" i="1"/>
  <c r="M125" i="1" s="1"/>
  <c r="N125" i="1" s="1"/>
  <c r="H125" i="1"/>
  <c r="I125" i="1" s="1"/>
  <c r="E260" i="1"/>
  <c r="F260" i="1"/>
  <c r="J280" i="1"/>
  <c r="K280" i="1"/>
  <c r="H310" i="1"/>
  <c r="I310" i="1" s="1"/>
  <c r="L310" i="1"/>
  <c r="M310" i="1" s="1"/>
  <c r="N310" i="1" s="1"/>
  <c r="L179" i="1"/>
  <c r="M179" i="1" s="1"/>
  <c r="N179" i="1" s="1"/>
  <c r="H179" i="1"/>
  <c r="I179" i="1" s="1"/>
  <c r="P414" i="1"/>
  <c r="O414" i="1"/>
  <c r="L357" i="1"/>
  <c r="M357" i="1" s="1"/>
  <c r="N357" i="1" s="1"/>
  <c r="H357" i="1"/>
  <c r="I357" i="1" s="1"/>
  <c r="O464" i="1"/>
  <c r="P464" i="1"/>
  <c r="O388" i="1"/>
  <c r="P388" i="1"/>
  <c r="K427" i="1"/>
  <c r="J427" i="1"/>
  <c r="E446" i="1"/>
  <c r="F446" i="1"/>
  <c r="J418" i="1"/>
  <c r="K418" i="1"/>
  <c r="K349" i="1"/>
  <c r="J349" i="1"/>
  <c r="F520" i="1"/>
  <c r="E520" i="1"/>
  <c r="O468" i="1"/>
  <c r="P468" i="1"/>
  <c r="J471" i="1"/>
  <c r="K471" i="1"/>
  <c r="O603" i="1"/>
  <c r="P603" i="1"/>
  <c r="J574" i="1"/>
  <c r="K574" i="1"/>
  <c r="O584" i="1"/>
  <c r="P584" i="1"/>
  <c r="L527" i="1"/>
  <c r="M527" i="1" s="1"/>
  <c r="N527" i="1" s="1"/>
  <c r="H527" i="1"/>
  <c r="I527" i="1" s="1"/>
  <c r="H636" i="1"/>
  <c r="I636" i="1" s="1"/>
  <c r="L636" i="1"/>
  <c r="M636" i="1" s="1"/>
  <c r="N636" i="1" s="1"/>
  <c r="E523" i="1"/>
  <c r="F523" i="1"/>
  <c r="P671" i="1"/>
  <c r="O671" i="1"/>
  <c r="J623" i="1"/>
  <c r="K623" i="1"/>
  <c r="J560" i="1"/>
  <c r="K560" i="1"/>
  <c r="E662" i="1"/>
  <c r="F662" i="1"/>
  <c r="J667" i="1"/>
  <c r="K667" i="1"/>
  <c r="J731" i="1"/>
  <c r="K731" i="1"/>
  <c r="H811" i="1"/>
  <c r="I811" i="1" s="1"/>
  <c r="L811" i="1"/>
  <c r="M811" i="1" s="1"/>
  <c r="N811" i="1" s="1"/>
  <c r="P739" i="1"/>
  <c r="O739" i="1"/>
  <c r="K712" i="1"/>
  <c r="J712" i="1"/>
  <c r="H766" i="1"/>
  <c r="I766" i="1" s="1"/>
  <c r="L766" i="1"/>
  <c r="M766" i="1" s="1"/>
  <c r="N766" i="1" s="1"/>
  <c r="O729" i="1"/>
  <c r="P729" i="1"/>
  <c r="P749" i="1"/>
  <c r="O749" i="1"/>
  <c r="O809" i="1"/>
  <c r="P809" i="1"/>
  <c r="J790" i="1"/>
  <c r="K790" i="1"/>
  <c r="L822" i="1"/>
  <c r="M822" i="1" s="1"/>
  <c r="N822" i="1" s="1"/>
  <c r="H822" i="1"/>
  <c r="I822" i="1" s="1"/>
  <c r="P900" i="1"/>
  <c r="O900" i="1"/>
  <c r="O842" i="1"/>
  <c r="P842" i="1"/>
  <c r="O855" i="1"/>
  <c r="P855" i="1"/>
  <c r="H950" i="1"/>
  <c r="I950" i="1" s="1"/>
  <c r="L950" i="1"/>
  <c r="M950" i="1" s="1"/>
  <c r="N950" i="1" s="1"/>
  <c r="O909" i="1"/>
  <c r="P909" i="1"/>
  <c r="L963" i="1"/>
  <c r="M963" i="1" s="1"/>
  <c r="N963" i="1" s="1"/>
  <c r="H963" i="1"/>
  <c r="I963" i="1" s="1"/>
  <c r="F872" i="1"/>
  <c r="E872" i="1"/>
  <c r="H789" i="1"/>
  <c r="I789" i="1" s="1"/>
  <c r="L789" i="1"/>
  <c r="M789" i="1" s="1"/>
  <c r="N789" i="1" s="1"/>
  <c r="L859" i="1"/>
  <c r="M859" i="1" s="1"/>
  <c r="N859" i="1" s="1"/>
  <c r="H859" i="1"/>
  <c r="I859" i="1" s="1"/>
  <c r="J978" i="1"/>
  <c r="K978" i="1"/>
  <c r="E993" i="1"/>
  <c r="F993" i="1"/>
  <c r="F1007" i="1"/>
  <c r="E1007" i="1"/>
  <c r="E939" i="1"/>
  <c r="F939" i="1"/>
  <c r="O321" i="1"/>
  <c r="P321" i="1"/>
  <c r="E436" i="1"/>
  <c r="F436" i="1"/>
  <c r="L260" i="1"/>
  <c r="M260" i="1" s="1"/>
  <c r="N260" i="1" s="1"/>
  <c r="H260" i="1"/>
  <c r="I260" i="1" s="1"/>
  <c r="L214" i="1"/>
  <c r="M214" i="1" s="1"/>
  <c r="N214" i="1" s="1"/>
  <c r="H214" i="1"/>
  <c r="I214" i="1" s="1"/>
  <c r="E264" i="1"/>
  <c r="F264" i="1"/>
  <c r="P273" i="1"/>
  <c r="O273" i="1"/>
  <c r="O258" i="1"/>
  <c r="P258" i="1"/>
  <c r="O329" i="1"/>
  <c r="P329" i="1"/>
  <c r="E179" i="1"/>
  <c r="F179" i="1"/>
  <c r="J414" i="1"/>
  <c r="K414" i="1"/>
  <c r="L387" i="1"/>
  <c r="M387" i="1" s="1"/>
  <c r="N387" i="1" s="1"/>
  <c r="H387" i="1"/>
  <c r="I387" i="1" s="1"/>
  <c r="O415" i="1"/>
  <c r="P415" i="1"/>
  <c r="P418" i="1"/>
  <c r="O418" i="1"/>
  <c r="F396" i="1"/>
  <c r="E396" i="1"/>
  <c r="L402" i="1"/>
  <c r="M402" i="1" s="1"/>
  <c r="N402" i="1" s="1"/>
  <c r="H402" i="1"/>
  <c r="I402" i="1" s="1"/>
  <c r="H473" i="1"/>
  <c r="I473" i="1" s="1"/>
  <c r="L473" i="1"/>
  <c r="M473" i="1" s="1"/>
  <c r="N473" i="1" s="1"/>
  <c r="L525" i="1"/>
  <c r="M525" i="1" s="1"/>
  <c r="N525" i="1" s="1"/>
  <c r="H525" i="1"/>
  <c r="I525" i="1" s="1"/>
  <c r="H479" i="1"/>
  <c r="I479" i="1" s="1"/>
  <c r="L479" i="1"/>
  <c r="M479" i="1" s="1"/>
  <c r="N479" i="1" s="1"/>
  <c r="L509" i="1"/>
  <c r="M509" i="1" s="1"/>
  <c r="N509" i="1" s="1"/>
  <c r="H509" i="1"/>
  <c r="I509" i="1" s="1"/>
  <c r="H614" i="1"/>
  <c r="I614" i="1" s="1"/>
  <c r="L614" i="1"/>
  <c r="M614" i="1" s="1"/>
  <c r="N614" i="1" s="1"/>
  <c r="H565" i="1"/>
  <c r="I565" i="1" s="1"/>
  <c r="L565" i="1"/>
  <c r="M565" i="1" s="1"/>
  <c r="N565" i="1" s="1"/>
  <c r="J584" i="1"/>
  <c r="K584" i="1"/>
  <c r="H492" i="1"/>
  <c r="I492" i="1" s="1"/>
  <c r="L492" i="1"/>
  <c r="M492" i="1" s="1"/>
  <c r="N492" i="1" s="1"/>
  <c r="K610" i="1"/>
  <c r="J610" i="1"/>
  <c r="J671" i="1"/>
  <c r="K671" i="1"/>
  <c r="O674" i="1"/>
  <c r="P674" i="1"/>
  <c r="E672" i="1"/>
  <c r="F672" i="1"/>
  <c r="O638" i="1"/>
  <c r="P638" i="1"/>
  <c r="P570" i="1"/>
  <c r="O570" i="1"/>
  <c r="O544" i="1"/>
  <c r="P544" i="1"/>
  <c r="L772" i="1"/>
  <c r="M772" i="1" s="1"/>
  <c r="N772" i="1" s="1"/>
  <c r="H772" i="1"/>
  <c r="I772" i="1" s="1"/>
  <c r="J729" i="1"/>
  <c r="K729" i="1"/>
  <c r="P769" i="1"/>
  <c r="O769" i="1"/>
  <c r="O693" i="1"/>
  <c r="P693" i="1"/>
  <c r="E822" i="1"/>
  <c r="F822" i="1"/>
  <c r="O907" i="1"/>
  <c r="P907" i="1"/>
  <c r="O709" i="1"/>
  <c r="P709" i="1"/>
  <c r="P923" i="1"/>
  <c r="O923" i="1"/>
  <c r="J842" i="1"/>
  <c r="K842" i="1"/>
  <c r="J855" i="1"/>
  <c r="K855" i="1"/>
  <c r="H966" i="1"/>
  <c r="I966" i="1" s="1"/>
  <c r="L966" i="1"/>
  <c r="M966" i="1" s="1"/>
  <c r="N966" i="1" s="1"/>
  <c r="J964" i="1"/>
  <c r="K964" i="1"/>
  <c r="L880" i="1"/>
  <c r="M880" i="1" s="1"/>
  <c r="N880" i="1" s="1"/>
  <c r="H880" i="1"/>
  <c r="I880" i="1" s="1"/>
  <c r="E789" i="1"/>
  <c r="F789" i="1"/>
  <c r="O959" i="1"/>
  <c r="P959" i="1"/>
  <c r="O978" i="1"/>
  <c r="P978" i="1"/>
  <c r="O924" i="1"/>
  <c r="P924" i="1"/>
  <c r="H1007" i="1"/>
  <c r="I1007" i="1" s="1"/>
  <c r="L1007" i="1"/>
  <c r="M1007" i="1" s="1"/>
  <c r="N1007" i="1" s="1"/>
  <c r="H286" i="1"/>
  <c r="I286" i="1" s="1"/>
  <c r="L286" i="1"/>
  <c r="M286" i="1" s="1"/>
  <c r="N286" i="1" s="1"/>
  <c r="K284" i="1"/>
  <c r="J284" i="1"/>
  <c r="E174" i="1"/>
  <c r="F174" i="1"/>
  <c r="J258" i="1"/>
  <c r="K258" i="1"/>
  <c r="K329" i="1"/>
  <c r="J329" i="1"/>
  <c r="J415" i="1"/>
  <c r="K415" i="1"/>
  <c r="H426" i="1"/>
  <c r="I426" i="1" s="1"/>
  <c r="L426" i="1"/>
  <c r="M426" i="1" s="1"/>
  <c r="N426" i="1" s="1"/>
  <c r="H396" i="1"/>
  <c r="I396" i="1" s="1"/>
  <c r="L396" i="1"/>
  <c r="M396" i="1" s="1"/>
  <c r="N396" i="1" s="1"/>
  <c r="O450" i="1"/>
  <c r="P450" i="1"/>
  <c r="E525" i="1"/>
  <c r="F525" i="1"/>
  <c r="F479" i="1"/>
  <c r="E479" i="1"/>
  <c r="E509" i="1"/>
  <c r="F509" i="1"/>
  <c r="O619" i="1"/>
  <c r="P619" i="1"/>
  <c r="J411" i="1"/>
  <c r="K411" i="1"/>
  <c r="E492" i="1"/>
  <c r="F492" i="1"/>
  <c r="O575" i="1"/>
  <c r="P575" i="1"/>
  <c r="O658" i="1"/>
  <c r="P658" i="1"/>
  <c r="O637" i="1"/>
  <c r="P637" i="1"/>
  <c r="H618" i="1"/>
  <c r="I618" i="1" s="1"/>
  <c r="L618" i="1"/>
  <c r="M618" i="1" s="1"/>
  <c r="N618" i="1" s="1"/>
  <c r="E686" i="1"/>
  <c r="F686" i="1"/>
  <c r="K638" i="1"/>
  <c r="J638" i="1"/>
  <c r="J570" i="1"/>
  <c r="K570" i="1"/>
  <c r="J544" i="1"/>
  <c r="K544" i="1"/>
  <c r="H745" i="1"/>
  <c r="I745" i="1" s="1"/>
  <c r="L745" i="1"/>
  <c r="M745" i="1" s="1"/>
  <c r="N745" i="1" s="1"/>
  <c r="O799" i="1"/>
  <c r="P799" i="1"/>
  <c r="J693" i="1"/>
  <c r="K693" i="1"/>
  <c r="E825" i="1"/>
  <c r="F825" i="1"/>
  <c r="L797" i="1"/>
  <c r="M797" i="1" s="1"/>
  <c r="N797" i="1" s="1"/>
  <c r="H797" i="1"/>
  <c r="I797" i="1" s="1"/>
  <c r="O870" i="1"/>
  <c r="P870" i="1"/>
  <c r="O823" i="1"/>
  <c r="P823" i="1"/>
  <c r="J709" i="1"/>
  <c r="K709" i="1"/>
  <c r="K887" i="1"/>
  <c r="J887" i="1"/>
  <c r="P741" i="1"/>
  <c r="O741" i="1"/>
  <c r="E875" i="1"/>
  <c r="F875" i="1"/>
  <c r="H982" i="1"/>
  <c r="I982" i="1" s="1"/>
  <c r="L982" i="1"/>
  <c r="M982" i="1" s="1"/>
  <c r="N982" i="1" s="1"/>
  <c r="J878" i="1"/>
  <c r="K878" i="1"/>
  <c r="P968" i="1"/>
  <c r="O968" i="1"/>
  <c r="O793" i="1"/>
  <c r="P793" i="1"/>
  <c r="P954" i="1"/>
  <c r="O954" i="1"/>
  <c r="E973" i="1"/>
  <c r="F973" i="1"/>
  <c r="J959" i="1"/>
  <c r="K959" i="1"/>
  <c r="P984" i="1"/>
  <c r="O984" i="1"/>
  <c r="H987" i="1"/>
  <c r="I987" i="1" s="1"/>
  <c r="L987" i="1"/>
  <c r="M987" i="1" s="1"/>
  <c r="N987" i="1" s="1"/>
  <c r="J924" i="1"/>
  <c r="K924" i="1"/>
  <c r="O938" i="1"/>
  <c r="P938" i="1"/>
  <c r="J170" i="1"/>
  <c r="K170" i="1"/>
  <c r="H190" i="1"/>
  <c r="I190" i="1" s="1"/>
  <c r="L190" i="1"/>
  <c r="M190" i="1" s="1"/>
  <c r="N190" i="1" s="1"/>
  <c r="F256" i="1"/>
  <c r="E256" i="1"/>
  <c r="H582" i="1"/>
  <c r="I582" i="1" s="1"/>
  <c r="L582" i="1"/>
  <c r="M582" i="1" s="1"/>
  <c r="N582" i="1" s="1"/>
  <c r="J948" i="1"/>
  <c r="K948" i="1"/>
  <c r="J120" i="1"/>
  <c r="K120" i="1"/>
  <c r="P328" i="1"/>
  <c r="O328" i="1"/>
  <c r="P178" i="1"/>
  <c r="O178" i="1"/>
  <c r="O142" i="1"/>
  <c r="P142" i="1"/>
  <c r="F206" i="1"/>
  <c r="E206" i="1"/>
  <c r="J142" i="1"/>
  <c r="K142" i="1"/>
  <c r="J140" i="1"/>
  <c r="K140" i="1"/>
  <c r="E257" i="1"/>
  <c r="F257" i="1"/>
  <c r="J273" i="1"/>
  <c r="K273" i="1"/>
  <c r="J314" i="1"/>
  <c r="K314" i="1"/>
  <c r="H360" i="1"/>
  <c r="I360" i="1" s="1"/>
  <c r="L360" i="1"/>
  <c r="M360" i="1" s="1"/>
  <c r="N360" i="1" s="1"/>
  <c r="J422" i="1"/>
  <c r="K422" i="1"/>
  <c r="J395" i="1"/>
  <c r="K395" i="1"/>
  <c r="J146" i="1"/>
  <c r="K146" i="1"/>
  <c r="J211" i="1"/>
  <c r="K211" i="1"/>
  <c r="L173" i="1"/>
  <c r="M173" i="1" s="1"/>
  <c r="N173" i="1" s="1"/>
  <c r="H173" i="1"/>
  <c r="I173" i="1" s="1"/>
  <c r="E230" i="1"/>
  <c r="F230" i="1"/>
  <c r="E189" i="1"/>
  <c r="F189" i="1"/>
  <c r="O182" i="1"/>
  <c r="P182" i="1"/>
  <c r="O140" i="1"/>
  <c r="P140" i="1"/>
  <c r="H205" i="1"/>
  <c r="I205" i="1" s="1"/>
  <c r="L205" i="1"/>
  <c r="M205" i="1" s="1"/>
  <c r="N205" i="1" s="1"/>
  <c r="H174" i="1"/>
  <c r="I174" i="1" s="1"/>
  <c r="L174" i="1"/>
  <c r="M174" i="1" s="1"/>
  <c r="N174" i="1" s="1"/>
  <c r="H257" i="1"/>
  <c r="I257" i="1" s="1"/>
  <c r="L257" i="1"/>
  <c r="M257" i="1" s="1"/>
  <c r="N257" i="1" s="1"/>
  <c r="J266" i="1"/>
  <c r="K266" i="1"/>
  <c r="O285" i="1"/>
  <c r="P285" i="1"/>
  <c r="P314" i="1"/>
  <c r="O314" i="1"/>
  <c r="E360" i="1"/>
  <c r="F360" i="1"/>
  <c r="K299" i="1"/>
  <c r="J299" i="1"/>
  <c r="K346" i="1"/>
  <c r="J346" i="1"/>
  <c r="P422" i="1"/>
  <c r="O422" i="1"/>
  <c r="K394" i="1"/>
  <c r="J394" i="1"/>
  <c r="O358" i="1"/>
  <c r="P358" i="1"/>
  <c r="O395" i="1"/>
  <c r="P395" i="1"/>
  <c r="L482" i="1"/>
  <c r="M482" i="1" s="1"/>
  <c r="N482" i="1" s="1"/>
  <c r="H482" i="1"/>
  <c r="I482" i="1" s="1"/>
  <c r="E426" i="1"/>
  <c r="F426" i="1"/>
  <c r="J450" i="1"/>
  <c r="K450" i="1"/>
  <c r="E514" i="1"/>
  <c r="F514" i="1"/>
  <c r="H630" i="1"/>
  <c r="I630" i="1" s="1"/>
  <c r="L630" i="1"/>
  <c r="M630" i="1" s="1"/>
  <c r="N630" i="1" s="1"/>
  <c r="P411" i="1"/>
  <c r="O411" i="1"/>
  <c r="F544" i="1"/>
  <c r="E544" i="1"/>
  <c r="H586" i="1"/>
  <c r="I586" i="1" s="1"/>
  <c r="L586" i="1"/>
  <c r="M586" i="1" s="1"/>
  <c r="N586" i="1" s="1"/>
  <c r="J534" i="1"/>
  <c r="K534" i="1"/>
  <c r="J575" i="1"/>
  <c r="K575" i="1"/>
  <c r="H668" i="1"/>
  <c r="I668" i="1" s="1"/>
  <c r="L668" i="1"/>
  <c r="M668" i="1" s="1"/>
  <c r="N668" i="1" s="1"/>
  <c r="J637" i="1"/>
  <c r="K637" i="1"/>
  <c r="H684" i="1"/>
  <c r="I684" i="1" s="1"/>
  <c r="L684" i="1"/>
  <c r="M684" i="1" s="1"/>
  <c r="N684" i="1" s="1"/>
  <c r="E618" i="1"/>
  <c r="F618" i="1"/>
  <c r="H646" i="1"/>
  <c r="I646" i="1" s="1"/>
  <c r="L646" i="1"/>
  <c r="M646" i="1" s="1"/>
  <c r="N646" i="1" s="1"/>
  <c r="P547" i="1"/>
  <c r="O547" i="1"/>
  <c r="L642" i="1"/>
  <c r="M642" i="1" s="1"/>
  <c r="N642" i="1" s="1"/>
  <c r="H642" i="1"/>
  <c r="I642" i="1" s="1"/>
  <c r="J627" i="1"/>
  <c r="K627" i="1"/>
  <c r="O696" i="1"/>
  <c r="P696" i="1"/>
  <c r="P808" i="1"/>
  <c r="O808" i="1"/>
  <c r="H720" i="1"/>
  <c r="I720" i="1" s="1"/>
  <c r="L720" i="1"/>
  <c r="M720" i="1" s="1"/>
  <c r="N720" i="1" s="1"/>
  <c r="H784" i="1"/>
  <c r="I784" i="1" s="1"/>
  <c r="L784" i="1"/>
  <c r="M784" i="1" s="1"/>
  <c r="N784" i="1" s="1"/>
  <c r="L781" i="1"/>
  <c r="M781" i="1" s="1"/>
  <c r="N781" i="1" s="1"/>
  <c r="H781" i="1"/>
  <c r="I781" i="1" s="1"/>
  <c r="H708" i="1"/>
  <c r="I708" i="1" s="1"/>
  <c r="L708" i="1"/>
  <c r="M708" i="1" s="1"/>
  <c r="N708" i="1" s="1"/>
  <c r="K758" i="1"/>
  <c r="J758" i="1"/>
  <c r="P705" i="1"/>
  <c r="O705" i="1"/>
  <c r="J815" i="1"/>
  <c r="K815" i="1"/>
  <c r="J870" i="1"/>
  <c r="K870" i="1"/>
  <c r="J823" i="1"/>
  <c r="K823" i="1"/>
  <c r="J896" i="1"/>
  <c r="K896" i="1"/>
  <c r="H837" i="1"/>
  <c r="I837" i="1" s="1"/>
  <c r="L837" i="1"/>
  <c r="M837" i="1" s="1"/>
  <c r="N837" i="1" s="1"/>
  <c r="J741" i="1"/>
  <c r="K741" i="1"/>
  <c r="E839" i="1"/>
  <c r="F839" i="1"/>
  <c r="J886" i="1"/>
  <c r="K886" i="1"/>
  <c r="E975" i="1"/>
  <c r="F975" i="1"/>
  <c r="J904" i="1"/>
  <c r="K904" i="1"/>
  <c r="L1011" i="1"/>
  <c r="M1011" i="1" s="1"/>
  <c r="N1011" i="1" s="1"/>
  <c r="H1011" i="1"/>
  <c r="I1011" i="1" s="1"/>
  <c r="J793" i="1"/>
  <c r="K793" i="1"/>
  <c r="J954" i="1"/>
  <c r="K954" i="1"/>
  <c r="H973" i="1"/>
  <c r="I973" i="1" s="1"/>
  <c r="L973" i="1"/>
  <c r="M973" i="1" s="1"/>
  <c r="N973" i="1" s="1"/>
  <c r="O956" i="1"/>
  <c r="P956" i="1"/>
  <c r="J1010" i="1"/>
  <c r="K1010" i="1"/>
  <c r="J984" i="1"/>
  <c r="K984" i="1"/>
  <c r="P992" i="1"/>
  <c r="O992" i="1"/>
  <c r="J938" i="1"/>
  <c r="K938" i="1"/>
  <c r="J1009" i="1"/>
  <c r="K1009" i="1"/>
  <c r="E484" i="1"/>
  <c r="F484" i="1"/>
  <c r="O429" i="1"/>
  <c r="P429" i="1"/>
  <c r="E141" i="1"/>
  <c r="F141" i="1"/>
  <c r="E214" i="1"/>
  <c r="F214" i="1"/>
  <c r="E191" i="1"/>
  <c r="F191" i="1"/>
  <c r="O184" i="1"/>
  <c r="P184" i="1"/>
  <c r="P186" i="1"/>
  <c r="O186" i="1"/>
  <c r="P266" i="1"/>
  <c r="O266" i="1"/>
  <c r="H264" i="1"/>
  <c r="I264" i="1" s="1"/>
  <c r="L264" i="1"/>
  <c r="M264" i="1" s="1"/>
  <c r="N264" i="1" s="1"/>
  <c r="P299" i="1"/>
  <c r="O299" i="1"/>
  <c r="O394" i="1"/>
  <c r="P394" i="1"/>
  <c r="E402" i="1"/>
  <c r="F402" i="1"/>
  <c r="E115" i="1"/>
  <c r="F115" i="1"/>
  <c r="L203" i="1"/>
  <c r="M203" i="1" s="1"/>
  <c r="N203" i="1" s="1"/>
  <c r="H203" i="1"/>
  <c r="I203" i="1" s="1"/>
  <c r="O183" i="1"/>
  <c r="P183" i="1"/>
  <c r="E133" i="1"/>
  <c r="F133" i="1"/>
  <c r="E173" i="1"/>
  <c r="F173" i="1"/>
  <c r="L230" i="1"/>
  <c r="M230" i="1" s="1"/>
  <c r="N230" i="1" s="1"/>
  <c r="H230" i="1"/>
  <c r="I230" i="1" s="1"/>
  <c r="P162" i="1"/>
  <c r="O162" i="1"/>
  <c r="P160" i="1"/>
  <c r="O160" i="1"/>
  <c r="O215" i="1"/>
  <c r="P215" i="1"/>
  <c r="J182" i="1"/>
  <c r="K182" i="1"/>
  <c r="K187" i="1"/>
  <c r="J187" i="1"/>
  <c r="E205" i="1"/>
  <c r="F205" i="1"/>
  <c r="O216" i="1"/>
  <c r="P216" i="1"/>
  <c r="L291" i="1"/>
  <c r="M291" i="1" s="1"/>
  <c r="N291" i="1" s="1"/>
  <c r="H291" i="1"/>
  <c r="I291" i="1" s="1"/>
  <c r="E317" i="1"/>
  <c r="F317" i="1"/>
  <c r="J285" i="1"/>
  <c r="K285" i="1"/>
  <c r="F308" i="1"/>
  <c r="E308" i="1"/>
  <c r="E302" i="1"/>
  <c r="F302" i="1"/>
  <c r="P346" i="1"/>
  <c r="O346" i="1"/>
  <c r="K297" i="1"/>
  <c r="J297" i="1"/>
  <c r="L441" i="1"/>
  <c r="M441" i="1" s="1"/>
  <c r="N441" i="1" s="1"/>
  <c r="H441" i="1"/>
  <c r="I441" i="1" s="1"/>
  <c r="E381" i="1"/>
  <c r="F381" i="1"/>
  <c r="L409" i="1"/>
  <c r="M409" i="1" s="1"/>
  <c r="N409" i="1" s="1"/>
  <c r="H409" i="1"/>
  <c r="I409" i="1" s="1"/>
  <c r="E482" i="1"/>
  <c r="F482" i="1"/>
  <c r="E416" i="1"/>
  <c r="F416" i="1"/>
  <c r="P399" i="1"/>
  <c r="O399" i="1"/>
  <c r="E493" i="1"/>
  <c r="F493" i="1"/>
  <c r="O635" i="1"/>
  <c r="P635" i="1"/>
  <c r="O522" i="1"/>
  <c r="P522" i="1"/>
  <c r="E552" i="1"/>
  <c r="F552" i="1"/>
  <c r="E586" i="1"/>
  <c r="F586" i="1"/>
  <c r="O534" i="1"/>
  <c r="P534" i="1"/>
  <c r="J625" i="1"/>
  <c r="K625" i="1"/>
  <c r="E588" i="1"/>
  <c r="F588" i="1"/>
  <c r="P639" i="1"/>
  <c r="O639" i="1"/>
  <c r="H692" i="1"/>
  <c r="I692" i="1" s="1"/>
  <c r="L692" i="1"/>
  <c r="M692" i="1" s="1"/>
  <c r="N692" i="1" s="1"/>
  <c r="E646" i="1"/>
  <c r="F646" i="1"/>
  <c r="E696" i="1"/>
  <c r="F696" i="1"/>
  <c r="K547" i="1"/>
  <c r="J547" i="1"/>
  <c r="E648" i="1"/>
  <c r="F648" i="1"/>
  <c r="O627" i="1"/>
  <c r="P627" i="1"/>
  <c r="J696" i="1"/>
  <c r="K696" i="1"/>
  <c r="E742" i="1"/>
  <c r="F742" i="1"/>
  <c r="O770" i="1"/>
  <c r="P770" i="1"/>
  <c r="E720" i="1"/>
  <c r="F720" i="1"/>
  <c r="L788" i="1"/>
  <c r="M788" i="1" s="1"/>
  <c r="N788" i="1" s="1"/>
  <c r="H788" i="1"/>
  <c r="I788" i="1" s="1"/>
  <c r="L666" i="1"/>
  <c r="M666" i="1" s="1"/>
  <c r="N666" i="1" s="1"/>
  <c r="H666" i="1"/>
  <c r="I666" i="1" s="1"/>
  <c r="O803" i="1"/>
  <c r="P803" i="1"/>
  <c r="E708" i="1"/>
  <c r="F708" i="1"/>
  <c r="J705" i="1"/>
  <c r="K705" i="1"/>
  <c r="J830" i="1"/>
  <c r="K830" i="1"/>
  <c r="P733" i="1"/>
  <c r="O733" i="1"/>
  <c r="E823" i="1"/>
  <c r="F823" i="1"/>
  <c r="E837" i="1"/>
  <c r="F837" i="1"/>
  <c r="H937" i="1"/>
  <c r="I937" i="1" s="1"/>
  <c r="L937" i="1"/>
  <c r="M937" i="1" s="1"/>
  <c r="N937" i="1" s="1"/>
  <c r="P914" i="1"/>
  <c r="O914" i="1"/>
  <c r="H839" i="1"/>
  <c r="I839" i="1" s="1"/>
  <c r="L839" i="1"/>
  <c r="M839" i="1" s="1"/>
  <c r="N839" i="1" s="1"/>
  <c r="P892" i="1"/>
  <c r="O892" i="1"/>
  <c r="L979" i="1"/>
  <c r="M979" i="1" s="1"/>
  <c r="N979" i="1" s="1"/>
  <c r="H979" i="1"/>
  <c r="I979" i="1" s="1"/>
  <c r="J920" i="1"/>
  <c r="K920" i="1"/>
  <c r="E1011" i="1"/>
  <c r="F1011" i="1"/>
  <c r="J872" i="1"/>
  <c r="K872" i="1"/>
  <c r="J956" i="1"/>
  <c r="K956" i="1"/>
  <c r="O1009" i="1"/>
  <c r="P1009" i="1"/>
  <c r="O117" i="1"/>
  <c r="P117" i="1"/>
  <c r="J298" i="1"/>
  <c r="K298" i="1"/>
  <c r="H294" i="1"/>
  <c r="I294" i="1" s="1"/>
  <c r="L294" i="1"/>
  <c r="M294" i="1" s="1"/>
  <c r="N294" i="1" s="1"/>
  <c r="L268" i="1"/>
  <c r="M268" i="1" s="1"/>
  <c r="N268" i="1" s="1"/>
  <c r="H268" i="1"/>
  <c r="I268" i="1" s="1"/>
  <c r="H377" i="1"/>
  <c r="I377" i="1" s="1"/>
  <c r="L377" i="1"/>
  <c r="M377" i="1" s="1"/>
  <c r="N377" i="1" s="1"/>
  <c r="F419" i="1"/>
  <c r="E419" i="1"/>
  <c r="H393" i="1"/>
  <c r="I393" i="1" s="1"/>
  <c r="L393" i="1"/>
  <c r="M393" i="1" s="1"/>
  <c r="N393" i="1" s="1"/>
  <c r="O498" i="1"/>
  <c r="P498" i="1"/>
  <c r="F637" i="1"/>
  <c r="E637" i="1"/>
  <c r="E521" i="1"/>
  <c r="F521" i="1"/>
  <c r="P737" i="1"/>
  <c r="O737" i="1"/>
  <c r="J697" i="1"/>
  <c r="K697" i="1"/>
  <c r="O703" i="1"/>
  <c r="P703" i="1"/>
  <c r="H141" i="1"/>
  <c r="I141" i="1" s="1"/>
  <c r="L141" i="1"/>
  <c r="M141" i="1" s="1"/>
  <c r="N141" i="1" s="1"/>
  <c r="K245" i="1"/>
  <c r="J245" i="1"/>
  <c r="L165" i="1"/>
  <c r="M165" i="1" s="1"/>
  <c r="N165" i="1" s="1"/>
  <c r="H165" i="1"/>
  <c r="I165" i="1" s="1"/>
  <c r="L341" i="1"/>
  <c r="M341" i="1" s="1"/>
  <c r="N341" i="1" s="1"/>
  <c r="H341" i="1"/>
  <c r="I341" i="1" s="1"/>
  <c r="O126" i="1"/>
  <c r="P126" i="1"/>
  <c r="P208" i="1"/>
  <c r="O208" i="1"/>
  <c r="K126" i="1"/>
  <c r="J126" i="1"/>
  <c r="J178" i="1"/>
  <c r="K178" i="1"/>
  <c r="P225" i="1"/>
  <c r="O225" i="1"/>
  <c r="E241" i="1"/>
  <c r="F241" i="1"/>
  <c r="P146" i="1"/>
  <c r="O146" i="1"/>
  <c r="H115" i="1"/>
  <c r="I115" i="1" s="1"/>
  <c r="L115" i="1"/>
  <c r="M115" i="1" s="1"/>
  <c r="N115" i="1" s="1"/>
  <c r="O224" i="1"/>
  <c r="P224" i="1"/>
  <c r="H189" i="1"/>
  <c r="I189" i="1" s="1"/>
  <c r="L189" i="1"/>
  <c r="M189" i="1" s="1"/>
  <c r="N189" i="1" s="1"/>
  <c r="F231" i="1"/>
  <c r="E231" i="1"/>
  <c r="J196" i="1"/>
  <c r="K196" i="1"/>
  <c r="H241" i="1"/>
  <c r="I241" i="1" s="1"/>
  <c r="L241" i="1"/>
  <c r="M241" i="1" s="1"/>
  <c r="N241" i="1" s="1"/>
  <c r="O114" i="1"/>
  <c r="P114" i="1"/>
  <c r="O199" i="1"/>
  <c r="P199" i="1"/>
  <c r="L133" i="1"/>
  <c r="M133" i="1" s="1"/>
  <c r="N133" i="1" s="1"/>
  <c r="H133" i="1"/>
  <c r="I133" i="1" s="1"/>
  <c r="E149" i="1"/>
  <c r="F149" i="1"/>
  <c r="L237" i="1"/>
  <c r="M237" i="1" s="1"/>
  <c r="N237" i="1" s="1"/>
  <c r="H237" i="1"/>
  <c r="I237" i="1" s="1"/>
  <c r="J162" i="1"/>
  <c r="K162" i="1"/>
  <c r="J160" i="1"/>
  <c r="K160" i="1"/>
  <c r="J215" i="1"/>
  <c r="K215" i="1"/>
  <c r="O231" i="1"/>
  <c r="P231" i="1"/>
  <c r="E196" i="1"/>
  <c r="F196" i="1"/>
  <c r="J209" i="1"/>
  <c r="K209" i="1"/>
  <c r="J216" i="1"/>
  <c r="K216" i="1"/>
  <c r="O249" i="1"/>
  <c r="P249" i="1"/>
  <c r="E291" i="1"/>
  <c r="F291" i="1"/>
  <c r="H275" i="1"/>
  <c r="I275" i="1" s="1"/>
  <c r="L275" i="1"/>
  <c r="M275" i="1" s="1"/>
  <c r="N275" i="1" s="1"/>
  <c r="E272" i="1"/>
  <c r="F272" i="1"/>
  <c r="L313" i="1"/>
  <c r="M313" i="1" s="1"/>
  <c r="N313" i="1" s="1"/>
  <c r="H313" i="1"/>
  <c r="I313" i="1" s="1"/>
  <c r="H308" i="1"/>
  <c r="I308" i="1" s="1"/>
  <c r="L308" i="1"/>
  <c r="M308" i="1" s="1"/>
  <c r="N308" i="1" s="1"/>
  <c r="H302" i="1"/>
  <c r="I302" i="1" s="1"/>
  <c r="L302" i="1"/>
  <c r="M302" i="1" s="1"/>
  <c r="N302" i="1" s="1"/>
  <c r="K318" i="1"/>
  <c r="J318" i="1"/>
  <c r="H366" i="1"/>
  <c r="I366" i="1" s="1"/>
  <c r="L366" i="1"/>
  <c r="M366" i="1" s="1"/>
  <c r="N366" i="1" s="1"/>
  <c r="L306" i="1"/>
  <c r="M306" i="1" s="1"/>
  <c r="N306" i="1" s="1"/>
  <c r="H306" i="1"/>
  <c r="I306" i="1" s="1"/>
  <c r="O297" i="1"/>
  <c r="P297" i="1"/>
  <c r="H381" i="1"/>
  <c r="I381" i="1" s="1"/>
  <c r="L381" i="1"/>
  <c r="M381" i="1" s="1"/>
  <c r="N381" i="1" s="1"/>
  <c r="E409" i="1"/>
  <c r="F409" i="1"/>
  <c r="L320" i="1"/>
  <c r="M320" i="1" s="1"/>
  <c r="N320" i="1" s="1"/>
  <c r="H320" i="1"/>
  <c r="I320" i="1" s="1"/>
  <c r="F412" i="1"/>
  <c r="E412" i="1"/>
  <c r="E454" i="1"/>
  <c r="F454" i="1"/>
  <c r="H416" i="1"/>
  <c r="I416" i="1" s="1"/>
  <c r="L416" i="1"/>
  <c r="M416" i="1" s="1"/>
  <c r="N416" i="1" s="1"/>
  <c r="J399" i="1"/>
  <c r="K399" i="1"/>
  <c r="P400" i="1"/>
  <c r="O400" i="1"/>
  <c r="L493" i="1"/>
  <c r="M493" i="1" s="1"/>
  <c r="N493" i="1" s="1"/>
  <c r="H493" i="1"/>
  <c r="I493" i="1" s="1"/>
  <c r="L453" i="1"/>
  <c r="M453" i="1" s="1"/>
  <c r="N453" i="1" s="1"/>
  <c r="H453" i="1"/>
  <c r="I453" i="1" s="1"/>
  <c r="J522" i="1"/>
  <c r="K522" i="1"/>
  <c r="L550" i="1"/>
  <c r="M550" i="1" s="1"/>
  <c r="N550" i="1" s="1"/>
  <c r="H550" i="1"/>
  <c r="I550" i="1" s="1"/>
  <c r="J558" i="1"/>
  <c r="K558" i="1"/>
  <c r="O625" i="1"/>
  <c r="P625" i="1"/>
  <c r="H588" i="1"/>
  <c r="I588" i="1" s="1"/>
  <c r="L588" i="1"/>
  <c r="M588" i="1" s="1"/>
  <c r="N588" i="1" s="1"/>
  <c r="J639" i="1"/>
  <c r="K639" i="1"/>
  <c r="H503" i="1"/>
  <c r="I503" i="1" s="1"/>
  <c r="L503" i="1"/>
  <c r="M503" i="1" s="1"/>
  <c r="N503" i="1" s="1"/>
  <c r="J701" i="1"/>
  <c r="K701" i="1"/>
  <c r="J564" i="1"/>
  <c r="K564" i="1"/>
  <c r="J659" i="1"/>
  <c r="K659" i="1"/>
  <c r="J609" i="1"/>
  <c r="K609" i="1"/>
  <c r="L742" i="1"/>
  <c r="M742" i="1" s="1"/>
  <c r="N742" i="1" s="1"/>
  <c r="H742" i="1"/>
  <c r="I742" i="1" s="1"/>
  <c r="H682" i="1"/>
  <c r="I682" i="1" s="1"/>
  <c r="L682" i="1"/>
  <c r="M682" i="1" s="1"/>
  <c r="N682" i="1" s="1"/>
  <c r="E666" i="1"/>
  <c r="F666" i="1"/>
  <c r="P810" i="1"/>
  <c r="O810" i="1"/>
  <c r="P679" i="1"/>
  <c r="O679" i="1"/>
  <c r="O713" i="1"/>
  <c r="E841" i="1"/>
  <c r="F841" i="1"/>
  <c r="J828" i="1"/>
  <c r="K828" i="1"/>
  <c r="O942" i="1"/>
  <c r="P942" i="1"/>
  <c r="O906" i="1"/>
  <c r="P906" i="1"/>
  <c r="O825" i="1"/>
  <c r="P825" i="1"/>
  <c r="E744" i="1"/>
  <c r="F744" i="1"/>
  <c r="K925" i="1"/>
  <c r="J925" i="1"/>
  <c r="E991" i="1"/>
  <c r="F991" i="1"/>
  <c r="O872" i="1"/>
  <c r="P872" i="1"/>
  <c r="F247" i="1"/>
  <c r="E247" i="1"/>
  <c r="P154" i="1"/>
  <c r="O154" i="1"/>
  <c r="J180" i="1"/>
  <c r="K180" i="1"/>
  <c r="E181" i="1"/>
  <c r="F181" i="1"/>
  <c r="L181" i="1"/>
  <c r="M181" i="1" s="1"/>
  <c r="N181" i="1" s="1"/>
  <c r="H181" i="1"/>
  <c r="I181" i="1" s="1"/>
  <c r="E119" i="1"/>
  <c r="F119" i="1"/>
  <c r="L149" i="1"/>
  <c r="M149" i="1" s="1"/>
  <c r="N149" i="1" s="1"/>
  <c r="H149" i="1"/>
  <c r="I149" i="1" s="1"/>
  <c r="O242" i="1"/>
  <c r="P242" i="1"/>
  <c r="F166" i="1"/>
  <c r="E166" i="1"/>
  <c r="O167" i="1"/>
  <c r="P167" i="1"/>
  <c r="J231" i="1"/>
  <c r="K231" i="1"/>
  <c r="J219" i="1"/>
  <c r="K219" i="1"/>
  <c r="O119" i="1"/>
  <c r="P119" i="1"/>
  <c r="O209" i="1"/>
  <c r="P209" i="1"/>
  <c r="J213" i="1"/>
  <c r="K213" i="1"/>
  <c r="O325" i="1"/>
  <c r="P325" i="1"/>
  <c r="E275" i="1"/>
  <c r="F275" i="1"/>
  <c r="H272" i="1"/>
  <c r="I272" i="1" s="1"/>
  <c r="L272" i="1"/>
  <c r="M272" i="1" s="1"/>
  <c r="N272" i="1" s="1"/>
  <c r="F313" i="1"/>
  <c r="E313" i="1"/>
  <c r="F366" i="1"/>
  <c r="E366" i="1"/>
  <c r="E306" i="1"/>
  <c r="F306" i="1"/>
  <c r="J383" i="1"/>
  <c r="K383" i="1"/>
  <c r="F320" i="1"/>
  <c r="E320" i="1"/>
  <c r="L412" i="1"/>
  <c r="M412" i="1" s="1"/>
  <c r="N412" i="1" s="1"/>
  <c r="H412" i="1"/>
  <c r="I412" i="1" s="1"/>
  <c r="L454" i="1"/>
  <c r="M454" i="1" s="1"/>
  <c r="N454" i="1" s="1"/>
  <c r="H454" i="1"/>
  <c r="I454" i="1" s="1"/>
  <c r="O476" i="1"/>
  <c r="P476" i="1"/>
  <c r="H432" i="1"/>
  <c r="I432" i="1" s="1"/>
  <c r="L432" i="1"/>
  <c r="M432" i="1" s="1"/>
  <c r="N432" i="1" s="1"/>
  <c r="J400" i="1"/>
  <c r="K400" i="1"/>
  <c r="E490" i="1"/>
  <c r="F490" i="1"/>
  <c r="E535" i="1"/>
  <c r="F535" i="1"/>
  <c r="F453" i="1"/>
  <c r="E453" i="1"/>
  <c r="J567" i="1"/>
  <c r="K567" i="1"/>
  <c r="O600" i="1"/>
  <c r="P600" i="1"/>
  <c r="J641" i="1"/>
  <c r="K641" i="1"/>
  <c r="F605" i="1"/>
  <c r="E605" i="1"/>
  <c r="E503" i="1"/>
  <c r="F503" i="1"/>
  <c r="E712" i="1"/>
  <c r="F712" i="1"/>
  <c r="O564" i="1"/>
  <c r="P564" i="1"/>
  <c r="F669" i="1"/>
  <c r="E669" i="1"/>
  <c r="O609" i="1"/>
  <c r="P609" i="1"/>
  <c r="J757" i="1"/>
  <c r="K757" i="1"/>
  <c r="E682" i="1"/>
  <c r="F682" i="1"/>
  <c r="H795" i="1"/>
  <c r="I795" i="1" s="1"/>
  <c r="L795" i="1"/>
  <c r="M795" i="1" s="1"/>
  <c r="N795" i="1" s="1"/>
  <c r="H833" i="1"/>
  <c r="I833" i="1" s="1"/>
  <c r="L833" i="1"/>
  <c r="M833" i="1" s="1"/>
  <c r="N833" i="1" s="1"/>
  <c r="P721" i="1"/>
  <c r="O721" i="1"/>
  <c r="J679" i="1"/>
  <c r="K679" i="1"/>
  <c r="J713" i="1"/>
  <c r="K713" i="1"/>
  <c r="E815" i="1"/>
  <c r="F815" i="1"/>
  <c r="J846" i="1"/>
  <c r="K846" i="1"/>
  <c r="O841" i="1"/>
  <c r="P841" i="1"/>
  <c r="H850" i="1"/>
  <c r="I850" i="1" s="1"/>
  <c r="L850" i="1"/>
  <c r="M850" i="1" s="1"/>
  <c r="N850" i="1" s="1"/>
  <c r="H917" i="1"/>
  <c r="I917" i="1" s="1"/>
  <c r="L917" i="1"/>
  <c r="M917" i="1" s="1"/>
  <c r="N917" i="1" s="1"/>
  <c r="J825" i="1"/>
  <c r="K825" i="1"/>
  <c r="H744" i="1"/>
  <c r="I744" i="1" s="1"/>
  <c r="L744" i="1"/>
  <c r="M744" i="1" s="1"/>
  <c r="N744" i="1" s="1"/>
  <c r="E907" i="1"/>
  <c r="F907" i="1"/>
  <c r="F929" i="1"/>
  <c r="E929" i="1"/>
  <c r="O940" i="1"/>
  <c r="P940" i="1"/>
  <c r="H991" i="1"/>
  <c r="I991" i="1" s="1"/>
  <c r="L991" i="1"/>
  <c r="M991" i="1" s="1"/>
  <c r="N991" i="1" s="1"/>
  <c r="O972" i="1"/>
  <c r="P972" i="1"/>
  <c r="O858" i="1"/>
  <c r="P858" i="1"/>
  <c r="L903" i="1"/>
  <c r="M903" i="1" s="1"/>
  <c r="N903" i="1" s="1"/>
  <c r="H903" i="1"/>
  <c r="I903" i="1" s="1"/>
  <c r="J994" i="1"/>
  <c r="K994" i="1"/>
  <c r="H890" i="1"/>
  <c r="I890" i="1" s="1"/>
  <c r="L890" i="1"/>
  <c r="M890" i="1" s="1"/>
  <c r="N890" i="1" s="1"/>
  <c r="P970" i="1"/>
  <c r="O970" i="1"/>
  <c r="F118" i="1"/>
  <c r="E118" i="1"/>
  <c r="O134" i="1"/>
  <c r="P134" i="1"/>
  <c r="O217" i="1"/>
  <c r="P217" i="1"/>
  <c r="P219" i="1"/>
  <c r="O219" i="1"/>
  <c r="J119" i="1"/>
  <c r="K119" i="1"/>
  <c r="L222" i="1"/>
  <c r="M222" i="1" s="1"/>
  <c r="N222" i="1" s="1"/>
  <c r="H222" i="1"/>
  <c r="I222" i="1" s="1"/>
  <c r="P265" i="1"/>
  <c r="O265" i="1"/>
  <c r="O213" i="1"/>
  <c r="P213" i="1"/>
  <c r="K325" i="1"/>
  <c r="J325" i="1"/>
  <c r="J269" i="1"/>
  <c r="K269" i="1"/>
  <c r="E293" i="1"/>
  <c r="F293" i="1"/>
  <c r="P307" i="1"/>
  <c r="O307" i="1"/>
  <c r="J322" i="1"/>
  <c r="K322" i="1"/>
  <c r="F345" i="1"/>
  <c r="E345" i="1"/>
  <c r="E421" i="1"/>
  <c r="F421" i="1"/>
  <c r="O467" i="1"/>
  <c r="P467" i="1"/>
  <c r="E432" i="1"/>
  <c r="F432" i="1"/>
  <c r="P552" i="1"/>
  <c r="O552" i="1"/>
  <c r="J566" i="1"/>
  <c r="K566" i="1"/>
  <c r="L490" i="1"/>
  <c r="M490" i="1" s="1"/>
  <c r="N490" i="1" s="1"/>
  <c r="H490" i="1"/>
  <c r="I490" i="1" s="1"/>
  <c r="J600" i="1"/>
  <c r="K600" i="1"/>
  <c r="K510" i="1"/>
  <c r="J510" i="1"/>
  <c r="O589" i="1"/>
  <c r="P589" i="1"/>
  <c r="O641" i="1"/>
  <c r="P641" i="1"/>
  <c r="J608" i="1"/>
  <c r="K608" i="1"/>
  <c r="E569" i="1"/>
  <c r="F569" i="1"/>
  <c r="P673" i="1"/>
  <c r="O673" i="1"/>
  <c r="O651" i="1"/>
  <c r="P651" i="1"/>
  <c r="O838" i="1"/>
  <c r="P838" i="1"/>
  <c r="J721" i="1"/>
  <c r="K721" i="1"/>
  <c r="O725" i="1"/>
  <c r="P725" i="1"/>
  <c r="J841" i="1"/>
  <c r="K841" i="1"/>
  <c r="E850" i="1"/>
  <c r="F850" i="1"/>
  <c r="H953" i="1"/>
  <c r="I953" i="1" s="1"/>
  <c r="L953" i="1"/>
  <c r="M953" i="1" s="1"/>
  <c r="N953" i="1" s="1"/>
  <c r="E941" i="1"/>
  <c r="F941" i="1"/>
  <c r="J940" i="1"/>
  <c r="K940" i="1"/>
  <c r="J972" i="1"/>
  <c r="K972" i="1"/>
  <c r="K858" i="1"/>
  <c r="J858" i="1"/>
  <c r="E903" i="1"/>
  <c r="F903" i="1"/>
  <c r="O994" i="1"/>
  <c r="P994" i="1"/>
  <c r="H955" i="1"/>
  <c r="I955" i="1" s="1"/>
  <c r="L955" i="1"/>
  <c r="M955" i="1" s="1"/>
  <c r="N955" i="1" s="1"/>
  <c r="O944" i="1"/>
  <c r="P944" i="1"/>
  <c r="F890" i="1"/>
  <c r="E890" i="1"/>
  <c r="J970" i="1"/>
  <c r="K970" i="1"/>
  <c r="J158" i="1"/>
  <c r="K158" i="1"/>
  <c r="J516" i="1"/>
  <c r="K516" i="1"/>
  <c r="J866" i="1"/>
  <c r="K866" i="1"/>
  <c r="J172" i="1"/>
  <c r="K172" i="1"/>
  <c r="K150" i="1"/>
  <c r="J150" i="1"/>
  <c r="E222" i="1"/>
  <c r="F222" i="1"/>
  <c r="J265" i="1"/>
  <c r="K265" i="1"/>
  <c r="J235" i="1"/>
  <c r="K235" i="1"/>
  <c r="O223" i="1"/>
  <c r="P223" i="1"/>
  <c r="F367" i="1"/>
  <c r="E367" i="1"/>
  <c r="O269" i="1"/>
  <c r="P269" i="1"/>
  <c r="H293" i="1"/>
  <c r="I293" i="1" s="1"/>
  <c r="L293" i="1"/>
  <c r="M293" i="1" s="1"/>
  <c r="N293" i="1" s="1"/>
  <c r="H331" i="1"/>
  <c r="I331" i="1" s="1"/>
  <c r="L331" i="1"/>
  <c r="M331" i="1" s="1"/>
  <c r="N331" i="1" s="1"/>
  <c r="P322" i="1"/>
  <c r="O322" i="1"/>
  <c r="P354" i="1"/>
  <c r="O354" i="1"/>
  <c r="F316" i="1"/>
  <c r="E316" i="1"/>
  <c r="H345" i="1"/>
  <c r="I345" i="1" s="1"/>
  <c r="L345" i="1"/>
  <c r="M345" i="1" s="1"/>
  <c r="N345" i="1" s="1"/>
  <c r="L421" i="1"/>
  <c r="M421" i="1" s="1"/>
  <c r="N421" i="1" s="1"/>
  <c r="H421" i="1"/>
  <c r="I421" i="1" s="1"/>
  <c r="J467" i="1"/>
  <c r="K467" i="1"/>
  <c r="O466" i="1"/>
  <c r="P466" i="1"/>
  <c r="H539" i="1"/>
  <c r="I539" i="1" s="1"/>
  <c r="L539" i="1"/>
  <c r="M539" i="1" s="1"/>
  <c r="N539" i="1" s="1"/>
  <c r="K417" i="1"/>
  <c r="J417" i="1"/>
  <c r="H425" i="1"/>
  <c r="I425" i="1" s="1"/>
  <c r="L425" i="1"/>
  <c r="M425" i="1" s="1"/>
  <c r="N425" i="1" s="1"/>
  <c r="J543" i="1"/>
  <c r="K543" i="1"/>
  <c r="J526" i="1"/>
  <c r="K526" i="1"/>
  <c r="P458" i="1"/>
  <c r="O458" i="1"/>
  <c r="J577" i="1"/>
  <c r="K577" i="1"/>
  <c r="P615" i="1"/>
  <c r="O615" i="1"/>
  <c r="O510" i="1"/>
  <c r="P510" i="1"/>
  <c r="J589" i="1"/>
  <c r="K589" i="1"/>
  <c r="H652" i="1"/>
  <c r="I652" i="1" s="1"/>
  <c r="L652" i="1"/>
  <c r="M652" i="1" s="1"/>
  <c r="N652" i="1" s="1"/>
  <c r="J611" i="1"/>
  <c r="K611" i="1"/>
  <c r="H569" i="1"/>
  <c r="I569" i="1" s="1"/>
  <c r="L569" i="1"/>
  <c r="M569" i="1" s="1"/>
  <c r="N569" i="1" s="1"/>
  <c r="E728" i="1"/>
  <c r="F728" i="1"/>
  <c r="J651" i="1"/>
  <c r="K651" i="1"/>
  <c r="K796" i="1"/>
  <c r="J796" i="1"/>
  <c r="L813" i="1"/>
  <c r="M813" i="1" s="1"/>
  <c r="N813" i="1" s="1"/>
  <c r="H813" i="1"/>
  <c r="I813" i="1" s="1"/>
  <c r="O688" i="1"/>
  <c r="P688" i="1"/>
  <c r="L849" i="1"/>
  <c r="M849" i="1" s="1"/>
  <c r="N849" i="1" s="1"/>
  <c r="H849" i="1"/>
  <c r="I849" i="1" s="1"/>
  <c r="J820" i="1"/>
  <c r="K820" i="1"/>
  <c r="J725" i="1"/>
  <c r="K725" i="1"/>
  <c r="H885" i="1"/>
  <c r="I885" i="1" s="1"/>
  <c r="L885" i="1"/>
  <c r="M885" i="1" s="1"/>
  <c r="N885" i="1" s="1"/>
  <c r="E857" i="1"/>
  <c r="F857" i="1"/>
  <c r="O786" i="1"/>
  <c r="P786" i="1"/>
  <c r="H853" i="1"/>
  <c r="I853" i="1" s="1"/>
  <c r="L853" i="1"/>
  <c r="M853" i="1" s="1"/>
  <c r="N853" i="1" s="1"/>
  <c r="O958" i="1"/>
  <c r="P958" i="1"/>
  <c r="O800" i="1"/>
  <c r="P800" i="1"/>
  <c r="O927" i="1"/>
  <c r="P927" i="1"/>
  <c r="J946" i="1"/>
  <c r="K946" i="1"/>
  <c r="P986" i="1"/>
  <c r="O986" i="1"/>
  <c r="P1000" i="1"/>
  <c r="O1000" i="1"/>
  <c r="E955" i="1"/>
  <c r="F955" i="1"/>
  <c r="O943" i="1"/>
  <c r="P943" i="1"/>
  <c r="K1012" i="1"/>
  <c r="J1012" i="1"/>
  <c r="J944" i="1"/>
  <c r="K944" i="1"/>
  <c r="H1003" i="1"/>
  <c r="I1003" i="1" s="1"/>
  <c r="L1003" i="1"/>
  <c r="M1003" i="1" s="1"/>
  <c r="N1003" i="1" s="1"/>
  <c r="P278" i="1"/>
  <c r="O278" i="1"/>
  <c r="E363" i="1"/>
  <c r="F363" i="1"/>
  <c r="J470" i="1"/>
  <c r="K470" i="1"/>
  <c r="E622" i="1"/>
  <c r="F622" i="1"/>
  <c r="P990" i="1"/>
  <c r="O990" i="1"/>
  <c r="P138" i="1"/>
  <c r="O138" i="1"/>
  <c r="K167" i="1"/>
  <c r="J167" i="1"/>
  <c r="J223" i="1"/>
  <c r="K223" i="1"/>
  <c r="F271" i="1"/>
  <c r="E271" i="1"/>
  <c r="L244" i="1"/>
  <c r="M244" i="1" s="1"/>
  <c r="N244" i="1" s="1"/>
  <c r="H244" i="1"/>
  <c r="I244" i="1" s="1"/>
  <c r="E276" i="1"/>
  <c r="F276" i="1"/>
  <c r="P334" i="1"/>
  <c r="O334" i="1"/>
  <c r="K350" i="1"/>
  <c r="J350" i="1"/>
  <c r="E331" i="1"/>
  <c r="F331" i="1"/>
  <c r="H373" i="1"/>
  <c r="I373" i="1" s="1"/>
  <c r="L373" i="1"/>
  <c r="M373" i="1" s="1"/>
  <c r="N373" i="1" s="1"/>
  <c r="H316" i="1"/>
  <c r="I316" i="1" s="1"/>
  <c r="L316" i="1"/>
  <c r="M316" i="1" s="1"/>
  <c r="N316" i="1" s="1"/>
  <c r="H405" i="1"/>
  <c r="I405" i="1" s="1"/>
  <c r="L405" i="1"/>
  <c r="M405" i="1" s="1"/>
  <c r="N405" i="1" s="1"/>
  <c r="J362" i="1"/>
  <c r="K362" i="1"/>
  <c r="K379" i="1"/>
  <c r="J379" i="1"/>
  <c r="K469" i="1"/>
  <c r="J469" i="1"/>
  <c r="O487" i="1"/>
  <c r="P487" i="1"/>
  <c r="O488" i="1"/>
  <c r="P488" i="1"/>
  <c r="J435" i="1"/>
  <c r="K435" i="1"/>
  <c r="O417" i="1"/>
  <c r="P417" i="1"/>
  <c r="E425" i="1"/>
  <c r="F425" i="1"/>
  <c r="O546" i="1"/>
  <c r="P546" i="1"/>
  <c r="O526" i="1"/>
  <c r="P526" i="1"/>
  <c r="K458" i="1"/>
  <c r="J458" i="1"/>
  <c r="J477" i="1"/>
  <c r="K477" i="1"/>
  <c r="H690" i="1"/>
  <c r="I690" i="1" s="1"/>
  <c r="L690" i="1"/>
  <c r="M690" i="1" s="1"/>
  <c r="N690" i="1" s="1"/>
  <c r="O591" i="1"/>
  <c r="P591" i="1"/>
  <c r="O607" i="1"/>
  <c r="P607" i="1"/>
  <c r="E620" i="1"/>
  <c r="F620" i="1"/>
  <c r="P663" i="1"/>
  <c r="O663" i="1"/>
  <c r="J576" i="1"/>
  <c r="K576" i="1"/>
  <c r="O616" i="1"/>
  <c r="P616" i="1"/>
  <c r="J593" i="1"/>
  <c r="K593" i="1"/>
  <c r="H683" i="1"/>
  <c r="I683" i="1" s="1"/>
  <c r="L683" i="1"/>
  <c r="M683" i="1" s="1"/>
  <c r="N683" i="1" s="1"/>
  <c r="K764" i="1"/>
  <c r="J764" i="1"/>
  <c r="J688" i="1"/>
  <c r="K688" i="1"/>
  <c r="P854" i="1"/>
  <c r="O854" i="1"/>
  <c r="H602" i="1"/>
  <c r="I602" i="1" s="1"/>
  <c r="L602" i="1"/>
  <c r="M602" i="1" s="1"/>
  <c r="N602" i="1" s="1"/>
  <c r="H736" i="1"/>
  <c r="I736" i="1" s="1"/>
  <c r="L736" i="1"/>
  <c r="M736" i="1" s="1"/>
  <c r="N736" i="1" s="1"/>
  <c r="E694" i="1"/>
  <c r="F694" i="1"/>
  <c r="L919" i="1"/>
  <c r="M919" i="1" s="1"/>
  <c r="N919" i="1" s="1"/>
  <c r="H919" i="1"/>
  <c r="I919" i="1" s="1"/>
  <c r="L857" i="1"/>
  <c r="M857" i="1" s="1"/>
  <c r="N857" i="1" s="1"/>
  <c r="H857" i="1"/>
  <c r="I857" i="1" s="1"/>
  <c r="J786" i="1"/>
  <c r="K786" i="1"/>
  <c r="F853" i="1"/>
  <c r="E853" i="1"/>
  <c r="J800" i="1"/>
  <c r="K800" i="1"/>
  <c r="J932" i="1"/>
  <c r="K932" i="1"/>
  <c r="L977" i="1"/>
  <c r="M977" i="1" s="1"/>
  <c r="N977" i="1" s="1"/>
  <c r="H977" i="1"/>
  <c r="I977" i="1" s="1"/>
  <c r="J856" i="1"/>
  <c r="K856" i="1"/>
  <c r="J986" i="1"/>
  <c r="K986" i="1"/>
  <c r="J1000" i="1"/>
  <c r="K1000" i="1"/>
  <c r="O960" i="1"/>
  <c r="P960" i="1"/>
  <c r="J943" i="1"/>
  <c r="K943" i="1"/>
  <c r="O1012" i="1"/>
  <c r="P1012" i="1"/>
  <c r="E882" i="1"/>
  <c r="F882" i="1"/>
  <c r="O365" i="1"/>
  <c r="P365" i="1"/>
  <c r="O605" i="1"/>
  <c r="P605" i="1"/>
  <c r="K239" i="1"/>
  <c r="J239" i="1"/>
  <c r="K123" i="1"/>
  <c r="J123" i="1"/>
  <c r="F192" i="1"/>
  <c r="E192" i="1"/>
  <c r="L276" i="1"/>
  <c r="M276" i="1" s="1"/>
  <c r="N276" i="1" s="1"/>
  <c r="H276" i="1"/>
  <c r="I276" i="1" s="1"/>
  <c r="O379" i="1"/>
  <c r="P379" i="1"/>
  <c r="L478" i="1"/>
  <c r="M478" i="1" s="1"/>
  <c r="N478" i="1" s="1"/>
  <c r="H478" i="1"/>
  <c r="I478" i="1" s="1"/>
  <c r="K488" i="1"/>
  <c r="J488" i="1"/>
  <c r="P435" i="1"/>
  <c r="O435" i="1"/>
  <c r="O481" i="1"/>
  <c r="P481" i="1"/>
  <c r="L485" i="1"/>
  <c r="M485" i="1" s="1"/>
  <c r="N485" i="1" s="1"/>
  <c r="H485" i="1"/>
  <c r="I485" i="1" s="1"/>
  <c r="O640" i="1"/>
  <c r="P640" i="1"/>
  <c r="J591" i="1"/>
  <c r="K591" i="1"/>
  <c r="J607" i="1"/>
  <c r="K607" i="1"/>
  <c r="P655" i="1"/>
  <c r="O655" i="1"/>
  <c r="H620" i="1"/>
  <c r="I620" i="1" s="1"/>
  <c r="L620" i="1"/>
  <c r="M620" i="1" s="1"/>
  <c r="N620" i="1" s="1"/>
  <c r="J592" i="1"/>
  <c r="K592" i="1"/>
  <c r="O621" i="1"/>
  <c r="P621" i="1"/>
  <c r="O590" i="1"/>
  <c r="P590" i="1"/>
  <c r="O593" i="1"/>
  <c r="P593" i="1"/>
  <c r="J691" i="1"/>
  <c r="K691" i="1"/>
  <c r="P647" i="1"/>
  <c r="O647" i="1"/>
  <c r="H821" i="1"/>
  <c r="I821" i="1" s="1"/>
  <c r="L821" i="1"/>
  <c r="M821" i="1" s="1"/>
  <c r="N821" i="1" s="1"/>
  <c r="E602" i="1"/>
  <c r="F602" i="1"/>
  <c r="E736" i="1"/>
  <c r="F736" i="1"/>
  <c r="H694" i="1"/>
  <c r="I694" i="1" s="1"/>
  <c r="L694" i="1"/>
  <c r="M694" i="1" s="1"/>
  <c r="N694" i="1" s="1"/>
  <c r="O931" i="1"/>
  <c r="P931" i="1"/>
  <c r="E867" i="1"/>
  <c r="F867" i="1"/>
  <c r="H865" i="1"/>
  <c r="I865" i="1" s="1"/>
  <c r="L865" i="1"/>
  <c r="M865" i="1" s="1"/>
  <c r="N865" i="1" s="1"/>
  <c r="H782" i="1"/>
  <c r="I782" i="1" s="1"/>
  <c r="L782" i="1"/>
  <c r="M782" i="1" s="1"/>
  <c r="N782" i="1" s="1"/>
  <c r="O867" i="1"/>
  <c r="P867" i="1"/>
  <c r="H969" i="1"/>
  <c r="I969" i="1" s="1"/>
  <c r="L969" i="1"/>
  <c r="M969" i="1" s="1"/>
  <c r="N969" i="1" s="1"/>
  <c r="E851" i="1"/>
  <c r="F851" i="1"/>
  <c r="O826" i="1"/>
  <c r="P826" i="1"/>
  <c r="P936" i="1"/>
  <c r="O936" i="1"/>
  <c r="H971" i="1"/>
  <c r="I971" i="1" s="1"/>
  <c r="L971" i="1"/>
  <c r="M971" i="1" s="1"/>
  <c r="N971" i="1" s="1"/>
  <c r="O856" i="1"/>
  <c r="P856" i="1"/>
  <c r="O915" i="1"/>
  <c r="P915" i="1"/>
  <c r="E989" i="1"/>
  <c r="F989" i="1"/>
  <c r="J960" i="1"/>
  <c r="K960" i="1"/>
  <c r="E957" i="1"/>
  <c r="F957" i="1"/>
  <c r="H882" i="1"/>
  <c r="I882" i="1" s="1"/>
  <c r="L882" i="1"/>
  <c r="M882" i="1" s="1"/>
  <c r="N882" i="1" s="1"/>
  <c r="L198" i="1"/>
  <c r="M198" i="1" s="1"/>
  <c r="N198" i="1" s="1"/>
  <c r="H198" i="1"/>
  <c r="I198" i="1" s="1"/>
  <c r="J976" i="1"/>
  <c r="K976" i="1"/>
  <c r="O150" i="1"/>
  <c r="P150" i="1"/>
  <c r="P130" i="1"/>
  <c r="O130" i="1"/>
  <c r="J134" i="1"/>
  <c r="K134" i="1"/>
  <c r="J130" i="1"/>
  <c r="K130" i="1"/>
  <c r="J124" i="1"/>
  <c r="K124" i="1"/>
  <c r="E117" i="1"/>
  <c r="F117" i="1"/>
  <c r="O124" i="1"/>
  <c r="P124" i="1"/>
  <c r="E244" i="1"/>
  <c r="F244" i="1"/>
  <c r="J334" i="1"/>
  <c r="K334" i="1"/>
  <c r="E343" i="1"/>
  <c r="F343" i="1"/>
  <c r="E373" i="1"/>
  <c r="F373" i="1"/>
  <c r="F405" i="1"/>
  <c r="E405" i="1"/>
  <c r="J122" i="1"/>
  <c r="K122" i="1"/>
  <c r="L157" i="1"/>
  <c r="M157" i="1" s="1"/>
  <c r="N157" i="1" s="1"/>
  <c r="H157" i="1"/>
  <c r="I157" i="1" s="1"/>
  <c r="O118" i="1"/>
  <c r="P118" i="1"/>
  <c r="H192" i="1"/>
  <c r="I192" i="1" s="1"/>
  <c r="L192" i="1"/>
  <c r="M192" i="1" s="1"/>
  <c r="N192" i="1" s="1"/>
  <c r="H197" i="1"/>
  <c r="I197" i="1" s="1"/>
  <c r="L197" i="1"/>
  <c r="M197" i="1" s="1"/>
  <c r="N197" i="1" s="1"/>
  <c r="E248" i="1"/>
  <c r="F248" i="1"/>
  <c r="P202" i="1"/>
  <c r="O202" i="1"/>
  <c r="O246" i="1"/>
  <c r="P246" i="1"/>
  <c r="L292" i="1"/>
  <c r="M292" i="1" s="1"/>
  <c r="N292" i="1" s="1"/>
  <c r="H292" i="1"/>
  <c r="I292" i="1" s="1"/>
  <c r="K338" i="1"/>
  <c r="J338" i="1"/>
  <c r="J204" i="1"/>
  <c r="K204" i="1"/>
  <c r="J253" i="1"/>
  <c r="K253" i="1"/>
  <c r="H343" i="1"/>
  <c r="I343" i="1" s="1"/>
  <c r="L343" i="1"/>
  <c r="M343" i="1" s="1"/>
  <c r="N343" i="1" s="1"/>
  <c r="H369" i="1"/>
  <c r="I369" i="1" s="1"/>
  <c r="L369" i="1"/>
  <c r="M369" i="1" s="1"/>
  <c r="N369" i="1" s="1"/>
  <c r="F337" i="1"/>
  <c r="E337" i="1"/>
  <c r="J353" i="1"/>
  <c r="K353" i="1"/>
  <c r="L370" i="1"/>
  <c r="M370" i="1" s="1"/>
  <c r="N370" i="1" s="1"/>
  <c r="H370" i="1"/>
  <c r="I370" i="1" s="1"/>
  <c r="E382" i="1"/>
  <c r="F382" i="1"/>
  <c r="K433" i="1"/>
  <c r="J433" i="1"/>
  <c r="E478" i="1"/>
  <c r="F478" i="1"/>
  <c r="H461" i="1"/>
  <c r="I461" i="1" s="1"/>
  <c r="L461" i="1"/>
  <c r="M461" i="1" s="1"/>
  <c r="N461" i="1" s="1"/>
  <c r="O428" i="1"/>
  <c r="P428" i="1"/>
  <c r="F428" i="1"/>
  <c r="E428" i="1"/>
  <c r="O512" i="1"/>
  <c r="P512" i="1"/>
  <c r="E472" i="1"/>
  <c r="F472" i="1"/>
  <c r="K531" i="1"/>
  <c r="J531" i="1"/>
  <c r="J572" i="1"/>
  <c r="K572" i="1"/>
  <c r="K494" i="1"/>
  <c r="J494" i="1"/>
  <c r="L491" i="1"/>
  <c r="M491" i="1" s="1"/>
  <c r="N491" i="1" s="1"/>
  <c r="H491" i="1"/>
  <c r="I491" i="1" s="1"/>
  <c r="K481" i="1"/>
  <c r="J481" i="1"/>
  <c r="F485" i="1"/>
  <c r="E485" i="1"/>
  <c r="L650" i="1"/>
  <c r="M650" i="1" s="1"/>
  <c r="N650" i="1" s="1"/>
  <c r="H650" i="1"/>
  <c r="I650" i="1" s="1"/>
  <c r="J655" i="1"/>
  <c r="K655" i="1"/>
  <c r="H634" i="1"/>
  <c r="I634" i="1" s="1"/>
  <c r="L634" i="1"/>
  <c r="M634" i="1" s="1"/>
  <c r="N634" i="1" s="1"/>
  <c r="O632" i="1"/>
  <c r="P632" i="1"/>
  <c r="J621" i="1"/>
  <c r="K621" i="1"/>
  <c r="J590" i="1"/>
  <c r="K590" i="1"/>
  <c r="E695" i="1"/>
  <c r="F695" i="1"/>
  <c r="O727" i="1"/>
  <c r="P727" i="1"/>
  <c r="J647" i="1"/>
  <c r="K647" i="1"/>
  <c r="O773" i="1"/>
  <c r="P773" i="1"/>
  <c r="L740" i="1"/>
  <c r="M740" i="1" s="1"/>
  <c r="N740" i="1" s="1"/>
  <c r="H740" i="1"/>
  <c r="I740" i="1" s="1"/>
  <c r="H834" i="1"/>
  <c r="I834" i="1" s="1"/>
  <c r="L834" i="1"/>
  <c r="M834" i="1" s="1"/>
  <c r="N834" i="1" s="1"/>
  <c r="O743" i="1"/>
  <c r="P743" i="1"/>
  <c r="H704" i="1"/>
  <c r="I704" i="1" s="1"/>
  <c r="L704" i="1"/>
  <c r="M704" i="1" s="1"/>
  <c r="N704" i="1" s="1"/>
  <c r="P763" i="1"/>
  <c r="O763" i="1"/>
  <c r="J669" i="1"/>
  <c r="K669" i="1"/>
  <c r="E865" i="1"/>
  <c r="F865" i="1"/>
  <c r="F782" i="1"/>
  <c r="E782" i="1"/>
  <c r="E873" i="1"/>
  <c r="F873" i="1"/>
  <c r="O974" i="1"/>
  <c r="P974" i="1"/>
  <c r="J871" i="1"/>
  <c r="K871" i="1"/>
  <c r="J826" i="1"/>
  <c r="K826" i="1"/>
  <c r="E943" i="1"/>
  <c r="F943" i="1"/>
  <c r="H779" i="1"/>
  <c r="I779" i="1" s="1"/>
  <c r="L779" i="1"/>
  <c r="M779" i="1" s="1"/>
  <c r="N779" i="1" s="1"/>
  <c r="E971" i="1"/>
  <c r="F971" i="1"/>
  <c r="J915" i="1"/>
  <c r="K915" i="1"/>
  <c r="H989" i="1"/>
  <c r="I989" i="1" s="1"/>
  <c r="L989" i="1"/>
  <c r="M989" i="1" s="1"/>
  <c r="N989" i="1" s="1"/>
  <c r="H957" i="1"/>
  <c r="I957" i="1" s="1"/>
  <c r="L957" i="1"/>
  <c r="M957" i="1" s="1"/>
  <c r="N957" i="1" s="1"/>
  <c r="O975" i="1"/>
  <c r="P975" i="1"/>
  <c r="J962" i="1"/>
  <c r="K962" i="1"/>
  <c r="E389" i="1"/>
  <c r="F389" i="1"/>
  <c r="H151" i="1"/>
  <c r="I151" i="1" s="1"/>
  <c r="L151" i="1"/>
  <c r="M151" i="1" s="1"/>
  <c r="N151" i="1" s="1"/>
  <c r="E126" i="1"/>
  <c r="F126" i="1"/>
  <c r="H166" i="1"/>
  <c r="I166" i="1" s="1"/>
  <c r="L166" i="1"/>
  <c r="M166" i="1" s="1"/>
  <c r="N166" i="1" s="1"/>
  <c r="O127" i="1"/>
  <c r="P127" i="1"/>
  <c r="J127" i="1"/>
  <c r="K127" i="1"/>
  <c r="O235" i="1"/>
  <c r="P235" i="1"/>
  <c r="E158" i="1"/>
  <c r="F158" i="1"/>
  <c r="E142" i="1"/>
  <c r="F142" i="1"/>
  <c r="J246" i="1"/>
  <c r="K246" i="1"/>
  <c r="H271" i="1"/>
  <c r="I271" i="1" s="1"/>
  <c r="L271" i="1"/>
  <c r="M271" i="1" s="1"/>
  <c r="N271" i="1" s="1"/>
  <c r="E292" i="1"/>
  <c r="F292" i="1"/>
  <c r="P350" i="1"/>
  <c r="O350" i="1"/>
  <c r="O353" i="1"/>
  <c r="P353" i="1"/>
  <c r="O362" i="1"/>
  <c r="P362" i="1"/>
  <c r="J495" i="1"/>
  <c r="K495" i="1"/>
  <c r="E157" i="1"/>
  <c r="F157" i="1"/>
  <c r="L147" i="1"/>
  <c r="M147" i="1" s="1"/>
  <c r="N147" i="1" s="1"/>
  <c r="H147" i="1"/>
  <c r="I147" i="1" s="1"/>
  <c r="O158" i="1"/>
  <c r="P158" i="1"/>
  <c r="J118" i="1"/>
  <c r="K118" i="1"/>
  <c r="E197" i="1"/>
  <c r="F197" i="1"/>
  <c r="F198" i="1"/>
  <c r="E198" i="1"/>
  <c r="E190" i="1"/>
  <c r="F190" i="1"/>
  <c r="P259" i="1"/>
  <c r="O259" i="1"/>
  <c r="H248" i="1"/>
  <c r="I248" i="1" s="1"/>
  <c r="L248" i="1"/>
  <c r="M248" i="1" s="1"/>
  <c r="N248" i="1" s="1"/>
  <c r="K270" i="1"/>
  <c r="J270" i="1"/>
  <c r="J202" i="1"/>
  <c r="K202" i="1"/>
  <c r="J255" i="1"/>
  <c r="K255" i="1"/>
  <c r="F294" i="1"/>
  <c r="E294" i="1"/>
  <c r="P338" i="1"/>
  <c r="O338" i="1"/>
  <c r="O204" i="1"/>
  <c r="P204" i="1"/>
  <c r="O253" i="1"/>
  <c r="P253" i="1"/>
  <c r="L372" i="1"/>
  <c r="M372" i="1" s="1"/>
  <c r="N372" i="1" s="1"/>
  <c r="H372" i="1"/>
  <c r="I372" i="1" s="1"/>
  <c r="F369" i="1"/>
  <c r="E369" i="1"/>
  <c r="K321" i="1"/>
  <c r="J321" i="1"/>
  <c r="H389" i="1"/>
  <c r="I389" i="1" s="1"/>
  <c r="L389" i="1"/>
  <c r="M389" i="1" s="1"/>
  <c r="N389" i="1" s="1"/>
  <c r="L337" i="1"/>
  <c r="M337" i="1" s="1"/>
  <c r="N337" i="1" s="1"/>
  <c r="H337" i="1"/>
  <c r="I337" i="1" s="1"/>
  <c r="H363" i="1"/>
  <c r="I363" i="1" s="1"/>
  <c r="L363" i="1"/>
  <c r="M363" i="1" s="1"/>
  <c r="N363" i="1" s="1"/>
  <c r="H419" i="1"/>
  <c r="I419" i="1" s="1"/>
  <c r="L419" i="1"/>
  <c r="M419" i="1" s="1"/>
  <c r="N419" i="1" s="1"/>
  <c r="H378" i="1"/>
  <c r="I378" i="1" s="1"/>
  <c r="L378" i="1"/>
  <c r="M378" i="1" s="1"/>
  <c r="N378" i="1" s="1"/>
  <c r="E370" i="1"/>
  <c r="F370" i="1"/>
  <c r="H382" i="1"/>
  <c r="I382" i="1" s="1"/>
  <c r="L382" i="1"/>
  <c r="M382" i="1" s="1"/>
  <c r="N382" i="1" s="1"/>
  <c r="O433" i="1"/>
  <c r="P433" i="1"/>
  <c r="L484" i="1"/>
  <c r="M484" i="1" s="1"/>
  <c r="N484" i="1" s="1"/>
  <c r="H484" i="1"/>
  <c r="I484" i="1" s="1"/>
  <c r="P463" i="1"/>
  <c r="O463" i="1"/>
  <c r="E470" i="1"/>
  <c r="F470" i="1"/>
  <c r="K428" i="1"/>
  <c r="J428" i="1"/>
  <c r="L472" i="1"/>
  <c r="M472" i="1" s="1"/>
  <c r="N472" i="1" s="1"/>
  <c r="H472" i="1"/>
  <c r="I472" i="1" s="1"/>
  <c r="J541" i="1"/>
  <c r="K541" i="1"/>
  <c r="O573" i="1"/>
  <c r="P573" i="1"/>
  <c r="O494" i="1"/>
  <c r="P494" i="1"/>
  <c r="F491" i="1"/>
  <c r="E491" i="1"/>
  <c r="E650" i="1"/>
  <c r="F650" i="1"/>
  <c r="E634" i="1"/>
  <c r="F634" i="1"/>
  <c r="L626" i="1"/>
  <c r="M626" i="1" s="1"/>
  <c r="N626" i="1" s="1"/>
  <c r="H626" i="1"/>
  <c r="I626" i="1" s="1"/>
  <c r="O622" i="1"/>
  <c r="P622" i="1"/>
  <c r="J699" i="1"/>
  <c r="K699" i="1"/>
  <c r="J727" i="1"/>
  <c r="K727" i="1"/>
  <c r="J653" i="1"/>
  <c r="K653" i="1"/>
  <c r="O697" i="1"/>
  <c r="P697" i="1"/>
  <c r="O719" i="1"/>
  <c r="P719" i="1"/>
  <c r="O818" i="1"/>
  <c r="P818" i="1"/>
  <c r="E740" i="1"/>
  <c r="F740" i="1"/>
  <c r="J743" i="1"/>
  <c r="K743" i="1"/>
  <c r="E704" i="1"/>
  <c r="F704" i="1"/>
  <c r="O669" i="1"/>
  <c r="P669" i="1"/>
  <c r="P753" i="1"/>
  <c r="O753" i="1"/>
  <c r="H869" i="1"/>
  <c r="I869" i="1" s="1"/>
  <c r="L869" i="1"/>
  <c r="M869" i="1" s="1"/>
  <c r="N869" i="1" s="1"/>
  <c r="H985" i="1"/>
  <c r="I985" i="1" s="1"/>
  <c r="L985" i="1"/>
  <c r="M985" i="1" s="1"/>
  <c r="N985" i="1" s="1"/>
  <c r="P866" i="1"/>
  <c r="O866" i="1"/>
  <c r="H901" i="1"/>
  <c r="I901" i="1" s="1"/>
  <c r="L901" i="1"/>
  <c r="M901" i="1" s="1"/>
  <c r="N901" i="1" s="1"/>
  <c r="O835" i="1"/>
  <c r="P835" i="1"/>
  <c r="L947" i="1"/>
  <c r="M947" i="1" s="1"/>
  <c r="N947" i="1" s="1"/>
  <c r="H947" i="1"/>
  <c r="I947" i="1" s="1"/>
  <c r="E779" i="1"/>
  <c r="F779" i="1"/>
  <c r="O976" i="1"/>
  <c r="P976" i="1"/>
  <c r="K996" i="1"/>
  <c r="J996" i="1"/>
  <c r="J975" i="1"/>
  <c r="K975" i="1"/>
  <c r="O962" i="1"/>
  <c r="P962" i="1"/>
  <c r="O53" i="1"/>
  <c r="P53" i="1"/>
  <c r="F45" i="1"/>
  <c r="E45" i="1"/>
  <c r="J19" i="1"/>
  <c r="K19" i="1"/>
  <c r="O88" i="1"/>
  <c r="P88" i="1"/>
  <c r="E107" i="1"/>
  <c r="F107" i="1"/>
  <c r="J64" i="1"/>
  <c r="K64" i="1"/>
  <c r="O58" i="1"/>
  <c r="P58" i="1"/>
  <c r="H20" i="1"/>
  <c r="I20" i="1" s="1"/>
  <c r="L20" i="1"/>
  <c r="M20" i="1" s="1"/>
  <c r="N20" i="1" s="1"/>
  <c r="J105" i="1"/>
  <c r="K105" i="1"/>
  <c r="O24" i="1"/>
  <c r="P24" i="1"/>
  <c r="E91" i="1"/>
  <c r="F91" i="1"/>
  <c r="O94" i="1"/>
  <c r="P94" i="1"/>
  <c r="O85" i="1"/>
  <c r="P85" i="1"/>
  <c r="P55" i="1"/>
  <c r="O55" i="1"/>
  <c r="H108" i="1"/>
  <c r="I108" i="1" s="1"/>
  <c r="L108" i="1"/>
  <c r="M108" i="1" s="1"/>
  <c r="N108" i="1" s="1"/>
  <c r="K85" i="1"/>
  <c r="J85" i="1"/>
  <c r="K88" i="1"/>
  <c r="J88" i="1"/>
  <c r="O19" i="1"/>
  <c r="P19" i="1"/>
  <c r="J53" i="1"/>
  <c r="K53" i="1"/>
  <c r="K79" i="1"/>
  <c r="J79" i="1"/>
  <c r="P29" i="1"/>
  <c r="O29" i="1"/>
  <c r="H78" i="1"/>
  <c r="I78" i="1" s="1"/>
  <c r="L78" i="1"/>
  <c r="M78" i="1" s="1"/>
  <c r="N78" i="1" s="1"/>
  <c r="J59" i="1"/>
  <c r="K59" i="1"/>
  <c r="P59" i="1"/>
  <c r="O59" i="1"/>
  <c r="F69" i="1"/>
  <c r="E69" i="1"/>
  <c r="O92" i="1"/>
  <c r="P92" i="1"/>
  <c r="F77" i="1"/>
  <c r="E77" i="1"/>
  <c r="F83" i="1"/>
  <c r="E83" i="1"/>
  <c r="H60" i="1"/>
  <c r="I60" i="1" s="1"/>
  <c r="L60" i="1"/>
  <c r="M60" i="1" s="1"/>
  <c r="N60" i="1" s="1"/>
  <c r="E16" i="1"/>
  <c r="F16" i="1"/>
  <c r="J25" i="1"/>
  <c r="K25" i="1"/>
  <c r="E60" i="1"/>
  <c r="F60" i="1"/>
  <c r="L48" i="1"/>
  <c r="M48" i="1" s="1"/>
  <c r="N48" i="1" s="1"/>
  <c r="H48" i="1"/>
  <c r="I48" i="1" s="1"/>
  <c r="K18" i="1"/>
  <c r="J18" i="1"/>
  <c r="H71" i="1"/>
  <c r="I71" i="1" s="1"/>
  <c r="L71" i="1"/>
  <c r="M71" i="1" s="1"/>
  <c r="N71" i="1" s="1"/>
  <c r="O76" i="1"/>
  <c r="P76" i="1"/>
  <c r="F100" i="1"/>
  <c r="E100" i="1"/>
  <c r="O40" i="1"/>
  <c r="P40" i="1"/>
  <c r="O64" i="1"/>
  <c r="P64" i="1"/>
  <c r="K50" i="1"/>
  <c r="J50" i="1"/>
  <c r="P100" i="1"/>
  <c r="O100" i="1"/>
  <c r="H16" i="1"/>
  <c r="I16" i="1" s="1"/>
  <c r="L16" i="1"/>
  <c r="M16" i="1" s="1"/>
  <c r="N16" i="1" s="1"/>
  <c r="O18" i="1"/>
  <c r="P18" i="1"/>
  <c r="F71" i="1"/>
  <c r="E71" i="1"/>
  <c r="J73" i="1"/>
  <c r="K73" i="1"/>
  <c r="J76" i="1"/>
  <c r="K76" i="1"/>
  <c r="K104" i="1"/>
  <c r="J104" i="1"/>
  <c r="O44" i="1"/>
  <c r="P44" i="1"/>
  <c r="L91" i="1"/>
  <c r="M91" i="1" s="1"/>
  <c r="N91" i="1" s="1"/>
  <c r="H91" i="1"/>
  <c r="I91" i="1" s="1"/>
  <c r="O73" i="1"/>
  <c r="P73" i="1"/>
  <c r="L82" i="1"/>
  <c r="M82" i="1" s="1"/>
  <c r="N82" i="1" s="1"/>
  <c r="H82" i="1"/>
  <c r="I82" i="1" s="1"/>
  <c r="O105" i="1"/>
  <c r="P105" i="1"/>
  <c r="F35" i="1"/>
  <c r="E35" i="1"/>
  <c r="L66" i="1"/>
  <c r="M66" i="1" s="1"/>
  <c r="N66" i="1" s="1"/>
  <c r="H66" i="1"/>
  <c r="I66" i="1" s="1"/>
  <c r="E82" i="1"/>
  <c r="F82" i="1"/>
  <c r="K83" i="1"/>
  <c r="J83" i="1"/>
  <c r="L80" i="1"/>
  <c r="M80" i="1" s="1"/>
  <c r="N80" i="1" s="1"/>
  <c r="H80" i="1"/>
  <c r="I80" i="1" s="1"/>
  <c r="E20" i="1"/>
  <c r="F20" i="1"/>
  <c r="H84" i="1"/>
  <c r="I84" i="1" s="1"/>
  <c r="L84" i="1"/>
  <c r="M84" i="1" s="1"/>
  <c r="N84" i="1" s="1"/>
  <c r="O30" i="1"/>
  <c r="P30" i="1"/>
  <c r="O102" i="1"/>
  <c r="P102" i="1"/>
  <c r="H42" i="1"/>
  <c r="I42" i="1" s="1"/>
  <c r="L42" i="1"/>
  <c r="M42" i="1" s="1"/>
  <c r="N42" i="1" s="1"/>
  <c r="E66" i="1"/>
  <c r="F66" i="1"/>
  <c r="E80" i="1"/>
  <c r="F80" i="1"/>
  <c r="O101" i="1"/>
  <c r="P101" i="1"/>
  <c r="P79" i="1"/>
  <c r="O79" i="1"/>
  <c r="J94" i="1"/>
  <c r="K94" i="1"/>
  <c r="O51" i="1"/>
  <c r="P51" i="1"/>
  <c r="E59" i="1"/>
  <c r="F59" i="1"/>
  <c r="F93" i="1"/>
  <c r="E93" i="1"/>
  <c r="K58" i="1"/>
  <c r="J58" i="1"/>
  <c r="E84" i="1"/>
  <c r="F84" i="1"/>
  <c r="K101" i="1"/>
  <c r="J101" i="1"/>
  <c r="F51" i="1"/>
  <c r="E51" i="1"/>
  <c r="K24" i="1"/>
  <c r="J24" i="1"/>
  <c r="H69" i="1"/>
  <c r="I69" i="1" s="1"/>
  <c r="L69" i="1"/>
  <c r="M69" i="1" s="1"/>
  <c r="N69" i="1" s="1"/>
  <c r="H39" i="1"/>
  <c r="I39" i="1" s="1"/>
  <c r="L39" i="1"/>
  <c r="M39" i="1" s="1"/>
  <c r="N39" i="1" s="1"/>
  <c r="J51" i="1"/>
  <c r="K51" i="1"/>
  <c r="O15" i="1"/>
  <c r="P15" i="1"/>
  <c r="F29" i="1"/>
  <c r="E29" i="1"/>
  <c r="H103" i="1"/>
  <c r="I103" i="1" s="1"/>
  <c r="L103" i="1"/>
  <c r="M103" i="1" s="1"/>
  <c r="N103" i="1" s="1"/>
  <c r="J81" i="1"/>
  <c r="K81" i="1"/>
  <c r="F19" i="1"/>
  <c r="E19" i="1"/>
  <c r="J32" i="1"/>
  <c r="K32" i="1"/>
  <c r="L26" i="1"/>
  <c r="M26" i="1" s="1"/>
  <c r="N26" i="1" s="1"/>
  <c r="H26" i="1"/>
  <c r="I26" i="1" s="1"/>
  <c r="F103" i="1"/>
  <c r="E103" i="1"/>
  <c r="P87" i="1"/>
  <c r="O87" i="1"/>
  <c r="O83" i="1"/>
  <c r="P83" i="1"/>
  <c r="E18" i="1"/>
  <c r="F18" i="1"/>
  <c r="F42" i="1"/>
  <c r="E42" i="1"/>
  <c r="J87" i="1"/>
  <c r="K87" i="1"/>
  <c r="J23" i="1"/>
  <c r="K23" i="1"/>
  <c r="E75" i="1"/>
  <c r="F75" i="1"/>
  <c r="P77" i="1"/>
  <c r="O77" i="1"/>
  <c r="E78" i="1"/>
  <c r="F78" i="1"/>
  <c r="P95" i="1"/>
  <c r="O95" i="1"/>
  <c r="J14" i="1"/>
  <c r="J13" i="1"/>
  <c r="K13" i="1"/>
  <c r="O13" i="1"/>
  <c r="P13" i="1"/>
  <c r="M14" i="1"/>
  <c r="N14" i="1" s="1"/>
  <c r="E14" i="1"/>
  <c r="F13" i="1"/>
  <c r="K489" i="1" l="1"/>
  <c r="K717" i="1"/>
  <c r="K733" i="1"/>
  <c r="K557" i="1"/>
  <c r="K131" i="1"/>
  <c r="K267" i="1"/>
  <c r="O847" i="1"/>
  <c r="O348" i="1"/>
  <c r="J571" i="1"/>
  <c r="P508" i="1"/>
  <c r="J171" i="1"/>
  <c r="P318" i="1"/>
  <c r="J529" i="1"/>
  <c r="J756" i="1"/>
  <c r="K756" i="1"/>
  <c r="O580" i="1"/>
  <c r="P580" i="1"/>
  <c r="O507" i="1"/>
  <c r="P507" i="1"/>
  <c r="O715" i="1"/>
  <c r="P715" i="1"/>
  <c r="J580" i="1"/>
  <c r="K580" i="1"/>
  <c r="P112" i="1"/>
  <c r="O112" i="1"/>
  <c r="K112" i="1"/>
  <c r="J112" i="1"/>
  <c r="P687" i="1"/>
  <c r="O687" i="1"/>
  <c r="J687" i="1"/>
  <c r="K687" i="1"/>
  <c r="K734" i="1"/>
  <c r="J734" i="1"/>
  <c r="J99" i="1"/>
  <c r="K99" i="1"/>
  <c r="J355" i="1"/>
  <c r="K355" i="1"/>
  <c r="O734" i="1"/>
  <c r="P734" i="1"/>
  <c r="K965" i="1"/>
  <c r="J965" i="1"/>
  <c r="O965" i="1"/>
  <c r="P965" i="1"/>
  <c r="K715" i="1"/>
  <c r="K676" i="1"/>
  <c r="J676" i="1"/>
  <c r="J507" i="1"/>
  <c r="K507" i="1"/>
  <c r="O363" i="1"/>
  <c r="P363" i="1"/>
  <c r="J857" i="1"/>
  <c r="K857" i="1"/>
  <c r="O503" i="1"/>
  <c r="P503" i="1"/>
  <c r="P241" i="1"/>
  <c r="O241" i="1"/>
  <c r="J788" i="1"/>
  <c r="K788" i="1"/>
  <c r="P360" i="1"/>
  <c r="O360" i="1"/>
  <c r="P565" i="1"/>
  <c r="O565" i="1"/>
  <c r="O678" i="1"/>
  <c r="P678" i="1"/>
  <c r="O814" i="1"/>
  <c r="P814" i="1"/>
  <c r="O456" i="1"/>
  <c r="P456" i="1"/>
  <c r="O256" i="1"/>
  <c r="P256" i="1"/>
  <c r="K363" i="1"/>
  <c r="J363" i="1"/>
  <c r="J957" i="1"/>
  <c r="K957" i="1"/>
  <c r="J834" i="1"/>
  <c r="K834" i="1"/>
  <c r="O198" i="1"/>
  <c r="P198" i="1"/>
  <c r="P485" i="1"/>
  <c r="O485" i="1"/>
  <c r="O857" i="1"/>
  <c r="P857" i="1"/>
  <c r="J683" i="1"/>
  <c r="K683" i="1"/>
  <c r="K690" i="1"/>
  <c r="J690" i="1"/>
  <c r="J953" i="1"/>
  <c r="K953" i="1"/>
  <c r="K850" i="1"/>
  <c r="J850" i="1"/>
  <c r="J795" i="1"/>
  <c r="K795" i="1"/>
  <c r="K503" i="1"/>
  <c r="J503" i="1"/>
  <c r="P493" i="1"/>
  <c r="O493" i="1"/>
  <c r="K381" i="1"/>
  <c r="J381" i="1"/>
  <c r="J241" i="1"/>
  <c r="K241" i="1"/>
  <c r="K141" i="1"/>
  <c r="J141" i="1"/>
  <c r="O788" i="1"/>
  <c r="P788" i="1"/>
  <c r="J360" i="1"/>
  <c r="K360" i="1"/>
  <c r="K565" i="1"/>
  <c r="J565" i="1"/>
  <c r="O357" i="1"/>
  <c r="P357" i="1"/>
  <c r="J523" i="1"/>
  <c r="K523" i="1"/>
  <c r="J678" i="1"/>
  <c r="K678" i="1"/>
  <c r="J814" i="1"/>
  <c r="K814" i="1"/>
  <c r="J456" i="1"/>
  <c r="K456" i="1"/>
  <c r="J256" i="1"/>
  <c r="K256" i="1"/>
  <c r="O690" i="1"/>
  <c r="P690" i="1"/>
  <c r="K337" i="1"/>
  <c r="J337" i="1"/>
  <c r="O989" i="1"/>
  <c r="P989" i="1"/>
  <c r="J740" i="1"/>
  <c r="K740" i="1"/>
  <c r="O634" i="1"/>
  <c r="P634" i="1"/>
  <c r="K157" i="1"/>
  <c r="J157" i="1"/>
  <c r="P882" i="1"/>
  <c r="O882" i="1"/>
  <c r="O694" i="1"/>
  <c r="P694" i="1"/>
  <c r="J919" i="1"/>
  <c r="K919" i="1"/>
  <c r="O853" i="1"/>
  <c r="P853" i="1"/>
  <c r="J813" i="1"/>
  <c r="K813" i="1"/>
  <c r="O539" i="1"/>
  <c r="P539" i="1"/>
  <c r="O331" i="1"/>
  <c r="P331" i="1"/>
  <c r="O955" i="1"/>
  <c r="P955" i="1"/>
  <c r="O991" i="1"/>
  <c r="P991" i="1"/>
  <c r="P432" i="1"/>
  <c r="O432" i="1"/>
  <c r="O275" i="1"/>
  <c r="P275" i="1"/>
  <c r="O377" i="1"/>
  <c r="P377" i="1"/>
  <c r="J441" i="1"/>
  <c r="K441" i="1"/>
  <c r="K291" i="1"/>
  <c r="J291" i="1"/>
  <c r="K230" i="1"/>
  <c r="J230" i="1"/>
  <c r="O973" i="1"/>
  <c r="P973" i="1"/>
  <c r="K642" i="1"/>
  <c r="J642" i="1"/>
  <c r="J482" i="1"/>
  <c r="K482" i="1"/>
  <c r="J797" i="1"/>
  <c r="K797" i="1"/>
  <c r="O614" i="1"/>
  <c r="P614" i="1"/>
  <c r="K214" i="1"/>
  <c r="J214" i="1"/>
  <c r="J859" i="1"/>
  <c r="K859" i="1"/>
  <c r="J438" i="1"/>
  <c r="K438" i="1"/>
  <c r="K283" i="1"/>
  <c r="J283" i="1"/>
  <c r="O683" i="1"/>
  <c r="P683" i="1"/>
  <c r="O740" i="1"/>
  <c r="P740" i="1"/>
  <c r="K634" i="1"/>
  <c r="J634" i="1"/>
  <c r="O157" i="1"/>
  <c r="P157" i="1"/>
  <c r="J882" i="1"/>
  <c r="K882" i="1"/>
  <c r="J694" i="1"/>
  <c r="K694" i="1"/>
  <c r="O919" i="1"/>
  <c r="P919" i="1"/>
  <c r="J853" i="1"/>
  <c r="K853" i="1"/>
  <c r="O813" i="1"/>
  <c r="P813" i="1"/>
  <c r="J539" i="1"/>
  <c r="K539" i="1"/>
  <c r="J331" i="1"/>
  <c r="K331" i="1"/>
  <c r="J955" i="1"/>
  <c r="K955" i="1"/>
  <c r="J991" i="1"/>
  <c r="K991" i="1"/>
  <c r="J432" i="1"/>
  <c r="K432" i="1"/>
  <c r="K275" i="1"/>
  <c r="J275" i="1"/>
  <c r="J377" i="1"/>
  <c r="K377" i="1"/>
  <c r="O441" i="1"/>
  <c r="P441" i="1"/>
  <c r="O291" i="1"/>
  <c r="P291" i="1"/>
  <c r="P230" i="1"/>
  <c r="O230" i="1"/>
  <c r="J973" i="1"/>
  <c r="K973" i="1"/>
  <c r="O642" i="1"/>
  <c r="P642" i="1"/>
  <c r="O482" i="1"/>
  <c r="P482" i="1"/>
  <c r="O797" i="1"/>
  <c r="P797" i="1"/>
  <c r="J614" i="1"/>
  <c r="K614" i="1"/>
  <c r="O214" i="1"/>
  <c r="P214" i="1"/>
  <c r="O859" i="1"/>
  <c r="P859" i="1"/>
  <c r="P438" i="1"/>
  <c r="O438" i="1"/>
  <c r="O283" i="1"/>
  <c r="P283" i="1"/>
  <c r="O381" i="1"/>
  <c r="P381" i="1"/>
  <c r="J370" i="1"/>
  <c r="K370" i="1"/>
  <c r="O293" i="1"/>
  <c r="P293" i="1"/>
  <c r="O272" i="1"/>
  <c r="P272" i="1"/>
  <c r="O682" i="1"/>
  <c r="P682" i="1"/>
  <c r="O588" i="1"/>
  <c r="P588" i="1"/>
  <c r="K306" i="1"/>
  <c r="J306" i="1"/>
  <c r="K268" i="1"/>
  <c r="J268" i="1"/>
  <c r="O692" i="1"/>
  <c r="P692" i="1"/>
  <c r="O264" i="1"/>
  <c r="P264" i="1"/>
  <c r="O837" i="1"/>
  <c r="P837" i="1"/>
  <c r="O708" i="1"/>
  <c r="P708" i="1"/>
  <c r="O586" i="1"/>
  <c r="P586" i="1"/>
  <c r="O987" i="1"/>
  <c r="P987" i="1"/>
  <c r="O982" i="1"/>
  <c r="P982" i="1"/>
  <c r="O618" i="1"/>
  <c r="P618" i="1"/>
  <c r="J880" i="1"/>
  <c r="K880" i="1"/>
  <c r="J509" i="1"/>
  <c r="K509" i="1"/>
  <c r="J387" i="1"/>
  <c r="K387" i="1"/>
  <c r="J260" i="1"/>
  <c r="K260" i="1"/>
  <c r="O789" i="1"/>
  <c r="P789" i="1"/>
  <c r="J822" i="1"/>
  <c r="K822" i="1"/>
  <c r="O811" i="1"/>
  <c r="P811" i="1"/>
  <c r="O636" i="1"/>
  <c r="P636" i="1"/>
  <c r="J179" i="1"/>
  <c r="K179" i="1"/>
  <c r="J993" i="1"/>
  <c r="K993" i="1"/>
  <c r="K272" i="1"/>
  <c r="J272" i="1"/>
  <c r="K682" i="1"/>
  <c r="J682" i="1"/>
  <c r="J588" i="1"/>
  <c r="K588" i="1"/>
  <c r="P306" i="1"/>
  <c r="O306" i="1"/>
  <c r="P268" i="1"/>
  <c r="O268" i="1"/>
  <c r="J692" i="1"/>
  <c r="K692" i="1"/>
  <c r="J264" i="1"/>
  <c r="K264" i="1"/>
  <c r="J837" i="1"/>
  <c r="K837" i="1"/>
  <c r="J708" i="1"/>
  <c r="K708" i="1"/>
  <c r="J586" i="1"/>
  <c r="K586" i="1"/>
  <c r="K987" i="1"/>
  <c r="J987" i="1"/>
  <c r="J982" i="1"/>
  <c r="K982" i="1"/>
  <c r="K618" i="1"/>
  <c r="J618" i="1"/>
  <c r="O880" i="1"/>
  <c r="P880" i="1"/>
  <c r="P509" i="1"/>
  <c r="O509" i="1"/>
  <c r="O387" i="1"/>
  <c r="P387" i="1"/>
  <c r="P260" i="1"/>
  <c r="O260" i="1"/>
  <c r="K789" i="1"/>
  <c r="J789" i="1"/>
  <c r="O822" i="1"/>
  <c r="P822" i="1"/>
  <c r="J811" i="1"/>
  <c r="K811" i="1"/>
  <c r="J636" i="1"/>
  <c r="K636" i="1"/>
  <c r="O179" i="1"/>
  <c r="P179" i="1"/>
  <c r="O993" i="1"/>
  <c r="P993" i="1"/>
  <c r="K198" i="1"/>
  <c r="J198" i="1"/>
  <c r="K357" i="1"/>
  <c r="J357" i="1"/>
  <c r="J985" i="1"/>
  <c r="K985" i="1"/>
  <c r="K484" i="1"/>
  <c r="J484" i="1"/>
  <c r="P484" i="1"/>
  <c r="O484" i="1"/>
  <c r="O292" i="1"/>
  <c r="P292" i="1"/>
  <c r="O271" i="1"/>
  <c r="P271" i="1"/>
  <c r="K650" i="1"/>
  <c r="J650" i="1"/>
  <c r="O969" i="1"/>
  <c r="P969" i="1"/>
  <c r="O620" i="1"/>
  <c r="P620" i="1"/>
  <c r="J977" i="1"/>
  <c r="K977" i="1"/>
  <c r="O736" i="1"/>
  <c r="P736" i="1"/>
  <c r="J454" i="1"/>
  <c r="K454" i="1"/>
  <c r="K742" i="1"/>
  <c r="J742" i="1"/>
  <c r="O416" i="1"/>
  <c r="P416" i="1"/>
  <c r="P366" i="1"/>
  <c r="O366" i="1"/>
  <c r="J237" i="1"/>
  <c r="K237" i="1"/>
  <c r="O189" i="1"/>
  <c r="P189" i="1"/>
  <c r="P294" i="1"/>
  <c r="O294" i="1"/>
  <c r="K979" i="1"/>
  <c r="J979" i="1"/>
  <c r="J781" i="1"/>
  <c r="K781" i="1"/>
  <c r="O646" i="1"/>
  <c r="P646" i="1"/>
  <c r="K173" i="1"/>
  <c r="J173" i="1"/>
  <c r="P479" i="1"/>
  <c r="O479" i="1"/>
  <c r="J527" i="1"/>
  <c r="K527" i="1"/>
  <c r="P310" i="1"/>
  <c r="O310" i="1"/>
  <c r="O934" i="1"/>
  <c r="P934" i="1"/>
  <c r="J502" i="1"/>
  <c r="K502" i="1"/>
  <c r="O724" i="1"/>
  <c r="P724" i="1"/>
  <c r="K434" i="1"/>
  <c r="J434" i="1"/>
  <c r="J247" i="1"/>
  <c r="K247" i="1"/>
  <c r="P834" i="1"/>
  <c r="O834" i="1"/>
  <c r="P850" i="1"/>
  <c r="O850" i="1"/>
  <c r="J493" i="1"/>
  <c r="K493" i="1"/>
  <c r="O141" i="1"/>
  <c r="P141" i="1"/>
  <c r="O869" i="1"/>
  <c r="P869" i="1"/>
  <c r="J389" i="1"/>
  <c r="K389" i="1"/>
  <c r="J166" i="1"/>
  <c r="K166" i="1"/>
  <c r="O650" i="1"/>
  <c r="P650" i="1"/>
  <c r="J969" i="1"/>
  <c r="K969" i="1"/>
  <c r="J620" i="1"/>
  <c r="K620" i="1"/>
  <c r="O977" i="1"/>
  <c r="P977" i="1"/>
  <c r="K736" i="1"/>
  <c r="J736" i="1"/>
  <c r="O454" i="1"/>
  <c r="P454" i="1"/>
  <c r="O742" i="1"/>
  <c r="P742" i="1"/>
  <c r="J416" i="1"/>
  <c r="K416" i="1"/>
  <c r="J366" i="1"/>
  <c r="K366" i="1"/>
  <c r="O237" i="1"/>
  <c r="P237" i="1"/>
  <c r="K189" i="1"/>
  <c r="J189" i="1"/>
  <c r="J294" i="1"/>
  <c r="K294" i="1"/>
  <c r="O979" i="1"/>
  <c r="P979" i="1"/>
  <c r="O781" i="1"/>
  <c r="P781" i="1"/>
  <c r="K646" i="1"/>
  <c r="J646" i="1"/>
  <c r="O173" i="1"/>
  <c r="P173" i="1"/>
  <c r="J479" i="1"/>
  <c r="K479" i="1"/>
  <c r="O527" i="1"/>
  <c r="P527" i="1"/>
  <c r="J310" i="1"/>
  <c r="K310" i="1"/>
  <c r="J934" i="1"/>
  <c r="K934" i="1"/>
  <c r="P502" i="1"/>
  <c r="O502" i="1"/>
  <c r="J724" i="1"/>
  <c r="K724" i="1"/>
  <c r="P434" i="1"/>
  <c r="O434" i="1"/>
  <c r="O247" i="1"/>
  <c r="P247" i="1"/>
  <c r="O957" i="1"/>
  <c r="P957" i="1"/>
  <c r="O985" i="1"/>
  <c r="P985" i="1"/>
  <c r="P337" i="1"/>
  <c r="O337" i="1"/>
  <c r="J989" i="1"/>
  <c r="K989" i="1"/>
  <c r="O166" i="1"/>
  <c r="P166" i="1"/>
  <c r="J292" i="1"/>
  <c r="K292" i="1"/>
  <c r="J869" i="1"/>
  <c r="K869" i="1"/>
  <c r="P370" i="1"/>
  <c r="O370" i="1"/>
  <c r="J293" i="1"/>
  <c r="K293" i="1"/>
  <c r="K271" i="1"/>
  <c r="J271" i="1"/>
  <c r="O382" i="1"/>
  <c r="P382" i="1"/>
  <c r="J147" i="1"/>
  <c r="K147" i="1"/>
  <c r="O151" i="1"/>
  <c r="P151" i="1"/>
  <c r="O779" i="1"/>
  <c r="P779" i="1"/>
  <c r="O821" i="1"/>
  <c r="P821" i="1"/>
  <c r="J478" i="1"/>
  <c r="K478" i="1"/>
  <c r="O602" i="1"/>
  <c r="P602" i="1"/>
  <c r="J244" i="1"/>
  <c r="K244" i="1"/>
  <c r="O885" i="1"/>
  <c r="P885" i="1"/>
  <c r="K421" i="1"/>
  <c r="J421" i="1"/>
  <c r="O890" i="1"/>
  <c r="P890" i="1"/>
  <c r="J412" i="1"/>
  <c r="K412" i="1"/>
  <c r="K1011" i="1"/>
  <c r="J1011" i="1"/>
  <c r="O784" i="1"/>
  <c r="P784" i="1"/>
  <c r="P257" i="1"/>
  <c r="O257" i="1"/>
  <c r="O582" i="1"/>
  <c r="P582" i="1"/>
  <c r="O286" i="1"/>
  <c r="P286" i="1"/>
  <c r="O966" i="1"/>
  <c r="P966" i="1"/>
  <c r="K525" i="1"/>
  <c r="J525" i="1"/>
  <c r="K963" i="1"/>
  <c r="J963" i="1"/>
  <c r="O662" i="1"/>
  <c r="P662" i="1"/>
  <c r="P521" i="1"/>
  <c r="O521" i="1"/>
  <c r="O436" i="1"/>
  <c r="P436" i="1"/>
  <c r="J765" i="1"/>
  <c r="K765" i="1"/>
  <c r="O389" i="1"/>
  <c r="P389" i="1"/>
  <c r="J382" i="1"/>
  <c r="K382" i="1"/>
  <c r="O147" i="1"/>
  <c r="P147" i="1"/>
  <c r="K151" i="1"/>
  <c r="J151" i="1"/>
  <c r="J779" i="1"/>
  <c r="K779" i="1"/>
  <c r="K821" i="1"/>
  <c r="J821" i="1"/>
  <c r="O478" i="1"/>
  <c r="P478" i="1"/>
  <c r="J602" i="1"/>
  <c r="K602" i="1"/>
  <c r="O244" i="1"/>
  <c r="P244" i="1"/>
  <c r="J885" i="1"/>
  <c r="K885" i="1"/>
  <c r="O421" i="1"/>
  <c r="P421" i="1"/>
  <c r="J890" i="1"/>
  <c r="K890" i="1"/>
  <c r="O412" i="1"/>
  <c r="P412" i="1"/>
  <c r="P1011" i="1"/>
  <c r="O1011" i="1"/>
  <c r="J784" i="1"/>
  <c r="K784" i="1"/>
  <c r="J257" i="1"/>
  <c r="K257" i="1"/>
  <c r="J582" i="1"/>
  <c r="K582" i="1"/>
  <c r="K286" i="1"/>
  <c r="J286" i="1"/>
  <c r="J966" i="1"/>
  <c r="K966" i="1"/>
  <c r="O525" i="1"/>
  <c r="P525" i="1"/>
  <c r="O963" i="1"/>
  <c r="P963" i="1"/>
  <c r="J662" i="1"/>
  <c r="K662" i="1"/>
  <c r="J521" i="1"/>
  <c r="K521" i="1"/>
  <c r="J436" i="1"/>
  <c r="K436" i="1"/>
  <c r="O765" i="1"/>
  <c r="P765" i="1"/>
  <c r="O248" i="1"/>
  <c r="P248" i="1"/>
  <c r="O782" i="1"/>
  <c r="P782" i="1"/>
  <c r="O405" i="1"/>
  <c r="P405" i="1"/>
  <c r="O569" i="1"/>
  <c r="P569" i="1"/>
  <c r="P345" i="1"/>
  <c r="O345" i="1"/>
  <c r="K222" i="1"/>
  <c r="J222" i="1"/>
  <c r="O744" i="1"/>
  <c r="P744" i="1"/>
  <c r="K149" i="1"/>
  <c r="J149" i="1"/>
  <c r="K550" i="1"/>
  <c r="J550" i="1"/>
  <c r="P302" i="1"/>
  <c r="O302" i="1"/>
  <c r="K133" i="1"/>
  <c r="J133" i="1"/>
  <c r="O115" i="1"/>
  <c r="P115" i="1"/>
  <c r="K341" i="1"/>
  <c r="J341" i="1"/>
  <c r="O839" i="1"/>
  <c r="P839" i="1"/>
  <c r="K203" i="1"/>
  <c r="J203" i="1"/>
  <c r="O720" i="1"/>
  <c r="P720" i="1"/>
  <c r="O684" i="1"/>
  <c r="P684" i="1"/>
  <c r="O630" i="1"/>
  <c r="P630" i="1"/>
  <c r="O174" i="1"/>
  <c r="P174" i="1"/>
  <c r="O745" i="1"/>
  <c r="P745" i="1"/>
  <c r="P396" i="1"/>
  <c r="O396" i="1"/>
  <c r="O1007" i="1"/>
  <c r="P1007" i="1"/>
  <c r="O473" i="1"/>
  <c r="P473" i="1"/>
  <c r="O517" i="1"/>
  <c r="P517" i="1"/>
  <c r="J806" i="1"/>
  <c r="K806" i="1"/>
  <c r="O953" i="1"/>
  <c r="P953" i="1"/>
  <c r="O523" i="1"/>
  <c r="P523" i="1"/>
  <c r="O372" i="1"/>
  <c r="P372" i="1"/>
  <c r="J369" i="1"/>
  <c r="K369" i="1"/>
  <c r="K782" i="1"/>
  <c r="J782" i="1"/>
  <c r="J405" i="1"/>
  <c r="K405" i="1"/>
  <c r="J569" i="1"/>
  <c r="K569" i="1"/>
  <c r="K345" i="1"/>
  <c r="J345" i="1"/>
  <c r="O222" i="1"/>
  <c r="P222" i="1"/>
  <c r="K744" i="1"/>
  <c r="J744" i="1"/>
  <c r="O149" i="1"/>
  <c r="P149" i="1"/>
  <c r="O550" i="1"/>
  <c r="P550" i="1"/>
  <c r="K302" i="1"/>
  <c r="J302" i="1"/>
  <c r="O133" i="1"/>
  <c r="P133" i="1"/>
  <c r="J115" i="1"/>
  <c r="K115" i="1"/>
  <c r="P341" i="1"/>
  <c r="O341" i="1"/>
  <c r="J839" i="1"/>
  <c r="K839" i="1"/>
  <c r="P203" i="1"/>
  <c r="O203" i="1"/>
  <c r="J720" i="1"/>
  <c r="K720" i="1"/>
  <c r="K684" i="1"/>
  <c r="J684" i="1"/>
  <c r="J630" i="1"/>
  <c r="K630" i="1"/>
  <c r="J174" i="1"/>
  <c r="K174" i="1"/>
  <c r="J745" i="1"/>
  <c r="K745" i="1"/>
  <c r="J396" i="1"/>
  <c r="K396" i="1"/>
  <c r="J1007" i="1"/>
  <c r="K1007" i="1"/>
  <c r="J473" i="1"/>
  <c r="K473" i="1"/>
  <c r="J517" i="1"/>
  <c r="K517" i="1"/>
  <c r="O806" i="1"/>
  <c r="P806" i="1"/>
  <c r="O795" i="1"/>
  <c r="P795" i="1"/>
  <c r="O461" i="1"/>
  <c r="P461" i="1"/>
  <c r="O865" i="1"/>
  <c r="P865" i="1"/>
  <c r="K276" i="1"/>
  <c r="J276" i="1"/>
  <c r="O316" i="1"/>
  <c r="P316" i="1"/>
  <c r="O1003" i="1"/>
  <c r="P1003" i="1"/>
  <c r="K903" i="1"/>
  <c r="J903" i="1"/>
  <c r="J320" i="1"/>
  <c r="K320" i="1"/>
  <c r="O308" i="1"/>
  <c r="P308" i="1"/>
  <c r="K165" i="1"/>
  <c r="J165" i="1"/>
  <c r="O205" i="1"/>
  <c r="P205" i="1"/>
  <c r="O190" i="1"/>
  <c r="P190" i="1"/>
  <c r="O426" i="1"/>
  <c r="P426" i="1"/>
  <c r="J772" i="1"/>
  <c r="K772" i="1"/>
  <c r="O492" i="1"/>
  <c r="P492" i="1"/>
  <c r="J402" i="1"/>
  <c r="K402" i="1"/>
  <c r="O950" i="1"/>
  <c r="P950" i="1"/>
  <c r="J125" i="1"/>
  <c r="K125" i="1"/>
  <c r="O998" i="1"/>
  <c r="P998" i="1"/>
  <c r="O598" i="1"/>
  <c r="P598" i="1"/>
  <c r="O446" i="1"/>
  <c r="P446" i="1"/>
  <c r="K774" i="1"/>
  <c r="J774" i="1"/>
  <c r="J485" i="1"/>
  <c r="K485" i="1"/>
  <c r="O947" i="1"/>
  <c r="P947" i="1"/>
  <c r="P491" i="1"/>
  <c r="O491" i="1"/>
  <c r="O276" i="1"/>
  <c r="P276" i="1"/>
  <c r="K316" i="1"/>
  <c r="J316" i="1"/>
  <c r="O903" i="1"/>
  <c r="P903" i="1"/>
  <c r="P320" i="1"/>
  <c r="O320" i="1"/>
  <c r="J308" i="1"/>
  <c r="K308" i="1"/>
  <c r="O165" i="1"/>
  <c r="P165" i="1"/>
  <c r="J205" i="1"/>
  <c r="K205" i="1"/>
  <c r="J190" i="1"/>
  <c r="K190" i="1"/>
  <c r="J426" i="1"/>
  <c r="K426" i="1"/>
  <c r="O772" i="1"/>
  <c r="P772" i="1"/>
  <c r="J492" i="1"/>
  <c r="K492" i="1"/>
  <c r="P402" i="1"/>
  <c r="O402" i="1"/>
  <c r="J950" i="1"/>
  <c r="K950" i="1"/>
  <c r="O125" i="1"/>
  <c r="P125" i="1"/>
  <c r="J998" i="1"/>
  <c r="K998" i="1"/>
  <c r="J598" i="1"/>
  <c r="K598" i="1"/>
  <c r="K446" i="1"/>
  <c r="J446" i="1"/>
  <c r="O774" i="1"/>
  <c r="P774" i="1"/>
  <c r="J372" i="1"/>
  <c r="K372" i="1"/>
  <c r="J472" i="1"/>
  <c r="K472" i="1"/>
  <c r="O704" i="1"/>
  <c r="P704" i="1"/>
  <c r="O343" i="1"/>
  <c r="P343" i="1"/>
  <c r="O472" i="1"/>
  <c r="P472" i="1"/>
  <c r="J704" i="1"/>
  <c r="K704" i="1"/>
  <c r="J461" i="1"/>
  <c r="K461" i="1"/>
  <c r="K197" i="1"/>
  <c r="J197" i="1"/>
  <c r="K1003" i="1"/>
  <c r="J1003" i="1"/>
  <c r="O901" i="1"/>
  <c r="P901" i="1"/>
  <c r="K626" i="1"/>
  <c r="J626" i="1"/>
  <c r="O419" i="1"/>
  <c r="P419" i="1"/>
  <c r="P192" i="1"/>
  <c r="O192" i="1"/>
  <c r="O971" i="1"/>
  <c r="P971" i="1"/>
  <c r="O373" i="1"/>
  <c r="P373" i="1"/>
  <c r="J849" i="1"/>
  <c r="K849" i="1"/>
  <c r="O652" i="1"/>
  <c r="P652" i="1"/>
  <c r="P425" i="1"/>
  <c r="O425" i="1"/>
  <c r="K490" i="1"/>
  <c r="J490" i="1"/>
  <c r="P917" i="1"/>
  <c r="O917" i="1"/>
  <c r="O833" i="1"/>
  <c r="P833" i="1"/>
  <c r="K181" i="1"/>
  <c r="J181" i="1"/>
  <c r="K453" i="1"/>
  <c r="J453" i="1"/>
  <c r="K313" i="1"/>
  <c r="J313" i="1"/>
  <c r="O393" i="1"/>
  <c r="P393" i="1"/>
  <c r="O937" i="1"/>
  <c r="P937" i="1"/>
  <c r="K666" i="1"/>
  <c r="J666" i="1"/>
  <c r="J409" i="1"/>
  <c r="K409" i="1"/>
  <c r="O668" i="1"/>
  <c r="P668" i="1"/>
  <c r="O766" i="1"/>
  <c r="P766" i="1"/>
  <c r="O939" i="1"/>
  <c r="P939" i="1"/>
  <c r="J804" i="1"/>
  <c r="K804" i="1"/>
  <c r="K995" i="1"/>
  <c r="J995" i="1"/>
  <c r="K1001" i="1"/>
  <c r="J1001" i="1"/>
  <c r="O604" i="1"/>
  <c r="P604" i="1"/>
  <c r="K947" i="1"/>
  <c r="J947" i="1"/>
  <c r="O369" i="1"/>
  <c r="P369" i="1"/>
  <c r="J248" i="1"/>
  <c r="K248" i="1"/>
  <c r="O378" i="1"/>
  <c r="P378" i="1"/>
  <c r="J491" i="1"/>
  <c r="K491" i="1"/>
  <c r="P197" i="1"/>
  <c r="O197" i="1"/>
  <c r="J378" i="1"/>
  <c r="K378" i="1"/>
  <c r="J343" i="1"/>
  <c r="K343" i="1"/>
  <c r="K865" i="1"/>
  <c r="J865" i="1"/>
  <c r="J901" i="1"/>
  <c r="K901" i="1"/>
  <c r="O626" i="1"/>
  <c r="P626" i="1"/>
  <c r="J419" i="1"/>
  <c r="K419" i="1"/>
  <c r="J192" i="1"/>
  <c r="K192" i="1"/>
  <c r="J971" i="1"/>
  <c r="K971" i="1"/>
  <c r="J373" i="1"/>
  <c r="K373" i="1"/>
  <c r="O849" i="1"/>
  <c r="P849" i="1"/>
  <c r="K652" i="1"/>
  <c r="J652" i="1"/>
  <c r="K425" i="1"/>
  <c r="J425" i="1"/>
  <c r="P490" i="1"/>
  <c r="O490" i="1"/>
  <c r="J917" i="1"/>
  <c r="K917" i="1"/>
  <c r="J833" i="1"/>
  <c r="K833" i="1"/>
  <c r="O181" i="1"/>
  <c r="P181" i="1"/>
  <c r="O453" i="1"/>
  <c r="P453" i="1"/>
  <c r="O313" i="1"/>
  <c r="P313" i="1"/>
  <c r="J393" i="1"/>
  <c r="K393" i="1"/>
  <c r="J937" i="1"/>
  <c r="K937" i="1"/>
  <c r="O666" i="1"/>
  <c r="P666" i="1"/>
  <c r="P409" i="1"/>
  <c r="O409" i="1"/>
  <c r="K668" i="1"/>
  <c r="J668" i="1"/>
  <c r="K766" i="1"/>
  <c r="J766" i="1"/>
  <c r="J939" i="1"/>
  <c r="K939" i="1"/>
  <c r="O804" i="1"/>
  <c r="P804" i="1"/>
  <c r="P995" i="1"/>
  <c r="O995" i="1"/>
  <c r="O1001" i="1"/>
  <c r="P1001" i="1"/>
  <c r="J604" i="1"/>
  <c r="K604" i="1"/>
  <c r="J20" i="1"/>
  <c r="K20" i="1"/>
  <c r="O108" i="1"/>
  <c r="P108" i="1"/>
  <c r="J108" i="1"/>
  <c r="K108" i="1"/>
  <c r="J78" i="1"/>
  <c r="K78" i="1"/>
  <c r="O42" i="1"/>
  <c r="P42" i="1"/>
  <c r="O66" i="1"/>
  <c r="P66" i="1"/>
  <c r="J26" i="1"/>
  <c r="K26" i="1"/>
  <c r="J39" i="1"/>
  <c r="K39" i="1"/>
  <c r="J60" i="1"/>
  <c r="K60" i="1"/>
  <c r="O69" i="1"/>
  <c r="P69" i="1"/>
  <c r="K66" i="1"/>
  <c r="J66" i="1"/>
  <c r="K42" i="1"/>
  <c r="J42" i="1"/>
  <c r="P39" i="1"/>
  <c r="O39" i="1"/>
  <c r="J69" i="1"/>
  <c r="K69" i="1"/>
  <c r="O20" i="1"/>
  <c r="P20" i="1"/>
  <c r="O78" i="1"/>
  <c r="P78" i="1"/>
  <c r="O60" i="1"/>
  <c r="P60" i="1"/>
  <c r="O26" i="1"/>
  <c r="P26" i="1"/>
  <c r="P84" i="1"/>
  <c r="O84" i="1"/>
  <c r="K82" i="1"/>
  <c r="J82" i="1"/>
  <c r="P71" i="1"/>
  <c r="O71" i="1"/>
  <c r="K84" i="1"/>
  <c r="J84" i="1"/>
  <c r="O82" i="1"/>
  <c r="P82" i="1"/>
  <c r="J71" i="1"/>
  <c r="K71" i="1"/>
  <c r="O16" i="1"/>
  <c r="P16" i="1"/>
  <c r="J16" i="1"/>
  <c r="K16" i="1"/>
  <c r="P103" i="1"/>
  <c r="O103" i="1"/>
  <c r="J80" i="1"/>
  <c r="K80" i="1"/>
  <c r="K91" i="1"/>
  <c r="J91" i="1"/>
  <c r="J48" i="1"/>
  <c r="K48" i="1"/>
  <c r="J103" i="1"/>
  <c r="K103" i="1"/>
  <c r="O80" i="1"/>
  <c r="P80" i="1"/>
  <c r="O91" i="1"/>
  <c r="P91" i="1"/>
  <c r="O48" i="1"/>
  <c r="P48" i="1"/>
  <c r="P14" i="1"/>
  <c r="O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Fernando Urdiales</author>
  </authors>
  <commentList>
    <comment ref="F4" authorId="0" shapeId="0" xr:uid="{13E6EE43-6B9F-419C-9046-320C7CE92308}">
      <text>
        <r>
          <rPr>
            <b/>
            <sz val="9"/>
            <color indexed="81"/>
            <rFont val="Tahoma"/>
            <family val="2"/>
          </rPr>
          <t>Fernando Urdiales:</t>
        </r>
        <r>
          <rPr>
            <sz val="9"/>
            <color indexed="81"/>
            <rFont val="Tahoma"/>
            <family val="2"/>
          </rPr>
          <t xml:space="preserve">
Ojo que Mercurio y la Tierra no orbitan igual, Mercurio da 4,152 órbitas por cada órbita terrestre</t>
        </r>
      </text>
    </comment>
    <comment ref="F6" authorId="0" shapeId="0" xr:uid="{53F16BC1-D19E-410D-84CF-FF429BAC7B93}">
      <text>
        <r>
          <rPr>
            <b/>
            <sz val="9"/>
            <color indexed="81"/>
            <rFont val="Tahoma"/>
            <family val="2"/>
          </rPr>
          <t>Fernando Urdiales:</t>
        </r>
        <r>
          <rPr>
            <sz val="9"/>
            <color indexed="81"/>
            <rFont val="Tahoma"/>
            <family val="2"/>
          </rPr>
          <t xml:space="preserve">
En SSD el semieje a se da en UA, no en metros</t>
        </r>
      </text>
    </comment>
    <comment ref="I8" authorId="0" shapeId="0" xr:uid="{F7890D06-615B-42C0-81A5-065D9594CF6A}">
      <text>
        <r>
          <rPr>
            <b/>
            <sz val="9"/>
            <color indexed="81"/>
            <rFont val="Tahoma"/>
            <family val="2"/>
          </rPr>
          <t xml:space="preserve">Fernando Urdiales:
</t>
        </r>
        <r>
          <rPr>
            <sz val="9"/>
            <color indexed="81"/>
            <rFont val="Tahoma"/>
            <family val="2"/>
          </rPr>
          <t xml:space="preserve">Truco visual para que la órbita newtoniana y la final no se solapen
</t>
        </r>
      </text>
    </comment>
    <comment ref="I9" authorId="0" shapeId="0" xr:uid="{70CEB533-8703-40D1-AAE6-3B55480471C7}">
      <text>
        <r>
          <rPr>
            <b/>
            <sz val="9"/>
            <color indexed="81"/>
            <rFont val="Tahoma"/>
            <family val="2"/>
          </rPr>
          <t>Fernando Urdiales:</t>
        </r>
        <r>
          <rPr>
            <sz val="9"/>
            <color indexed="81"/>
            <rFont val="Tahoma"/>
            <family val="2"/>
          </rPr>
          <t xml:space="preserve">
El α de Lindstedt-Poincaré es tan pequeño que de querer simular visualmente la precesión tendríamos que orbitar muchísimas veces. Nos inventamos este factor acelerador que lo multiplica simulando muchísimas vueltas en un ciclo Φ completo</t>
        </r>
      </text>
    </comment>
    <comment ref="G11" authorId="0" shapeId="0" xr:uid="{03EC7B33-DDB2-4DDD-8EFA-32E43CAF46E1}">
      <text>
        <r>
          <rPr>
            <b/>
            <sz val="9"/>
            <color indexed="81"/>
            <rFont val="Tahoma"/>
            <family val="2"/>
          </rPr>
          <t>Fernando Urdiales:</t>
        </r>
        <r>
          <rPr>
            <sz val="9"/>
            <color indexed="81"/>
            <rFont val="Tahoma"/>
            <family val="2"/>
          </rPr>
          <t xml:space="preserve">
Ojo que Mercurio y la Tierra no orbitan igual, Mercurio da 4,152 órbitas por cada órbita terrestre</t>
        </r>
      </text>
    </comment>
    <comment ref="C12" authorId="0" shapeId="0" xr:uid="{AADBAAD4-AB4C-45A5-9E3C-F3D40AEDCBEF}">
      <text>
        <r>
          <rPr>
            <b/>
            <sz val="9"/>
            <color indexed="81"/>
            <rFont val="Tahoma"/>
            <family val="2"/>
          </rPr>
          <t>Fernando Urdiales:</t>
        </r>
        <r>
          <rPr>
            <sz val="9"/>
            <color indexed="81"/>
            <rFont val="Tahoma"/>
            <family val="2"/>
          </rPr>
          <t xml:space="preserve">
GM/j</t>
        </r>
        <r>
          <rPr>
            <vertAlign val="superscript"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 xml:space="preserve"> se obtiene a partir de la elíptica orbital real en SSD, hay valores para la excentricidad y el semieje mayor
</t>
        </r>
      </text>
    </comment>
    <comment ref="L12" authorId="0" shapeId="0" xr:uid="{8E38A0CB-1BFD-45CF-A2E8-1ADE053B600E}">
      <text>
        <r>
          <rPr>
            <b/>
            <sz val="9"/>
            <color indexed="81"/>
            <rFont val="Tahoma"/>
            <family val="2"/>
          </rPr>
          <t>Fernando Urdiales:</t>
        </r>
        <r>
          <rPr>
            <sz val="9"/>
            <color indexed="81"/>
            <rFont val="Tahoma"/>
            <family val="2"/>
          </rPr>
          <t xml:space="preserve">
Este es el ángulo modificado de Lindstedt Poincaré que absorbe ya la resonancia de la perturbación (precesión). Si GM/j2 se obtiene a partir de la elíptica orbital real en SSD α es ese mismo valor multiplicado por 3rs/2 (coeficiente que se arrastra algebraicamente desde Binet) y ese radio de Schwarzschild del Sol es 2953,25 m que se puede obtener también a partir de GM y c2 en la misma web del SSD. 
Pero como α es mínimo, lo engordamos con un factor acelerador que multiplica visualmente la órbita</t>
        </r>
      </text>
    </comment>
    <comment ref="O12" authorId="0" shapeId="0" xr:uid="{A1707D2F-9B45-4121-B534-5EF7471ACB85}">
      <text>
        <r>
          <rPr>
            <b/>
            <sz val="9"/>
            <color indexed="81"/>
            <rFont val="Tahoma"/>
            <family val="2"/>
          </rPr>
          <t>Fernando Urdiales:</t>
        </r>
        <r>
          <rPr>
            <sz val="9"/>
            <color indexed="81"/>
            <rFont val="Tahoma"/>
            <family val="2"/>
          </rPr>
          <t xml:space="preserve">
Para que se vea la órbita precesar hay que expresar x e y con respecto al ángulo sin precesión. Si se expresan con respecto al ángulo corregido la elipse no rotará </t>
        </r>
      </text>
    </comment>
    <comment ref="P12" authorId="0" shapeId="0" xr:uid="{F9340FA6-7C33-4ED3-8AFC-A09A5748DE85}">
      <text>
        <r>
          <rPr>
            <b/>
            <sz val="9"/>
            <color indexed="81"/>
            <rFont val="Tahoma"/>
            <family val="2"/>
          </rPr>
          <t>Fernando Urdiales:</t>
        </r>
        <r>
          <rPr>
            <sz val="9"/>
            <color indexed="81"/>
            <rFont val="Tahoma"/>
            <family val="2"/>
          </rPr>
          <t xml:space="preserve">
Para que se vea la órbita precesar hay que expresar x e y con respecto al ángulo sin precesión. Si se expresan con respecto al ángulo corregido la elipse no rotará </t>
        </r>
      </text>
    </comment>
  </commentList>
</comments>
</file>

<file path=xl/sharedStrings.xml><?xml version="1.0" encoding="utf-8"?>
<sst xmlns="http://schemas.openxmlformats.org/spreadsheetml/2006/main" count="30" uniqueCount="26">
  <si>
    <t>u</t>
  </si>
  <si>
    <t>r</t>
  </si>
  <si>
    <t>Φ</t>
  </si>
  <si>
    <r>
      <t>u</t>
    </r>
    <r>
      <rPr>
        <vertAlign val="subscript"/>
        <sz val="11"/>
        <color theme="1"/>
        <rFont val="Aptos Narrow"/>
        <family val="2"/>
        <scheme val="minor"/>
      </rPr>
      <t>0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</si>
  <si>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0</t>
    </r>
  </si>
  <si>
    <r>
      <t>x</t>
    </r>
    <r>
      <rPr>
        <vertAlign val="subscript"/>
        <sz val="11"/>
        <color theme="1"/>
        <rFont val="Aptos Narrow"/>
        <family val="2"/>
        <scheme val="minor"/>
      </rPr>
      <t>0</t>
    </r>
  </si>
  <si>
    <r>
      <t>y</t>
    </r>
    <r>
      <rPr>
        <vertAlign val="subscript"/>
        <sz val="11"/>
        <color theme="1"/>
        <rFont val="Aptos Narrow"/>
        <family val="2"/>
        <scheme val="minor"/>
      </rPr>
      <t>0</t>
    </r>
  </si>
  <si>
    <t>Mercurio</t>
  </si>
  <si>
    <t>Tierra</t>
  </si>
  <si>
    <t xml:space="preserve"> https://ssd.jpl.nasa.gov/planets/approx_pos.html</t>
  </si>
  <si>
    <r>
      <t>Tierra (u</t>
    </r>
    <r>
      <rPr>
        <b/>
        <vertAlign val="subscript"/>
        <sz val="11"/>
        <color theme="1"/>
        <rFont val="Aptos Narrow"/>
        <family val="2"/>
        <scheme val="minor"/>
      </rPr>
      <t>0</t>
    </r>
    <r>
      <rPr>
        <b/>
        <sz val="11"/>
        <color theme="1"/>
        <rFont val="Aptos Narrow"/>
        <family val="2"/>
        <scheme val="minor"/>
      </rPr>
      <t>)</t>
    </r>
  </si>
  <si>
    <t>x</t>
  </si>
  <si>
    <t>y</t>
  </si>
  <si>
    <t>Φ(1-α)</t>
  </si>
  <si>
    <r>
      <t>Mercurio (u</t>
    </r>
    <r>
      <rPr>
        <b/>
        <vertAlign val="subscript"/>
        <sz val="11"/>
        <color theme="1"/>
        <rFont val="Aptos Narrow"/>
        <family val="2"/>
        <scheme val="minor"/>
      </rPr>
      <t>0</t>
    </r>
    <r>
      <rPr>
        <b/>
        <sz val="11"/>
        <color theme="1"/>
        <rFont val="Aptos Narrow"/>
        <family val="2"/>
        <scheme val="minor"/>
      </rPr>
      <t>)</t>
    </r>
  </si>
  <si>
    <t>excentricidad e</t>
  </si>
  <si>
    <t>semieje mayor a (m)</t>
  </si>
  <si>
    <t>relación orbital</t>
  </si>
  <si>
    <t>Φ Mercurio</t>
  </si>
  <si>
    <r>
      <t>Sol r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(m)</t>
    </r>
  </si>
  <si>
    <t>Generador</t>
  </si>
  <si>
    <r>
      <t>Calcula la órbita newtoniana u</t>
    </r>
    <r>
      <rPr>
        <vertAlign val="subscript"/>
        <sz val="14"/>
        <color theme="1"/>
        <rFont val="Aptos Narrow"/>
        <family val="2"/>
        <scheme val="minor"/>
      </rPr>
      <t>0</t>
    </r>
    <r>
      <rPr>
        <sz val="14"/>
        <color theme="1"/>
        <rFont val="Aptos Narrow"/>
        <family val="2"/>
        <scheme val="minor"/>
      </rPr>
      <t xml:space="preserve"> y la corregida u ya con la aproximación relativista de primer orden según efemérides en: </t>
    </r>
  </si>
  <si>
    <t>Ampliación radio precesión</t>
  </si>
  <si>
    <t xml:space="preserve">Ampliación ángulo precesión </t>
  </si>
  <si>
    <t>Mercurio (u) con precesión</t>
  </si>
  <si>
    <t>Generador de órbitas y precesión (fer.urd@gmail.com)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</si>
</sst>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vertAlign val="superscript"/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vertAlign val="subscript"/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0">
    <xf numFmtId="0" fontId="0" fillId="0" borderId="0" xfId="0"/>
    <xf numFmtId="0" fontId="0" fillId="2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11" fontId="0" fillId="4" borderId="0" xfId="0" applyNumberFormat="1" applyFill="1" applyAlignment="1">
      <alignment vertical="center"/>
    </xf>
    <xf numFmtId="11" fontId="0" fillId="5" borderId="0" xfId="0" applyNumberFormat="1" applyFill="1" applyAlignment="1">
      <alignment vertical="center"/>
    </xf>
    <xf numFmtId="0" fontId="0" fillId="3" borderId="3" xfId="0" applyFont="1" applyFill="1" applyBorder="1" applyAlignment="1">
      <alignment horizontal="right" vertical="center"/>
    </xf>
    <xf numFmtId="0" fontId="0" fillId="3" borderId="4" xfId="0" applyFont="1" applyFill="1" applyBorder="1" applyAlignment="1">
      <alignment horizontal="right" vertical="center"/>
    </xf>
    <xf numFmtId="0" fontId="0" fillId="2" borderId="9" xfId="0" applyFill="1" applyBorder="1" applyAlignment="1">
      <alignment horizontal="right" vertical="center"/>
    </xf>
    <xf numFmtId="11" fontId="0" fillId="4" borderId="11" xfId="0" applyNumberFormat="1" applyFill="1" applyBorder="1" applyAlignment="1">
      <alignment horizontal="right" vertical="center"/>
    </xf>
    <xf numFmtId="11" fontId="0" fillId="5" borderId="11" xfId="0" applyNumberFormat="1" applyFill="1" applyBorder="1" applyAlignment="1">
      <alignment horizontal="right" vertical="center"/>
    </xf>
    <xf numFmtId="11" fontId="0" fillId="6" borderId="9" xfId="0" applyNumberFormat="1" applyFill="1" applyBorder="1" applyAlignment="1">
      <alignment horizontal="right" vertical="center"/>
    </xf>
    <xf numFmtId="11" fontId="0" fillId="5" borderId="10" xfId="0" applyNumberFormat="1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4" borderId="0" xfId="0" applyFill="1" applyBorder="1" applyAlignment="1">
      <alignment horizontal="right" vertical="center"/>
    </xf>
    <xf numFmtId="11" fontId="0" fillId="5" borderId="0" xfId="0" applyNumberFormat="1" applyFill="1" applyBorder="1" applyAlignment="1">
      <alignment horizontal="right" vertical="center"/>
    </xf>
    <xf numFmtId="11" fontId="0" fillId="6" borderId="1" xfId="0" applyNumberFormat="1" applyFill="1" applyBorder="1" applyAlignment="1">
      <alignment horizontal="right" vertical="center"/>
    </xf>
    <xf numFmtId="11" fontId="0" fillId="5" borderId="2" xfId="0" applyNumberFormat="1" applyFill="1" applyBorder="1" applyAlignment="1">
      <alignment horizontal="right" vertical="center"/>
    </xf>
    <xf numFmtId="0" fontId="0" fillId="2" borderId="6" xfId="0" applyFill="1" applyBorder="1" applyAlignment="1">
      <alignment horizontal="right" vertical="center"/>
    </xf>
    <xf numFmtId="0" fontId="0" fillId="4" borderId="7" xfId="0" applyFill="1" applyBorder="1" applyAlignment="1">
      <alignment horizontal="right" vertical="center"/>
    </xf>
    <xf numFmtId="11" fontId="0" fillId="5" borderId="7" xfId="0" applyNumberFormat="1" applyFill="1" applyBorder="1" applyAlignment="1">
      <alignment horizontal="right" vertical="center"/>
    </xf>
    <xf numFmtId="11" fontId="0" fillId="6" borderId="6" xfId="0" applyNumberFormat="1" applyFill="1" applyBorder="1" applyAlignment="1">
      <alignment horizontal="right" vertical="center"/>
    </xf>
    <xf numFmtId="11" fontId="0" fillId="5" borderId="8" xfId="0" applyNumberFormat="1" applyFill="1" applyBorder="1" applyAlignment="1">
      <alignment horizontal="right" vertical="center"/>
    </xf>
    <xf numFmtId="0" fontId="0" fillId="2" borderId="0" xfId="0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11" fontId="0" fillId="4" borderId="10" xfId="0" applyNumberFormat="1" applyFill="1" applyBorder="1" applyAlignment="1">
      <alignment horizontal="right" vertical="center"/>
    </xf>
    <xf numFmtId="0" fontId="0" fillId="4" borderId="2" xfId="0" applyFill="1" applyBorder="1" applyAlignment="1">
      <alignment horizontal="right" vertical="center"/>
    </xf>
    <xf numFmtId="0" fontId="0" fillId="4" borderId="8" xfId="0" applyFill="1" applyBorder="1" applyAlignment="1">
      <alignment horizontal="right" vertical="center"/>
    </xf>
    <xf numFmtId="0" fontId="0" fillId="3" borderId="0" xfId="0" applyFill="1" applyAlignment="1">
      <alignment vertical="center"/>
    </xf>
    <xf numFmtId="4" fontId="0" fillId="3" borderId="0" xfId="0" applyNumberForma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2" fillId="3" borderId="3" xfId="0" applyFont="1" applyFill="1" applyBorder="1" applyAlignment="1">
      <alignment horizontal="right" vertical="center"/>
    </xf>
    <xf numFmtId="0" fontId="0" fillId="3" borderId="5" xfId="0" applyFont="1" applyFill="1" applyBorder="1" applyAlignment="1">
      <alignment horizontal="right" vertical="center"/>
    </xf>
    <xf numFmtId="0" fontId="1" fillId="7" borderId="3" xfId="0" applyFont="1" applyFill="1" applyBorder="1" applyAlignment="1">
      <alignment vertical="center"/>
    </xf>
    <xf numFmtId="0" fontId="1" fillId="7" borderId="5" xfId="0" applyFont="1" applyFill="1" applyBorder="1" applyAlignment="1">
      <alignment vertical="center"/>
    </xf>
    <xf numFmtId="0" fontId="0" fillId="3" borderId="9" xfId="0" applyFont="1" applyFill="1" applyBorder="1" applyAlignment="1">
      <alignment horizontal="right" vertical="center"/>
    </xf>
    <xf numFmtId="11" fontId="0" fillId="4" borderId="0" xfId="0" applyNumberFormat="1" applyFill="1" applyBorder="1" applyAlignment="1">
      <alignment horizontal="right" vertical="center"/>
    </xf>
    <xf numFmtId="11" fontId="0" fillId="4" borderId="7" xfId="0" applyNumberFormat="1" applyFill="1" applyBorder="1" applyAlignment="1">
      <alignment horizontal="right" vertical="center"/>
    </xf>
    <xf numFmtId="0" fontId="2" fillId="3" borderId="11" xfId="0" applyFont="1" applyFill="1" applyBorder="1" applyAlignment="1">
      <alignment horizontal="right" vertical="center"/>
    </xf>
    <xf numFmtId="0" fontId="0" fillId="2" borderId="10" xfId="0" applyFill="1" applyBorder="1" applyAlignment="1">
      <alignment horizontal="right" vertical="center"/>
    </xf>
    <xf numFmtId="0" fontId="0" fillId="2" borderId="2" xfId="0" applyFill="1" applyBorder="1" applyAlignment="1">
      <alignment horizontal="right" vertical="center"/>
    </xf>
    <xf numFmtId="0" fontId="0" fillId="2" borderId="8" xfId="0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12" fillId="3" borderId="0" xfId="0" applyFont="1" applyFill="1" applyAlignment="1">
      <alignment vertical="center"/>
    </xf>
    <xf numFmtId="0" fontId="13" fillId="2" borderId="0" xfId="1" applyFont="1" applyFill="1" applyAlignment="1">
      <alignment vertical="center"/>
    </xf>
    <xf numFmtId="0" fontId="12" fillId="4" borderId="0" xfId="0" applyFont="1" applyFill="1" applyAlignment="1">
      <alignment horizontal="right" vertical="center"/>
    </xf>
    <xf numFmtId="0" fontId="12" fillId="5" borderId="0" xfId="0" applyFont="1" applyFill="1" applyAlignment="1">
      <alignment horizontal="right" vertical="center"/>
    </xf>
    <xf numFmtId="0" fontId="12" fillId="2" borderId="0" xfId="0" applyFont="1" applyFill="1" applyAlignment="1">
      <alignment vertical="center"/>
    </xf>
    <xf numFmtId="0" fontId="14" fillId="7" borderId="0" xfId="0" applyFont="1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CCEC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3600"/>
              <a:t>Orbimix</a:t>
            </a:r>
          </a:p>
        </c:rich>
      </c:tx>
      <c:layout>
        <c:manualLayout>
          <c:xMode val="edge"/>
          <c:yMode val="edge"/>
          <c:x val="0.81364333590995153"/>
          <c:y val="5.73523399514791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2.3031012287887655E-2"/>
          <c:y val="7.9844683393070492E-2"/>
          <c:w val="0.63141177861836906"/>
          <c:h val="0.90103942652329749"/>
        </c:manualLayout>
      </c:layout>
      <c:scatterChart>
        <c:scatterStyle val="smoothMarker"/>
        <c:varyColors val="0"/>
        <c:ser>
          <c:idx val="0"/>
          <c:order val="0"/>
          <c:tx>
            <c:v>Tierra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Data!$E$13:$E$1013</c:f>
              <c:numCache>
                <c:formatCode>General</c:formatCode>
                <c:ptCount val="1001"/>
                <c:pt idx="0" formatCode="0.00E+00">
                  <c:v>147098417340.32718</c:v>
                </c:pt>
                <c:pt idx="1">
                  <c:v>147095561467.70746</c:v>
                </c:pt>
                <c:pt idx="2">
                  <c:v>147086993951.47461</c:v>
                </c:pt>
                <c:pt idx="3">
                  <c:v>147072715096.50543</c:v>
                </c:pt>
                <c:pt idx="4">
                  <c:v>147052725410.91989</c:v>
                </c:pt>
                <c:pt idx="5">
                  <c:v>147027025606.06955</c:v>
                </c:pt>
                <c:pt idx="6">
                  <c:v>146995616596.52072</c:v>
                </c:pt>
                <c:pt idx="7">
                  <c:v>146958499500.03351</c:v>
                </c:pt>
                <c:pt idx="8">
                  <c:v>146915675637.53543</c:v>
                </c:pt>
                <c:pt idx="9">
                  <c:v>146867146533.09106</c:v>
                </c:pt>
                <c:pt idx="10">
                  <c:v>146812913913.86615</c:v>
                </c:pt>
                <c:pt idx="11">
                  <c:v>146752979710.08777</c:v>
                </c:pt>
                <c:pt idx="12">
                  <c:v>146687346054.99902</c:v>
                </c:pt>
                <c:pt idx="13">
                  <c:v>146616015284.8096</c:v>
                </c:pt>
                <c:pt idx="14">
                  <c:v>146538989938.64117</c:v>
                </c:pt>
                <c:pt idx="15">
                  <c:v>146456272758.46826</c:v>
                </c:pt>
                <c:pt idx="16">
                  <c:v>146367866689.05426</c:v>
                </c:pt>
                <c:pt idx="17">
                  <c:v>146273774877.88272</c:v>
                </c:pt>
                <c:pt idx="18">
                  <c:v>146174000675.08398</c:v>
                </c:pt>
                <c:pt idx="19">
                  <c:v>146068547633.35684</c:v>
                </c:pt>
                <c:pt idx="20">
                  <c:v>145957419507.88562</c:v>
                </c:pt>
                <c:pt idx="21">
                  <c:v>145840620256.25232</c:v>
                </c:pt>
                <c:pt idx="22">
                  <c:v>145718154038.34427</c:v>
                </c:pt>
                <c:pt idx="23">
                  <c:v>145590025216.25668</c:v>
                </c:pt>
                <c:pt idx="24">
                  <c:v>145456238354.19049</c:v>
                </c:pt>
                <c:pt idx="25">
                  <c:v>145316798218.34552</c:v>
                </c:pt>
                <c:pt idx="26">
                  <c:v>145171709776.80887</c:v>
                </c:pt>
                <c:pt idx="27">
                  <c:v>145020978199.43845</c:v>
                </c:pt>
                <c:pt idx="28">
                  <c:v>144864608857.74127</c:v>
                </c:pt>
                <c:pt idx="29">
                  <c:v>144702607324.74796</c:v>
                </c:pt>
                <c:pt idx="30">
                  <c:v>144534979374.88138</c:v>
                </c:pt>
                <c:pt idx="31">
                  <c:v>144361730983.82086</c:v>
                </c:pt>
                <c:pt idx="32">
                  <c:v>144182868328.36185</c:v>
                </c:pt>
                <c:pt idx="33">
                  <c:v>143998397786.2702</c:v>
                </c:pt>
                <c:pt idx="34">
                  <c:v>143808325936.13208</c:v>
                </c:pt>
                <c:pt idx="35">
                  <c:v>143612659557.19858</c:v>
                </c:pt>
                <c:pt idx="36">
                  <c:v>143411405629.22583</c:v>
                </c:pt>
                <c:pt idx="37">
                  <c:v>143204571332.31012</c:v>
                </c:pt>
                <c:pt idx="38">
                  <c:v>142992164046.71799</c:v>
                </c:pt>
                <c:pt idx="39">
                  <c:v>142774191352.71152</c:v>
                </c:pt>
                <c:pt idx="40">
                  <c:v>142550661030.36899</c:v>
                </c:pt>
                <c:pt idx="41">
                  <c:v>142321581059.40005</c:v>
                </c:pt>
                <c:pt idx="42">
                  <c:v>142086959618.95645</c:v>
                </c:pt>
                <c:pt idx="43">
                  <c:v>141846805087.43768</c:v>
                </c:pt>
                <c:pt idx="44">
                  <c:v>141601126042.29169</c:v>
                </c:pt>
                <c:pt idx="45">
                  <c:v>141349931259.81058</c:v>
                </c:pt>
                <c:pt idx="46">
                  <c:v>141093229714.92145</c:v>
                </c:pt>
                <c:pt idx="47">
                  <c:v>140831030580.97217</c:v>
                </c:pt>
                <c:pt idx="48">
                  <c:v>140563343229.51221</c:v>
                </c:pt>
                <c:pt idx="49">
                  <c:v>140290177230.06848</c:v>
                </c:pt>
                <c:pt idx="50">
                  <c:v>140011542349.91617</c:v>
                </c:pt>
                <c:pt idx="51">
                  <c:v>139727448553.84464</c:v>
                </c:pt>
                <c:pt idx="52">
                  <c:v>139437906003.91806</c:v>
                </c:pt>
                <c:pt idx="53">
                  <c:v>139142925059.23126</c:v>
                </c:pt>
                <c:pt idx="54">
                  <c:v>138842516275.66049</c:v>
                </c:pt>
                <c:pt idx="55">
                  <c:v>138536690405.6088</c:v>
                </c:pt>
                <c:pt idx="56">
                  <c:v>138225458397.74686</c:v>
                </c:pt>
                <c:pt idx="57">
                  <c:v>137908831396.74832</c:v>
                </c:pt>
                <c:pt idx="58">
                  <c:v>137586820743.0202</c:v>
                </c:pt>
                <c:pt idx="59">
                  <c:v>137259437972.42807</c:v>
                </c:pt>
                <c:pt idx="60">
                  <c:v>136926694816.01628</c:v>
                </c:pt>
                <c:pt idx="61">
                  <c:v>136588603199.72281</c:v>
                </c:pt>
                <c:pt idx="62">
                  <c:v>136245175244.0892</c:v>
                </c:pt>
                <c:pt idx="63">
                  <c:v>135896423263.9653</c:v>
                </c:pt>
                <c:pt idx="64">
                  <c:v>135542359768.20857</c:v>
                </c:pt>
                <c:pt idx="65">
                  <c:v>135182997459.37837</c:v>
                </c:pt>
                <c:pt idx="66">
                  <c:v>134818349233.42517</c:v>
                </c:pt>
                <c:pt idx="67">
                  <c:v>134448428179.37433</c:v>
                </c:pt>
                <c:pt idx="68">
                  <c:v>134073247579.00476</c:v>
                </c:pt>
                <c:pt idx="69">
                  <c:v>133692820906.52213</c:v>
                </c:pt>
                <c:pt idx="70">
                  <c:v>133307161828.2272</c:v>
                </c:pt>
                <c:pt idx="71">
                  <c:v>132916284202.17853</c:v>
                </c:pt>
                <c:pt idx="72">
                  <c:v>132520202077.84988</c:v>
                </c:pt>
                <c:pt idx="73">
                  <c:v>132118929695.78265</c:v>
                </c:pt>
                <c:pt idx="74">
                  <c:v>131712481487.23262</c:v>
                </c:pt>
                <c:pt idx="75">
                  <c:v>131300872073.81149</c:v>
                </c:pt>
                <c:pt idx="76">
                  <c:v>130884116267.12314</c:v>
                </c:pt>
                <c:pt idx="77">
                  <c:v>130462229068.39442</c:v>
                </c:pt>
                <c:pt idx="78">
                  <c:v>130035225668.10057</c:v>
                </c:pt>
                <c:pt idx="79">
                  <c:v>129603121445.58516</c:v>
                </c:pt>
                <c:pt idx="80">
                  <c:v>129165931968.67496</c:v>
                </c:pt>
                <c:pt idx="81">
                  <c:v>128723672993.28873</c:v>
                </c:pt>
                <c:pt idx="82">
                  <c:v>128276360463.04134</c:v>
                </c:pt>
                <c:pt idx="83">
                  <c:v>127824010508.84172</c:v>
                </c:pt>
                <c:pt idx="84">
                  <c:v>127366639448.48573</c:v>
                </c:pt>
                <c:pt idx="85">
                  <c:v>126904263786.24358</c:v>
                </c:pt>
                <c:pt idx="86">
                  <c:v>126436900212.44138</c:v>
                </c:pt>
                <c:pt idx="87">
                  <c:v>125964565603.03745</c:v>
                </c:pt>
                <c:pt idx="88">
                  <c:v>125487277019.19308</c:v>
                </c:pt>
                <c:pt idx="89">
                  <c:v>125005051706.83751</c:v>
                </c:pt>
                <c:pt idx="90">
                  <c:v>124517907096.22758</c:v>
                </c:pt>
                <c:pt idx="91">
                  <c:v>124025860801.50163</c:v>
                </c:pt>
                <c:pt idx="92">
                  <c:v>123528930620.22778</c:v>
                </c:pt>
                <c:pt idx="93">
                  <c:v>123027134532.94675</c:v>
                </c:pt>
                <c:pt idx="94">
                  <c:v>122520490702.70882</c:v>
                </c:pt>
                <c:pt idx="95">
                  <c:v>122009017474.60515</c:v>
                </c:pt>
                <c:pt idx="96">
                  <c:v>121492733375.29372</c:v>
                </c:pt>
                <c:pt idx="97">
                  <c:v>120971657112.51906</c:v>
                </c:pt>
                <c:pt idx="98">
                  <c:v>120445807574.62677</c:v>
                </c:pt>
                <c:pt idx="99">
                  <c:v>119915203830.07202</c:v>
                </c:pt>
                <c:pt idx="100">
                  <c:v>119379865126.92221</c:v>
                </c:pt>
                <c:pt idx="101">
                  <c:v>118839810892.35429</c:v>
                </c:pt>
                <c:pt idx="102">
                  <c:v>118295060732.14597</c:v>
                </c:pt>
                <c:pt idx="103">
                  <c:v>117745634430.16098</c:v>
                </c:pt>
                <c:pt idx="104">
                  <c:v>117191551947.82893</c:v>
                </c:pt>
                <c:pt idx="105">
                  <c:v>116632833423.61923</c:v>
                </c:pt>
                <c:pt idx="106">
                  <c:v>116069499172.50883</c:v>
                </c:pt>
                <c:pt idx="107">
                  <c:v>115501569685.44446</c:v>
                </c:pt>
                <c:pt idx="108">
                  <c:v>114929065628.799</c:v>
                </c:pt>
                <c:pt idx="109">
                  <c:v>114352007843.82155</c:v>
                </c:pt>
                <c:pt idx="110">
                  <c:v>113770417346.08209</c:v>
                </c:pt>
                <c:pt idx="111">
                  <c:v>113184315324.90985</c:v>
                </c:pt>
                <c:pt idx="112">
                  <c:v>112593723142.82597</c:v>
                </c:pt>
                <c:pt idx="113">
                  <c:v>111998662334.96988</c:v>
                </c:pt>
                <c:pt idx="114">
                  <c:v>111399154608.52019</c:v>
                </c:pt>
                <c:pt idx="115">
                  <c:v>110795221842.10913</c:v>
                </c:pt>
                <c:pt idx="116">
                  <c:v>110186886085.23109</c:v>
                </c:pt>
                <c:pt idx="117">
                  <c:v>109574169557.64539</c:v>
                </c:pt>
                <c:pt idx="118">
                  <c:v>108957094648.77258</c:v>
                </c:pt>
                <c:pt idx="119">
                  <c:v>108335683917.08513</c:v>
                </c:pt>
                <c:pt idx="120">
                  <c:v>107709960089.49158</c:v>
                </c:pt>
                <c:pt idx="121">
                  <c:v>107079946060.7151</c:v>
                </c:pt>
                <c:pt idx="122">
                  <c:v>106445664892.66547</c:v>
                </c:pt>
                <c:pt idx="123">
                  <c:v>105807139813.80524</c:v>
                </c:pt>
                <c:pt idx="124">
                  <c:v>105164394218.5096</c:v>
                </c:pt>
                <c:pt idx="125">
                  <c:v>104517451666.42026</c:v>
                </c:pt>
                <c:pt idx="126">
                  <c:v>103866335881.79295</c:v>
                </c:pt>
                <c:pt idx="127">
                  <c:v>103211070752.83891</c:v>
                </c:pt>
                <c:pt idx="128">
                  <c:v>102551680331.06009</c:v>
                </c:pt>
                <c:pt idx="129">
                  <c:v>101888188830.57813</c:v>
                </c:pt>
                <c:pt idx="130">
                  <c:v>101220620627.45721</c:v>
                </c:pt>
                <c:pt idx="131">
                  <c:v>100549000259.02058</c:v>
                </c:pt>
                <c:pt idx="132">
                  <c:v>99873352423.160797</c:v>
                </c:pt>
                <c:pt idx="133">
                  <c:v>99193701977.643723</c:v>
                </c:pt>
                <c:pt idx="134">
                  <c:v>98510073939.406387</c:v>
                </c:pt>
                <c:pt idx="135">
                  <c:v>97822493483.848267</c:v>
                </c:pt>
                <c:pt idx="136">
                  <c:v>97130985944.116608</c:v>
                </c:pt>
                <c:pt idx="137">
                  <c:v>96435576810.384918</c:v>
                </c:pt>
                <c:pt idx="138">
                  <c:v>95736291729.125793</c:v>
                </c:pt>
                <c:pt idx="139">
                  <c:v>95033156502.376709</c:v>
                </c:pt>
                <c:pt idx="140">
                  <c:v>94326197087.000015</c:v>
                </c:pt>
                <c:pt idx="141">
                  <c:v>93615439593.936142</c:v>
                </c:pt>
                <c:pt idx="142">
                  <c:v>92900910287.450699</c:v>
                </c:pt>
                <c:pt idx="143">
                  <c:v>92182635584.374969</c:v>
                </c:pt>
                <c:pt idx="144">
                  <c:v>91460642053.340225</c:v>
                </c:pt>
                <c:pt idx="145">
                  <c:v>90734956414.005371</c:v>
                </c:pt>
                <c:pt idx="146">
                  <c:v>90005605536.27829</c:v>
                </c:pt>
                <c:pt idx="147">
                  <c:v>89272616439.530731</c:v>
                </c:pt>
                <c:pt idx="148">
                  <c:v>88536016291.806747</c:v>
                </c:pt>
                <c:pt idx="149">
                  <c:v>87795832409.024719</c:v>
                </c:pt>
                <c:pt idx="150">
                  <c:v>87052092254.172668</c:v>
                </c:pt>
                <c:pt idx="151">
                  <c:v>86304823436.497482</c:v>
                </c:pt>
                <c:pt idx="152">
                  <c:v>85554053710.687256</c:v>
                </c:pt>
                <c:pt idx="153">
                  <c:v>84799810976.047302</c:v>
                </c:pt>
                <c:pt idx="154">
                  <c:v>84042123275.669785</c:v>
                </c:pt>
                <c:pt idx="155">
                  <c:v>83281018795.596573</c:v>
                </c:pt>
                <c:pt idx="156">
                  <c:v>82516525863.975723</c:v>
                </c:pt>
                <c:pt idx="157">
                  <c:v>81748672950.211319</c:v>
                </c:pt>
                <c:pt idx="158">
                  <c:v>80977488664.10701</c:v>
                </c:pt>
                <c:pt idx="159">
                  <c:v>80203001755.00264</c:v>
                </c:pt>
                <c:pt idx="160">
                  <c:v>79425241110.90451</c:v>
                </c:pt>
                <c:pt idx="161">
                  <c:v>78644235757.609299</c:v>
                </c:pt>
                <c:pt idx="162">
                  <c:v>77860014857.820847</c:v>
                </c:pt>
                <c:pt idx="163">
                  <c:v>77072607710.260956</c:v>
                </c:pt>
                <c:pt idx="164">
                  <c:v>76282043748.773209</c:v>
                </c:pt>
                <c:pt idx="165">
                  <c:v>75488352541.420395</c:v>
                </c:pt>
                <c:pt idx="166">
                  <c:v>74691563789.575333</c:v>
                </c:pt>
                <c:pt idx="167">
                  <c:v>73891707327.004913</c:v>
                </c:pt>
                <c:pt idx="168">
                  <c:v>73088813118.9478</c:v>
                </c:pt>
                <c:pt idx="169">
                  <c:v>72282911261.185425</c:v>
                </c:pt>
                <c:pt idx="170">
                  <c:v>71474031979.106277</c:v>
                </c:pt>
                <c:pt idx="171">
                  <c:v>70662205626.763733</c:v>
                </c:pt>
                <c:pt idx="172">
                  <c:v>69847462685.927124</c:v>
                </c:pt>
                <c:pt idx="173">
                  <c:v>69029833765.126358</c:v>
                </c:pt>
                <c:pt idx="174">
                  <c:v>68209349598.689766</c:v>
                </c:pt>
                <c:pt idx="175">
                  <c:v>67386041045.775566</c:v>
                </c:pt>
                <c:pt idx="176">
                  <c:v>66559939089.3964</c:v>
                </c:pt>
                <c:pt idx="177">
                  <c:v>65731074835.437347</c:v>
                </c:pt>
                <c:pt idx="178">
                  <c:v>64899479511.667587</c:v>
                </c:pt>
                <c:pt idx="179">
                  <c:v>64065184466.745117</c:v>
                </c:pt>
                <c:pt idx="180">
                  <c:v>63228221169.215004</c:v>
                </c:pt>
                <c:pt idx="181">
                  <c:v>62388621206.501007</c:v>
                </c:pt>
                <c:pt idx="182">
                  <c:v>61546416283.890488</c:v>
                </c:pt>
                <c:pt idx="183">
                  <c:v>60701638223.513008</c:v>
                </c:pt>
                <c:pt idx="184">
                  <c:v>59854318963.311981</c:v>
                </c:pt>
                <c:pt idx="185">
                  <c:v>59004490556.00985</c:v>
                </c:pt>
                <c:pt idx="186">
                  <c:v>58152185168.066788</c:v>
                </c:pt>
                <c:pt idx="187">
                  <c:v>57297435078.632591</c:v>
                </c:pt>
                <c:pt idx="188">
                  <c:v>56440272678.492218</c:v>
                </c:pt>
                <c:pt idx="189">
                  <c:v>55580730469.004532</c:v>
                </c:pt>
                <c:pt idx="190">
                  <c:v>54718841061.034668</c:v>
                </c:pt>
                <c:pt idx="191">
                  <c:v>53854637173.879578</c:v>
                </c:pt>
                <c:pt idx="192">
                  <c:v>52988151634.187347</c:v>
                </c:pt>
                <c:pt idx="193">
                  <c:v>52119417374.869675</c:v>
                </c:pt>
                <c:pt idx="194">
                  <c:v>51248467434.007965</c:v>
                </c:pt>
                <c:pt idx="195">
                  <c:v>50375334953.752838</c:v>
                </c:pt>
                <c:pt idx="196">
                  <c:v>49500053179.217026</c:v>
                </c:pt>
                <c:pt idx="197">
                  <c:v>48622655457.361992</c:v>
                </c:pt>
                <c:pt idx="198">
                  <c:v>47743175235.877861</c:v>
                </c:pt>
                <c:pt idx="199">
                  <c:v>46861646062.056801</c:v>
                </c:pt>
                <c:pt idx="200">
                  <c:v>45978101581.660164</c:v>
                </c:pt>
                <c:pt idx="201">
                  <c:v>45092575537.778854</c:v>
                </c:pt>
                <c:pt idx="202">
                  <c:v>44205101769.687546</c:v>
                </c:pt>
                <c:pt idx="203">
                  <c:v>43315714211.69223</c:v>
                </c:pt>
                <c:pt idx="204">
                  <c:v>42424446891.97155</c:v>
                </c:pt>
                <c:pt idx="205">
                  <c:v>41531333931.411362</c:v>
                </c:pt>
                <c:pt idx="206">
                  <c:v>40636409542.433296</c:v>
                </c:pt>
                <c:pt idx="207">
                  <c:v>39739708027.816833</c:v>
                </c:pt>
                <c:pt idx="208">
                  <c:v>38841263779.514801</c:v>
                </c:pt>
                <c:pt idx="209">
                  <c:v>37941111277.462799</c:v>
                </c:pt>
                <c:pt idx="210">
                  <c:v>37039285088.382141</c:v>
                </c:pt>
                <c:pt idx="211">
                  <c:v>36135819864.576454</c:v>
                </c:pt>
                <c:pt idx="212">
                  <c:v>35230750342.722191</c:v>
                </c:pt>
                <c:pt idx="213">
                  <c:v>34324111342.652668</c:v>
                </c:pt>
                <c:pt idx="214">
                  <c:v>33415937766.135925</c:v>
                </c:pt>
                <c:pt idx="215">
                  <c:v>32506264595.646381</c:v>
                </c:pt>
                <c:pt idx="216">
                  <c:v>31595126893.130192</c:v>
                </c:pt>
                <c:pt idx="217">
                  <c:v>30682559798.764595</c:v>
                </c:pt>
                <c:pt idx="218">
                  <c:v>29768598529.710934</c:v>
                </c:pt>
                <c:pt idx="219">
                  <c:v>28853278378.861629</c:v>
                </c:pt>
                <c:pt idx="220">
                  <c:v>27936634713.580891</c:v>
                </c:pt>
                <c:pt idx="221">
                  <c:v>27018702974.439655</c:v>
                </c:pt>
                <c:pt idx="222">
                  <c:v>26099518673.944138</c:v>
                </c:pt>
                <c:pt idx="223">
                  <c:v>25179117395.258503</c:v>
                </c:pt>
                <c:pt idx="224">
                  <c:v>24257534790.921577</c:v>
                </c:pt>
                <c:pt idx="225">
                  <c:v>23334806581.557308</c:v>
                </c:pt>
                <c:pt idx="226">
                  <c:v>22410968554.57975</c:v>
                </c:pt>
                <c:pt idx="227">
                  <c:v>21486056562.89167</c:v>
                </c:pt>
                <c:pt idx="228">
                  <c:v>20560106523.577503</c:v>
                </c:pt>
                <c:pt idx="229">
                  <c:v>19633154416.590416</c:v>
                </c:pt>
                <c:pt idx="230">
                  <c:v>18705236283.433372</c:v>
                </c:pt>
                <c:pt idx="231">
                  <c:v>17776388225.834782</c:v>
                </c:pt>
                <c:pt idx="232">
                  <c:v>16846646404.417971</c:v>
                </c:pt>
                <c:pt idx="233">
                  <c:v>15916047037.365215</c:v>
                </c:pt>
                <c:pt idx="234">
                  <c:v>14984626399.075798</c:v>
                </c:pt>
                <c:pt idx="235">
                  <c:v>14052420818.818819</c:v>
                </c:pt>
                <c:pt idx="236">
                  <c:v>13119466679.379881</c:v>
                </c:pt>
                <c:pt idx="237">
                  <c:v>12185800415.702654</c:v>
                </c:pt>
                <c:pt idx="238">
                  <c:v>11251458513.524567</c:v>
                </c:pt>
                <c:pt idx="239">
                  <c:v>10316477508.007151</c:v>
                </c:pt>
                <c:pt idx="240">
                  <c:v>9380893982.3607273</c:v>
                </c:pt>
                <c:pt idx="241">
                  <c:v>8444744566.4639959</c:v>
                </c:pt>
                <c:pt idx="242">
                  <c:v>7508065935.4778881</c:v>
                </c:pt>
                <c:pt idx="243">
                  <c:v>6570894808.4542418</c:v>
                </c:pt>
                <c:pt idx="244">
                  <c:v>5633267946.9391565</c:v>
                </c:pt>
                <c:pt idx="245">
                  <c:v>4695222153.5709295</c:v>
                </c:pt>
                <c:pt idx="246">
                  <c:v>3756794270.6730824</c:v>
                </c:pt>
                <c:pt idx="247">
                  <c:v>2818021178.841886</c:v>
                </c:pt>
                <c:pt idx="248">
                  <c:v>1878939795.5289471</c:v>
                </c:pt>
                <c:pt idx="249">
                  <c:v>939587073.61850345</c:v>
                </c:pt>
                <c:pt idx="250">
                  <c:v>9.1614526562041888E-6</c:v>
                </c:pt>
                <c:pt idx="251">
                  <c:v>-939784405.86461043</c:v>
                </c:pt>
                <c:pt idx="252">
                  <c:v>-1879729093.378485</c:v>
                </c:pt>
                <c:pt idx="253">
                  <c:v>-2819796982.2522264</c:v>
                </c:pt>
                <c:pt idx="254">
                  <c:v>-3759950963.9513698</c:v>
                </c:pt>
                <c:pt idx="255">
                  <c:v>-4700153903.1482916</c:v>
                </c:pt>
                <c:pt idx="256">
                  <c:v>-5640368639.1791945</c:v>
                </c:pt>
                <c:pt idx="257">
                  <c:v>-6580557987.5056105</c:v>
                </c:pt>
                <c:pt idx="258">
                  <c:v>-7520684741.1807232</c:v>
                </c:pt>
                <c:pt idx="259">
                  <c:v>-8460711672.3199863</c:v>
                </c:pt>
                <c:pt idx="260">
                  <c:v>-9400601533.5765667</c:v>
                </c:pt>
                <c:pt idx="261">
                  <c:v>-10340317059.621147</c:v>
                </c:pt>
                <c:pt idx="262">
                  <c:v>-11279820968.626129</c:v>
                </c:pt>
                <c:pt idx="263">
                  <c:v>-12219075963.754393</c:v>
                </c:pt>
                <c:pt idx="264">
                  <c:v>-13158044734.65202</c:v>
                </c:pt>
                <c:pt idx="265">
                  <c:v>-14096689958.945614</c:v>
                </c:pt>
                <c:pt idx="266">
                  <c:v>-15034974303.74367</c:v>
                </c:pt>
                <c:pt idx="267">
                  <c:v>-15972860427.142056</c:v>
                </c:pt>
                <c:pt idx="268">
                  <c:v>-16910310979.733736</c:v>
                </c:pt>
                <c:pt idx="269">
                  <c:v>-17847288606.122227</c:v>
                </c:pt>
                <c:pt idx="270">
                  <c:v>-18783755946.439281</c:v>
                </c:pt>
                <c:pt idx="271">
                  <c:v>-19719675637.866295</c:v>
                </c:pt>
                <c:pt idx="272">
                  <c:v>-20655010316.159767</c:v>
                </c:pt>
                <c:pt idx="273">
                  <c:v>-21589722617.180141</c:v>
                </c:pt>
                <c:pt idx="274">
                  <c:v>-22523775178.424717</c:v>
                </c:pt>
                <c:pt idx="275">
                  <c:v>-23457130640.564045</c:v>
                </c:pt>
                <c:pt idx="276">
                  <c:v>-24389751648.981838</c:v>
                </c:pt>
                <c:pt idx="277">
                  <c:v>-25321600855.318615</c:v>
                </c:pt>
                <c:pt idx="278">
                  <c:v>-26252640919.018406</c:v>
                </c:pt>
                <c:pt idx="279">
                  <c:v>-27182834508.879162</c:v>
                </c:pt>
                <c:pt idx="280">
                  <c:v>-28112144304.606327</c:v>
                </c:pt>
                <c:pt idx="281">
                  <c:v>-29040532998.369583</c:v>
                </c:pt>
                <c:pt idx="282">
                  <c:v>-29967963296.362972</c:v>
                </c:pt>
                <c:pt idx="283">
                  <c:v>-30894397920.367786</c:v>
                </c:pt>
                <c:pt idx="284">
                  <c:v>-31819799609.318745</c:v>
                </c:pt>
                <c:pt idx="285">
                  <c:v>-32744131120.87289</c:v>
                </c:pt>
                <c:pt idx="286">
                  <c:v>-33667355232.981583</c:v>
                </c:pt>
                <c:pt idx="287">
                  <c:v>-34589434745.465088</c:v>
                </c:pt>
                <c:pt idx="288">
                  <c:v>-35510332481.590103</c:v>
                </c:pt>
                <c:pt idx="289">
                  <c:v>-36430011289.649574</c:v>
                </c:pt>
                <c:pt idx="290">
                  <c:v>-37348434044.545479</c:v>
                </c:pt>
                <c:pt idx="291">
                  <c:v>-38265563649.37381</c:v>
                </c:pt>
                <c:pt idx="292">
                  <c:v>-39181363037.012108</c:v>
                </c:pt>
                <c:pt idx="293">
                  <c:v>-40095795171.709373</c:v>
                </c:pt>
                <c:pt idx="294">
                  <c:v>-41008823050.677979</c:v>
                </c:pt>
                <c:pt idx="295">
                  <c:v>-41920409705.688049</c:v>
                </c:pt>
                <c:pt idx="296">
                  <c:v>-42830518204.66378</c:v>
                </c:pt>
                <c:pt idx="297">
                  <c:v>-43739111653.281792</c:v>
                </c:pt>
                <c:pt idx="298">
                  <c:v>-44646153196.571518</c:v>
                </c:pt>
                <c:pt idx="299">
                  <c:v>-45551606020.51712</c:v>
                </c:pt>
                <c:pt idx="300">
                  <c:v>-46455433353.661629</c:v>
                </c:pt>
                <c:pt idx="301">
                  <c:v>-47357598468.712334</c:v>
                </c:pt>
                <c:pt idx="302">
                  <c:v>-48258064684.148163</c:v>
                </c:pt>
                <c:pt idx="303">
                  <c:v>-49156795365.828163</c:v>
                </c:pt>
                <c:pt idx="304">
                  <c:v>-50053753928.6017</c:v>
                </c:pt>
                <c:pt idx="305">
                  <c:v>-50948903837.91993</c:v>
                </c:pt>
                <c:pt idx="306">
                  <c:v>-51842208611.448418</c:v>
                </c:pt>
                <c:pt idx="307">
                  <c:v>-52733631820.681114</c:v>
                </c:pt>
                <c:pt idx="308">
                  <c:v>-53623137092.555176</c:v>
                </c:pt>
                <c:pt idx="309">
                  <c:v>-54510688111.066849</c:v>
                </c:pt>
                <c:pt idx="310">
                  <c:v>-55396248618.888443</c:v>
                </c:pt>
                <c:pt idx="311">
                  <c:v>-56279782418.985725</c:v>
                </c:pt>
                <c:pt idx="312">
                  <c:v>-57161253376.236511</c:v>
                </c:pt>
                <c:pt idx="313">
                  <c:v>-58040625419.049355</c:v>
                </c:pt>
                <c:pt idx="314">
                  <c:v>-58917862540.983139</c:v>
                </c:pt>
                <c:pt idx="315">
                  <c:v>-59792928802.366974</c:v>
                </c:pt>
                <c:pt idx="316">
                  <c:v>-60665788331.92054</c:v>
                </c:pt>
                <c:pt idx="317">
                  <c:v>-61536405328.374443</c:v>
                </c:pt>
                <c:pt idx="318">
                  <c:v>-62404744062.090973</c:v>
                </c:pt>
                <c:pt idx="319">
                  <c:v>-63270768876.684799</c:v>
                </c:pt>
                <c:pt idx="320">
                  <c:v>-64134444190.643661</c:v>
                </c:pt>
                <c:pt idx="321">
                  <c:v>-64995734498.948982</c:v>
                </c:pt>
                <c:pt idx="322">
                  <c:v>-65854604374.696007</c:v>
                </c:pt>
                <c:pt idx="323">
                  <c:v>-66711018470.714172</c:v>
                </c:pt>
                <c:pt idx="324">
                  <c:v>-67564941521.186302</c:v>
                </c:pt>
                <c:pt idx="325">
                  <c:v>-68416338343.267891</c:v>
                </c:pt>
                <c:pt idx="326">
                  <c:v>-69265173838.705475</c:v>
                </c:pt>
                <c:pt idx="327">
                  <c:v>-70111412995.454453</c:v>
                </c:pt>
                <c:pt idx="328">
                  <c:v>-70955020889.295883</c:v>
                </c:pt>
                <c:pt idx="329">
                  <c:v>-71795962685.45253</c:v>
                </c:pt>
                <c:pt idx="330">
                  <c:v>-72634203640.203873</c:v>
                </c:pt>
                <c:pt idx="331">
                  <c:v>-73469709102.499985</c:v>
                </c:pt>
                <c:pt idx="332">
                  <c:v>-74302444515.574005</c:v>
                </c:pt>
                <c:pt idx="333">
                  <c:v>-75132375418.553848</c:v>
                </c:pt>
                <c:pt idx="334">
                  <c:v>-75959467448.071655</c:v>
                </c:pt>
                <c:pt idx="335">
                  <c:v>-76783686339.872437</c:v>
                </c:pt>
                <c:pt idx="336">
                  <c:v>-77604997930.420776</c:v>
                </c:pt>
                <c:pt idx="337">
                  <c:v>-78423368158.505783</c:v>
                </c:pt>
                <c:pt idx="338">
                  <c:v>-79238763066.844452</c:v>
                </c:pt>
                <c:pt idx="339">
                  <c:v>-80051148803.682709</c:v>
                </c:pt>
                <c:pt idx="340">
                  <c:v>-80860491624.394684</c:v>
                </c:pt>
                <c:pt idx="341">
                  <c:v>-81666757893.079788</c:v>
                </c:pt>
                <c:pt idx="342">
                  <c:v>-82469914084.157684</c:v>
                </c:pt>
                <c:pt idx="343">
                  <c:v>-83269926783.960373</c:v>
                </c:pt>
                <c:pt idx="344">
                  <c:v>-84066762692.322418</c:v>
                </c:pt>
                <c:pt idx="345">
                  <c:v>-84860388624.168442</c:v>
                </c:pt>
                <c:pt idx="346">
                  <c:v>-85650771511.097641</c:v>
                </c:pt>
                <c:pt idx="347">
                  <c:v>-86437878402.96579</c:v>
                </c:pt>
                <c:pt idx="348">
                  <c:v>-87221676469.464554</c:v>
                </c:pt>
                <c:pt idx="349">
                  <c:v>-88002133001.69725</c:v>
                </c:pt>
                <c:pt idx="350">
                  <c:v>-88779215413.752045</c:v>
                </c:pt>
                <c:pt idx="351">
                  <c:v>-89552891244.271561</c:v>
                </c:pt>
                <c:pt idx="352">
                  <c:v>-90323128158.019363</c:v>
                </c:pt>
                <c:pt idx="353">
                  <c:v>-91089893947.443222</c:v>
                </c:pt>
                <c:pt idx="354">
                  <c:v>-91853156534.234161</c:v>
                </c:pt>
                <c:pt idx="355">
                  <c:v>-92612883970.882629</c:v>
                </c:pt>
                <c:pt idx="356">
                  <c:v>-93369044442.23053</c:v>
                </c:pt>
                <c:pt idx="357">
                  <c:v>-94121606267.019333</c:v>
                </c:pt>
                <c:pt idx="358">
                  <c:v>-94870537899.434479</c:v>
                </c:pt>
                <c:pt idx="359">
                  <c:v>-95615807930.645584</c:v>
                </c:pt>
                <c:pt idx="360">
                  <c:v>-96357385090.342285</c:v>
                </c:pt>
                <c:pt idx="361">
                  <c:v>-97095238248.266129</c:v>
                </c:pt>
                <c:pt idx="362">
                  <c:v>-97829336415.737732</c:v>
                </c:pt>
                <c:pt idx="363">
                  <c:v>-98559648747.179794</c:v>
                </c:pt>
                <c:pt idx="364">
                  <c:v>-99286144541.634979</c:v>
                </c:pt>
                <c:pt idx="365">
                  <c:v>-100008793244.27953</c:v>
                </c:pt>
                <c:pt idx="366">
                  <c:v>-100727564447.93182</c:v>
                </c:pt>
                <c:pt idx="367">
                  <c:v>-101442427894.55609</c:v>
                </c:pt>
                <c:pt idx="368">
                  <c:v>-102153353476.76083</c:v>
                </c:pt>
                <c:pt idx="369">
                  <c:v>-102860311239.29243</c:v>
                </c:pt>
                <c:pt idx="370">
                  <c:v>-103563271380.52318</c:v>
                </c:pt>
                <c:pt idx="371">
                  <c:v>-104262204253.93391</c:v>
                </c:pt>
                <c:pt idx="372">
                  <c:v>-104957080369.59164</c:v>
                </c:pt>
                <c:pt idx="373">
                  <c:v>-105647870395.62071</c:v>
                </c:pt>
                <c:pt idx="374">
                  <c:v>-106334545159.66905</c:v>
                </c:pt>
                <c:pt idx="375">
                  <c:v>-107017075650.3681</c:v>
                </c:pt>
                <c:pt idx="376">
                  <c:v>-107695433018.78706</c:v>
                </c:pt>
                <c:pt idx="377">
                  <c:v>-108369588579.88103</c:v>
                </c:pt>
                <c:pt idx="378">
                  <c:v>-109039513813.9328</c:v>
                </c:pt>
                <c:pt idx="379">
                  <c:v>-109705180367.98875</c:v>
                </c:pt>
                <c:pt idx="380">
                  <c:v>-110366560057.28806</c:v>
                </c:pt>
                <c:pt idx="381">
                  <c:v>-111023624866.68558</c:v>
                </c:pt>
                <c:pt idx="382">
                  <c:v>-111676346952.06805</c:v>
                </c:pt>
                <c:pt idx="383">
                  <c:v>-112324698641.76372</c:v>
                </c:pt>
                <c:pt idx="384">
                  <c:v>-112968652437.94504</c:v>
                </c:pt>
                <c:pt idx="385">
                  <c:v>-113608181018.02455</c:v>
                </c:pt>
                <c:pt idx="386">
                  <c:v>-114243257236.04358</c:v>
                </c:pt>
                <c:pt idx="387">
                  <c:v>-114873854124.05415</c:v>
                </c:pt>
                <c:pt idx="388">
                  <c:v>-115499944893.49324</c:v>
                </c:pt>
                <c:pt idx="389">
                  <c:v>-116121502936.54991</c:v>
                </c:pt>
                <c:pt idx="390">
                  <c:v>-116738501827.52512</c:v>
                </c:pt>
                <c:pt idx="391">
                  <c:v>-117350915324.18362</c:v>
                </c:pt>
                <c:pt idx="392">
                  <c:v>-117958717369.09856</c:v>
                </c:pt>
                <c:pt idx="393">
                  <c:v>-118561882090.98808</c:v>
                </c:pt>
                <c:pt idx="394">
                  <c:v>-119160383806.04413</c:v>
                </c:pt>
                <c:pt idx="395">
                  <c:v>-119754197019.25331</c:v>
                </c:pt>
                <c:pt idx="396">
                  <c:v>-120343296425.70963</c:v>
                </c:pt>
                <c:pt idx="397">
                  <c:v>-120927656911.91898</c:v>
                </c:pt>
                <c:pt idx="398">
                  <c:v>-121507253557.09557</c:v>
                </c:pt>
                <c:pt idx="399">
                  <c:v>-122082061634.44952</c:v>
                </c:pt>
                <c:pt idx="400">
                  <c:v>-122652056612.46663</c:v>
                </c:pt>
                <c:pt idx="401">
                  <c:v>-123217214156.17879</c:v>
                </c:pt>
                <c:pt idx="402">
                  <c:v>-123777510128.42616</c:v>
                </c:pt>
                <c:pt idx="403">
                  <c:v>-124332920591.11069</c:v>
                </c:pt>
                <c:pt idx="404">
                  <c:v>-124883421806.43999</c:v>
                </c:pt>
                <c:pt idx="405">
                  <c:v>-125428990238.16321</c:v>
                </c:pt>
                <c:pt idx="406">
                  <c:v>-125969602552.79692</c:v>
                </c:pt>
                <c:pt idx="407">
                  <c:v>-126505235620.8423</c:v>
                </c:pt>
                <c:pt idx="408">
                  <c:v>-127035866517.99294</c:v>
                </c:pt>
                <c:pt idx="409">
                  <c:v>-127561472526.33307</c:v>
                </c:pt>
                <c:pt idx="410">
                  <c:v>-128082031135.52637</c:v>
                </c:pt>
                <c:pt idx="411">
                  <c:v>-128597520043.99538</c:v>
                </c:pt>
                <c:pt idx="412">
                  <c:v>-129107917160.09091</c:v>
                </c:pt>
                <c:pt idx="413">
                  <c:v>-129613200603.25171</c:v>
                </c:pt>
                <c:pt idx="414">
                  <c:v>-130113348705.15443</c:v>
                </c:pt>
                <c:pt idx="415">
                  <c:v>-130608340010.85361</c:v>
                </c:pt>
                <c:pt idx="416">
                  <c:v>-131098153279.91109</c:v>
                </c:pt>
                <c:pt idx="417">
                  <c:v>-131582767487.51616</c:v>
                </c:pt>
                <c:pt idx="418">
                  <c:v>-132062161825.59444</c:v>
                </c:pt>
                <c:pt idx="419">
                  <c:v>-132536315703.90703</c:v>
                </c:pt>
                <c:pt idx="420">
                  <c:v>-133005208751.13928</c:v>
                </c:pt>
                <c:pt idx="421">
                  <c:v>-133468820815.97849</c:v>
                </c:pt>
                <c:pt idx="422">
                  <c:v>-133927131968.18124</c:v>
                </c:pt>
                <c:pt idx="423">
                  <c:v>-134380122499.63043</c:v>
                </c:pt>
                <c:pt idx="424">
                  <c:v>-134827772925.38068</c:v>
                </c:pt>
                <c:pt idx="425">
                  <c:v>-135270063984.69348</c:v>
                </c:pt>
                <c:pt idx="426">
                  <c:v>-135706976642.06123</c:v>
                </c:pt>
                <c:pt idx="427">
                  <c:v>-136138492088.21983</c:v>
                </c:pt>
                <c:pt idx="428">
                  <c:v>-136564591741.15062</c:v>
                </c:pt>
                <c:pt idx="429">
                  <c:v>-136985257247.07076</c:v>
                </c:pt>
                <c:pt idx="430">
                  <c:v>-137400470481.41245</c:v>
                </c:pt>
                <c:pt idx="431">
                  <c:v>-137810213549.79059</c:v>
                </c:pt>
                <c:pt idx="432">
                  <c:v>-138214468788.95898</c:v>
                </c:pt>
                <c:pt idx="433">
                  <c:v>-138613218767.75497</c:v>
                </c:pt>
                <c:pt idx="434">
                  <c:v>-139006446288.03265</c:v>
                </c:pt>
                <c:pt idx="435">
                  <c:v>-139394134385.58386</c:v>
                </c:pt>
                <c:pt idx="436">
                  <c:v>-139776266331.04773</c:v>
                </c:pt>
                <c:pt idx="437">
                  <c:v>-140152825630.8082</c:v>
                </c:pt>
                <c:pt idx="438">
                  <c:v>-140523796027.8797</c:v>
                </c:pt>
                <c:pt idx="439">
                  <c:v>-140889161502.78052</c:v>
                </c:pt>
                <c:pt idx="440">
                  <c:v>-141248906274.39432</c:v>
                </c:pt>
                <c:pt idx="441">
                  <c:v>-141603014800.81924</c:v>
                </c:pt>
                <c:pt idx="442">
                  <c:v>-141951471780.20486</c:v>
                </c:pt>
                <c:pt idx="443">
                  <c:v>-142294262151.57678</c:v>
                </c:pt>
                <c:pt idx="444">
                  <c:v>-142631371095.64877</c:v>
                </c:pt>
                <c:pt idx="445">
                  <c:v>-142962784035.6225</c:v>
                </c:pt>
                <c:pt idx="446">
                  <c:v>-143288486637.97449</c:v>
                </c:pt>
                <c:pt idx="447">
                  <c:v>-143608464813.23077</c:v>
                </c:pt>
                <c:pt idx="448">
                  <c:v>-143922704716.72864</c:v>
                </c:pt>
                <c:pt idx="449">
                  <c:v>-144231192749.36554</c:v>
                </c:pt>
                <c:pt idx="450">
                  <c:v>-144533915558.33548</c:v>
                </c:pt>
                <c:pt idx="451">
                  <c:v>-144830860037.85214</c:v>
                </c:pt>
                <c:pt idx="452">
                  <c:v>-145122013329.85941</c:v>
                </c:pt>
                <c:pt idx="453">
                  <c:v>-145407362824.72861</c:v>
                </c:pt>
                <c:pt idx="454">
                  <c:v>-145686896161.94272</c:v>
                </c:pt>
                <c:pt idx="455">
                  <c:v>-145960601230.76764</c:v>
                </c:pt>
                <c:pt idx="456">
                  <c:v>-146228466170.91</c:v>
                </c:pt>
                <c:pt idx="457">
                  <c:v>-146490479373.16174</c:v>
                </c:pt>
                <c:pt idx="458">
                  <c:v>-146746629480.03177</c:v>
                </c:pt>
                <c:pt idx="459">
                  <c:v>-146996905386.36359</c:v>
                </c:pt>
                <c:pt idx="460">
                  <c:v>-147241296239.94</c:v>
                </c:pt>
                <c:pt idx="461">
                  <c:v>-147479791442.07431</c:v>
                </c:pt>
                <c:pt idx="462">
                  <c:v>-147712380648.18768</c:v>
                </c:pt>
                <c:pt idx="463">
                  <c:v>-147939053768.37311</c:v>
                </c:pt>
                <c:pt idx="464">
                  <c:v>-148159800967.94595</c:v>
                </c:pt>
                <c:pt idx="465">
                  <c:v>-148374612667.98035</c:v>
                </c:pt>
                <c:pt idx="466">
                  <c:v>-148583479545.83228</c:v>
                </c:pt>
                <c:pt idx="467">
                  <c:v>-148786392535.64874</c:v>
                </c:pt>
                <c:pt idx="468">
                  <c:v>-148983342828.86298</c:v>
                </c:pt>
                <c:pt idx="469">
                  <c:v>-149174321874.67596</c:v>
                </c:pt>
                <c:pt idx="470">
                  <c:v>-149359321380.52411</c:v>
                </c:pt>
                <c:pt idx="471">
                  <c:v>-149538333312.53259</c:v>
                </c:pt>
                <c:pt idx="472">
                  <c:v>-149711349895.95532</c:v>
                </c:pt>
                <c:pt idx="473">
                  <c:v>-149878363615.60019</c:v>
                </c:pt>
                <c:pt idx="474">
                  <c:v>-150039367216.24084</c:v>
                </c:pt>
                <c:pt idx="475">
                  <c:v>-150194353703.01392</c:v>
                </c:pt>
                <c:pt idx="476">
                  <c:v>-150343316341.80255</c:v>
                </c:pt>
                <c:pt idx="477">
                  <c:v>-150486248659.60522</c:v>
                </c:pt>
                <c:pt idx="478">
                  <c:v>-150623144444.89087</c:v>
                </c:pt>
                <c:pt idx="479">
                  <c:v>-150753997747.93933</c:v>
                </c:pt>
                <c:pt idx="480">
                  <c:v>-150878802881.168</c:v>
                </c:pt>
                <c:pt idx="481">
                  <c:v>-150997554419.44357</c:v>
                </c:pt>
                <c:pt idx="482">
                  <c:v>-151110247200.38022</c:v>
                </c:pt>
                <c:pt idx="483">
                  <c:v>-151216876324.62256</c:v>
                </c:pt>
                <c:pt idx="484">
                  <c:v>-151317437156.11511</c:v>
                </c:pt>
                <c:pt idx="485">
                  <c:v>-151411925322.35651</c:v>
                </c:pt>
                <c:pt idx="486">
                  <c:v>-151500336714.64008</c:v>
                </c:pt>
                <c:pt idx="487">
                  <c:v>-151582667488.27921</c:v>
                </c:pt>
                <c:pt idx="488">
                  <c:v>-151658914062.819</c:v>
                </c:pt>
                <c:pt idx="489">
                  <c:v>-151729073122.23279</c:v>
                </c:pt>
                <c:pt idx="490">
                  <c:v>-151793141615.10452</c:v>
                </c:pt>
                <c:pt idx="491">
                  <c:v>-151851116754.79657</c:v>
                </c:pt>
                <c:pt idx="492">
                  <c:v>-151902996019.60287</c:v>
                </c:pt>
                <c:pt idx="493">
                  <c:v>-151948777152.88763</c:v>
                </c:pt>
                <c:pt idx="494">
                  <c:v>-151988458163.2095</c:v>
                </c:pt>
                <c:pt idx="495">
                  <c:v>-152022037324.43094</c:v>
                </c:pt>
                <c:pt idx="496">
                  <c:v>-152049513175.81335</c:v>
                </c:pt>
                <c:pt idx="497">
                  <c:v>-152070884522.09741</c:v>
                </c:pt>
                <c:pt idx="498">
                  <c:v>-152086150433.5687</c:v>
                </c:pt>
                <c:pt idx="499">
                  <c:v>-152095310246.10901</c:v>
                </c:pt>
                <c:pt idx="500">
                  <c:v>-152098363561.23276</c:v>
                </c:pt>
                <c:pt idx="501">
                  <c:v>-152095310246.10901</c:v>
                </c:pt>
                <c:pt idx="502">
                  <c:v>-152086150433.5687</c:v>
                </c:pt>
                <c:pt idx="503">
                  <c:v>-152070884522.09741</c:v>
                </c:pt>
                <c:pt idx="504">
                  <c:v>-152049513175.81335</c:v>
                </c:pt>
                <c:pt idx="505">
                  <c:v>-152022037324.43094</c:v>
                </c:pt>
                <c:pt idx="506">
                  <c:v>-151988458163.2095</c:v>
                </c:pt>
                <c:pt idx="507">
                  <c:v>-151948777152.88763</c:v>
                </c:pt>
                <c:pt idx="508">
                  <c:v>-151902996019.60287</c:v>
                </c:pt>
                <c:pt idx="509">
                  <c:v>-151851116754.79657</c:v>
                </c:pt>
                <c:pt idx="510">
                  <c:v>-151793141615.10452</c:v>
                </c:pt>
                <c:pt idx="511">
                  <c:v>-151729073122.23279</c:v>
                </c:pt>
                <c:pt idx="512">
                  <c:v>-151658914062.819</c:v>
                </c:pt>
                <c:pt idx="513">
                  <c:v>-151582667488.27921</c:v>
                </c:pt>
                <c:pt idx="514">
                  <c:v>-151500336714.64008</c:v>
                </c:pt>
                <c:pt idx="515">
                  <c:v>-151411925322.35651</c:v>
                </c:pt>
                <c:pt idx="516">
                  <c:v>-151317437156.11511</c:v>
                </c:pt>
                <c:pt idx="517">
                  <c:v>-151216876324.62256</c:v>
                </c:pt>
                <c:pt idx="518">
                  <c:v>-151110247200.38022</c:v>
                </c:pt>
                <c:pt idx="519">
                  <c:v>-150997554419.4436</c:v>
                </c:pt>
                <c:pt idx="520">
                  <c:v>-150878802881.16803</c:v>
                </c:pt>
                <c:pt idx="521">
                  <c:v>-150753997747.93936</c:v>
                </c:pt>
                <c:pt idx="522">
                  <c:v>-150623144444.89087</c:v>
                </c:pt>
                <c:pt idx="523">
                  <c:v>-150486248659.60522</c:v>
                </c:pt>
                <c:pt idx="524">
                  <c:v>-150343316341.80258</c:v>
                </c:pt>
                <c:pt idx="525">
                  <c:v>-150194353703.01392</c:v>
                </c:pt>
                <c:pt idx="526">
                  <c:v>-150039367216.24084</c:v>
                </c:pt>
                <c:pt idx="527">
                  <c:v>-149878363615.60019</c:v>
                </c:pt>
                <c:pt idx="528">
                  <c:v>-149711349895.95532</c:v>
                </c:pt>
                <c:pt idx="529">
                  <c:v>-149538333312.53259</c:v>
                </c:pt>
                <c:pt idx="530">
                  <c:v>-149359321380.52411</c:v>
                </c:pt>
                <c:pt idx="531">
                  <c:v>-149174321874.67599</c:v>
                </c:pt>
                <c:pt idx="532">
                  <c:v>-148983342828.86298</c:v>
                </c:pt>
                <c:pt idx="533">
                  <c:v>-148786392535.64874</c:v>
                </c:pt>
                <c:pt idx="534">
                  <c:v>-148583479545.83228</c:v>
                </c:pt>
                <c:pt idx="535">
                  <c:v>-148374612667.98035</c:v>
                </c:pt>
                <c:pt idx="536">
                  <c:v>-148159800967.94592</c:v>
                </c:pt>
                <c:pt idx="537">
                  <c:v>-147939053768.37311</c:v>
                </c:pt>
                <c:pt idx="538">
                  <c:v>-147712380648.18765</c:v>
                </c:pt>
                <c:pt idx="539">
                  <c:v>-147479791442.07431</c:v>
                </c:pt>
                <c:pt idx="540">
                  <c:v>-147241296239.94</c:v>
                </c:pt>
                <c:pt idx="541">
                  <c:v>-146996905386.36359</c:v>
                </c:pt>
                <c:pt idx="542">
                  <c:v>-146746629480.03177</c:v>
                </c:pt>
                <c:pt idx="543">
                  <c:v>-146490479373.16174</c:v>
                </c:pt>
                <c:pt idx="544">
                  <c:v>-146228466170.91</c:v>
                </c:pt>
                <c:pt idx="545">
                  <c:v>-145960601230.76764</c:v>
                </c:pt>
                <c:pt idx="546">
                  <c:v>-145686896161.94272</c:v>
                </c:pt>
                <c:pt idx="547">
                  <c:v>-145407362824.72861</c:v>
                </c:pt>
                <c:pt idx="548">
                  <c:v>-145122013329.85941</c:v>
                </c:pt>
                <c:pt idx="549">
                  <c:v>-144830860037.85214</c:v>
                </c:pt>
                <c:pt idx="550">
                  <c:v>-144533915558.33548</c:v>
                </c:pt>
                <c:pt idx="551">
                  <c:v>-144231192749.36554</c:v>
                </c:pt>
                <c:pt idx="552">
                  <c:v>-143922704716.72867</c:v>
                </c:pt>
                <c:pt idx="553">
                  <c:v>-143608464813.23077</c:v>
                </c:pt>
                <c:pt idx="554">
                  <c:v>-143288486637.97449</c:v>
                </c:pt>
                <c:pt idx="555">
                  <c:v>-142962784035.6225</c:v>
                </c:pt>
                <c:pt idx="556">
                  <c:v>-142631371095.64877</c:v>
                </c:pt>
                <c:pt idx="557">
                  <c:v>-142294262151.57678</c:v>
                </c:pt>
                <c:pt idx="558">
                  <c:v>-141951471780.20486</c:v>
                </c:pt>
                <c:pt idx="559">
                  <c:v>-141603014800.81924</c:v>
                </c:pt>
                <c:pt idx="560">
                  <c:v>-141248906274.39429</c:v>
                </c:pt>
                <c:pt idx="561">
                  <c:v>-140889161502.78052</c:v>
                </c:pt>
                <c:pt idx="562">
                  <c:v>-140523796027.87973</c:v>
                </c:pt>
                <c:pt idx="563">
                  <c:v>-140152825630.80823</c:v>
                </c:pt>
                <c:pt idx="564">
                  <c:v>-139776266331.04776</c:v>
                </c:pt>
                <c:pt idx="565">
                  <c:v>-139394134385.58392</c:v>
                </c:pt>
                <c:pt idx="566">
                  <c:v>-139006446288.03271</c:v>
                </c:pt>
                <c:pt idx="567">
                  <c:v>-138613218767.75504</c:v>
                </c:pt>
                <c:pt idx="568">
                  <c:v>-138214468788.95901</c:v>
                </c:pt>
                <c:pt idx="569">
                  <c:v>-137810213549.79062</c:v>
                </c:pt>
                <c:pt idx="570">
                  <c:v>-137400470481.41249</c:v>
                </c:pt>
                <c:pt idx="571">
                  <c:v>-136985257247.07079</c:v>
                </c:pt>
                <c:pt idx="572">
                  <c:v>-136564591741.15063</c:v>
                </c:pt>
                <c:pt idx="573">
                  <c:v>-136138492088.21985</c:v>
                </c:pt>
                <c:pt idx="574">
                  <c:v>-135706976642.06128</c:v>
                </c:pt>
                <c:pt idx="575">
                  <c:v>-135270063984.69354</c:v>
                </c:pt>
                <c:pt idx="576">
                  <c:v>-134827772925.38072</c:v>
                </c:pt>
                <c:pt idx="577">
                  <c:v>-134380122499.63048</c:v>
                </c:pt>
                <c:pt idx="578">
                  <c:v>-133927131968.18132</c:v>
                </c:pt>
                <c:pt idx="579">
                  <c:v>-133468820815.97855</c:v>
                </c:pt>
                <c:pt idx="580">
                  <c:v>-133005208751.13933</c:v>
                </c:pt>
                <c:pt idx="581">
                  <c:v>-132536315703.90709</c:v>
                </c:pt>
                <c:pt idx="582">
                  <c:v>-132062161825.59445</c:v>
                </c:pt>
                <c:pt idx="583">
                  <c:v>-131582767487.51617</c:v>
                </c:pt>
                <c:pt idx="584">
                  <c:v>-131098153279.91116</c:v>
                </c:pt>
                <c:pt idx="585">
                  <c:v>-130608340010.85365</c:v>
                </c:pt>
                <c:pt idx="586">
                  <c:v>-130113348705.15451</c:v>
                </c:pt>
                <c:pt idx="587">
                  <c:v>-129613200603.25175</c:v>
                </c:pt>
                <c:pt idx="588">
                  <c:v>-129107917160.09096</c:v>
                </c:pt>
                <c:pt idx="589">
                  <c:v>-128597520043.99544</c:v>
                </c:pt>
                <c:pt idx="590">
                  <c:v>-128082031135.52641</c:v>
                </c:pt>
                <c:pt idx="591">
                  <c:v>-127561472526.33308</c:v>
                </c:pt>
                <c:pt idx="592">
                  <c:v>-127035866517.99295</c:v>
                </c:pt>
                <c:pt idx="593">
                  <c:v>-126505235620.84235</c:v>
                </c:pt>
                <c:pt idx="594">
                  <c:v>-125969602552.79694</c:v>
                </c:pt>
                <c:pt idx="595">
                  <c:v>-125428990238.16324</c:v>
                </c:pt>
                <c:pt idx="596">
                  <c:v>-124883421806.44002</c:v>
                </c:pt>
                <c:pt idx="597">
                  <c:v>-124332920591.1107</c:v>
                </c:pt>
                <c:pt idx="598">
                  <c:v>-123777510128.42618</c:v>
                </c:pt>
                <c:pt idx="599">
                  <c:v>-123217214156.1788</c:v>
                </c:pt>
                <c:pt idx="600">
                  <c:v>-122652056612.46666</c:v>
                </c:pt>
                <c:pt idx="601">
                  <c:v>-122082061634.44955</c:v>
                </c:pt>
                <c:pt idx="602">
                  <c:v>-121507253557.09558</c:v>
                </c:pt>
                <c:pt idx="603">
                  <c:v>-120927656911.91901</c:v>
                </c:pt>
                <c:pt idx="604">
                  <c:v>-120343296425.70966</c:v>
                </c:pt>
                <c:pt idx="605">
                  <c:v>-119754197019.25333</c:v>
                </c:pt>
                <c:pt idx="606">
                  <c:v>-119160383806.04414</c:v>
                </c:pt>
                <c:pt idx="607">
                  <c:v>-118561882090.98811</c:v>
                </c:pt>
                <c:pt idx="608">
                  <c:v>-117958717369.09859</c:v>
                </c:pt>
                <c:pt idx="609">
                  <c:v>-117350915324.18365</c:v>
                </c:pt>
                <c:pt idx="610">
                  <c:v>-116738501827.52513</c:v>
                </c:pt>
                <c:pt idx="611">
                  <c:v>-116121502936.54993</c:v>
                </c:pt>
                <c:pt idx="612">
                  <c:v>-115499944893.49326</c:v>
                </c:pt>
                <c:pt idx="613">
                  <c:v>-114873854124.05418</c:v>
                </c:pt>
                <c:pt idx="614">
                  <c:v>-114243257236.04359</c:v>
                </c:pt>
                <c:pt idx="615">
                  <c:v>-113608181018.02457</c:v>
                </c:pt>
                <c:pt idx="616">
                  <c:v>-112968652437.94505</c:v>
                </c:pt>
                <c:pt idx="617">
                  <c:v>-112324698641.76376</c:v>
                </c:pt>
                <c:pt idx="618">
                  <c:v>-111676346952.06807</c:v>
                </c:pt>
                <c:pt idx="619">
                  <c:v>-111023624866.68561</c:v>
                </c:pt>
                <c:pt idx="620">
                  <c:v>-110366560057.28809</c:v>
                </c:pt>
                <c:pt idx="621">
                  <c:v>-109705180367.98878</c:v>
                </c:pt>
                <c:pt idx="622">
                  <c:v>-109039513813.93283</c:v>
                </c:pt>
                <c:pt idx="623">
                  <c:v>-108369588579.88104</c:v>
                </c:pt>
                <c:pt idx="624">
                  <c:v>-107695433018.78708</c:v>
                </c:pt>
                <c:pt idx="625">
                  <c:v>-107017075650.36813</c:v>
                </c:pt>
                <c:pt idx="626">
                  <c:v>-106334545159.66908</c:v>
                </c:pt>
                <c:pt idx="627">
                  <c:v>-105647870395.62076</c:v>
                </c:pt>
                <c:pt idx="628">
                  <c:v>-104957080369.59166</c:v>
                </c:pt>
                <c:pt idx="629">
                  <c:v>-104262204253.93394</c:v>
                </c:pt>
                <c:pt idx="630">
                  <c:v>-103563271380.52321</c:v>
                </c:pt>
                <c:pt idx="631">
                  <c:v>-102860311239.29248</c:v>
                </c:pt>
                <c:pt idx="632">
                  <c:v>-102153353476.76088</c:v>
                </c:pt>
                <c:pt idx="633">
                  <c:v>-101442427894.55611</c:v>
                </c:pt>
                <c:pt idx="634">
                  <c:v>-100727564447.93184</c:v>
                </c:pt>
                <c:pt idx="635">
                  <c:v>-100008793244.27956</c:v>
                </c:pt>
                <c:pt idx="636">
                  <c:v>-99286144541.63501</c:v>
                </c:pt>
                <c:pt idx="637">
                  <c:v>-98559648747.179871</c:v>
                </c:pt>
                <c:pt idx="638">
                  <c:v>-97829336415.737762</c:v>
                </c:pt>
                <c:pt idx="639">
                  <c:v>-97095238248.266159</c:v>
                </c:pt>
                <c:pt idx="640">
                  <c:v>-96357385090.342255</c:v>
                </c:pt>
                <c:pt idx="641">
                  <c:v>-95615807930.645615</c:v>
                </c:pt>
                <c:pt idx="642">
                  <c:v>-94870537899.434464</c:v>
                </c:pt>
                <c:pt idx="643">
                  <c:v>-94121606267.019363</c:v>
                </c:pt>
                <c:pt idx="644">
                  <c:v>-93369044442.230606</c:v>
                </c:pt>
                <c:pt idx="645">
                  <c:v>-92612883970.88266</c:v>
                </c:pt>
                <c:pt idx="646">
                  <c:v>-91853156534.234253</c:v>
                </c:pt>
                <c:pt idx="647">
                  <c:v>-91089893947.443237</c:v>
                </c:pt>
                <c:pt idx="648">
                  <c:v>-90323128158.01944</c:v>
                </c:pt>
                <c:pt idx="649">
                  <c:v>-89552891244.27153</c:v>
                </c:pt>
                <c:pt idx="650">
                  <c:v>-88779215413.752075</c:v>
                </c:pt>
                <c:pt idx="651">
                  <c:v>-88002133001.697235</c:v>
                </c:pt>
                <c:pt idx="652">
                  <c:v>-87221676469.464584</c:v>
                </c:pt>
                <c:pt idx="653">
                  <c:v>-86437878402.965881</c:v>
                </c:pt>
                <c:pt idx="654">
                  <c:v>-85650771511.097656</c:v>
                </c:pt>
                <c:pt idx="655">
                  <c:v>-84860388624.168533</c:v>
                </c:pt>
                <c:pt idx="656">
                  <c:v>-84066762692.322449</c:v>
                </c:pt>
                <c:pt idx="657">
                  <c:v>-83269926783.960403</c:v>
                </c:pt>
                <c:pt idx="658">
                  <c:v>-82469914084.157669</c:v>
                </c:pt>
                <c:pt idx="659">
                  <c:v>-81666757893.079803</c:v>
                </c:pt>
                <c:pt idx="660">
                  <c:v>-80860491624.394592</c:v>
                </c:pt>
                <c:pt idx="661">
                  <c:v>-80051148803.682678</c:v>
                </c:pt>
                <c:pt idx="662">
                  <c:v>-79238763066.844376</c:v>
                </c:pt>
                <c:pt idx="663">
                  <c:v>-78423368158.505768</c:v>
                </c:pt>
                <c:pt idx="664">
                  <c:v>-77604997930.420807</c:v>
                </c:pt>
                <c:pt idx="665">
                  <c:v>-76783686339.872406</c:v>
                </c:pt>
                <c:pt idx="666">
                  <c:v>-75959467448.071686</c:v>
                </c:pt>
                <c:pt idx="667">
                  <c:v>-75132375418.553833</c:v>
                </c:pt>
                <c:pt idx="668">
                  <c:v>-74302444515.574051</c:v>
                </c:pt>
                <c:pt idx="669">
                  <c:v>-73469709102.499893</c:v>
                </c:pt>
                <c:pt idx="670">
                  <c:v>-72634203640.203842</c:v>
                </c:pt>
                <c:pt idx="671">
                  <c:v>-71795962685.452438</c:v>
                </c:pt>
                <c:pt idx="672">
                  <c:v>-70955020889.295853</c:v>
                </c:pt>
                <c:pt idx="673">
                  <c:v>-70111412995.454483</c:v>
                </c:pt>
                <c:pt idx="674">
                  <c:v>-69265173838.70546</c:v>
                </c:pt>
                <c:pt idx="675">
                  <c:v>-68416338343.267921</c:v>
                </c:pt>
                <c:pt idx="676">
                  <c:v>-67564941521.186279</c:v>
                </c:pt>
                <c:pt idx="677">
                  <c:v>-66711018470.714203</c:v>
                </c:pt>
                <c:pt idx="678">
                  <c:v>-65854604374.695976</c:v>
                </c:pt>
                <c:pt idx="679">
                  <c:v>-64995734498.948952</c:v>
                </c:pt>
                <c:pt idx="680">
                  <c:v>-64134444190.643578</c:v>
                </c:pt>
                <c:pt idx="681">
                  <c:v>-63270768876.684761</c:v>
                </c:pt>
                <c:pt idx="682">
                  <c:v>-62404744062.091003</c:v>
                </c:pt>
                <c:pt idx="683">
                  <c:v>-61536405328.37442</c:v>
                </c:pt>
                <c:pt idx="684">
                  <c:v>-60665788331.920578</c:v>
                </c:pt>
                <c:pt idx="685">
                  <c:v>-59792928802.366951</c:v>
                </c:pt>
                <c:pt idx="686">
                  <c:v>-58917862540.983139</c:v>
                </c:pt>
                <c:pt idx="687">
                  <c:v>-58040625419.049301</c:v>
                </c:pt>
                <c:pt idx="688">
                  <c:v>-57161253376.236641</c:v>
                </c:pt>
                <c:pt idx="689">
                  <c:v>-56279782418.985794</c:v>
                </c:pt>
                <c:pt idx="690">
                  <c:v>-55396248618.888535</c:v>
                </c:pt>
                <c:pt idx="691">
                  <c:v>-54510688111.066887</c:v>
                </c:pt>
                <c:pt idx="692">
                  <c:v>-53623137092.555267</c:v>
                </c:pt>
                <c:pt idx="693">
                  <c:v>-52733631820.681152</c:v>
                </c:pt>
                <c:pt idx="694">
                  <c:v>-51842208611.448509</c:v>
                </c:pt>
                <c:pt idx="695">
                  <c:v>-50948903837.920059</c:v>
                </c:pt>
                <c:pt idx="696">
                  <c:v>-50053753928.601761</c:v>
                </c:pt>
                <c:pt idx="697">
                  <c:v>-49156795365.828285</c:v>
                </c:pt>
                <c:pt idx="698">
                  <c:v>-48258064684.148232</c:v>
                </c:pt>
                <c:pt idx="699">
                  <c:v>-47357598468.712471</c:v>
                </c:pt>
                <c:pt idx="700">
                  <c:v>-46455433353.661659</c:v>
                </c:pt>
                <c:pt idx="701">
                  <c:v>-45551606020.517227</c:v>
                </c:pt>
                <c:pt idx="702">
                  <c:v>-44646153196.571548</c:v>
                </c:pt>
                <c:pt idx="703">
                  <c:v>-43739111653.281891</c:v>
                </c:pt>
                <c:pt idx="704">
                  <c:v>-42830518204.66391</c:v>
                </c:pt>
                <c:pt idx="705">
                  <c:v>-41920409705.688118</c:v>
                </c:pt>
                <c:pt idx="706">
                  <c:v>-41008823050.678108</c:v>
                </c:pt>
                <c:pt idx="707">
                  <c:v>-40095795171.709442</c:v>
                </c:pt>
                <c:pt idx="708">
                  <c:v>-39181363037.012253</c:v>
                </c:pt>
                <c:pt idx="709">
                  <c:v>-38265563649.373856</c:v>
                </c:pt>
                <c:pt idx="710">
                  <c:v>-37348434044.545578</c:v>
                </c:pt>
                <c:pt idx="711">
                  <c:v>-36430011289.649612</c:v>
                </c:pt>
                <c:pt idx="712">
                  <c:v>-35510332481.590202</c:v>
                </c:pt>
                <c:pt idx="713">
                  <c:v>-34589434745.465256</c:v>
                </c:pt>
                <c:pt idx="714">
                  <c:v>-33667355232.981655</c:v>
                </c:pt>
                <c:pt idx="715">
                  <c:v>-32744131120.873024</c:v>
                </c:pt>
                <c:pt idx="716">
                  <c:v>-31819799609.318817</c:v>
                </c:pt>
                <c:pt idx="717">
                  <c:v>-30894397920.36792</c:v>
                </c:pt>
                <c:pt idx="718">
                  <c:v>-29967963296.363007</c:v>
                </c:pt>
                <c:pt idx="719">
                  <c:v>-29040532998.369656</c:v>
                </c:pt>
                <c:pt idx="720">
                  <c:v>-28112144304.606297</c:v>
                </c:pt>
                <c:pt idx="721">
                  <c:v>-27182834508.8792</c:v>
                </c:pt>
                <c:pt idx="722">
                  <c:v>-26252640919.018375</c:v>
                </c:pt>
                <c:pt idx="723">
                  <c:v>-25321600855.318649</c:v>
                </c:pt>
                <c:pt idx="724">
                  <c:v>-24389751648.981941</c:v>
                </c:pt>
                <c:pt idx="725">
                  <c:v>-23457130640.564045</c:v>
                </c:pt>
                <c:pt idx="726">
                  <c:v>-22523775178.424789</c:v>
                </c:pt>
                <c:pt idx="727">
                  <c:v>-21589722617.180141</c:v>
                </c:pt>
                <c:pt idx="728">
                  <c:v>-20655010316.159836</c:v>
                </c:pt>
                <c:pt idx="729">
                  <c:v>-19719675637.866299</c:v>
                </c:pt>
                <c:pt idx="730">
                  <c:v>-18783755946.439316</c:v>
                </c:pt>
                <c:pt idx="731">
                  <c:v>-17847288606.122196</c:v>
                </c:pt>
                <c:pt idx="732">
                  <c:v>-16910310979.73377</c:v>
                </c:pt>
                <c:pt idx="733">
                  <c:v>-15972860427.142157</c:v>
                </c:pt>
                <c:pt idx="734">
                  <c:v>-15034974303.743675</c:v>
                </c:pt>
                <c:pt idx="735">
                  <c:v>-14096689958.945684</c:v>
                </c:pt>
                <c:pt idx="736">
                  <c:v>-13158044734.652021</c:v>
                </c:pt>
                <c:pt idx="737">
                  <c:v>-12219075963.754463</c:v>
                </c:pt>
                <c:pt idx="738">
                  <c:v>-11279820968.626133</c:v>
                </c:pt>
                <c:pt idx="739">
                  <c:v>-10340317059.621185</c:v>
                </c:pt>
                <c:pt idx="740">
                  <c:v>-9400601533.5765381</c:v>
                </c:pt>
                <c:pt idx="741">
                  <c:v>-8460711672.3200226</c:v>
                </c:pt>
                <c:pt idx="742">
                  <c:v>-7520684741.1808271</c:v>
                </c:pt>
                <c:pt idx="743">
                  <c:v>-6580557987.5056467</c:v>
                </c:pt>
                <c:pt idx="744">
                  <c:v>-5640368639.1792641</c:v>
                </c:pt>
                <c:pt idx="745">
                  <c:v>-4700153903.1482944</c:v>
                </c:pt>
                <c:pt idx="746">
                  <c:v>-3759950963.9514399</c:v>
                </c:pt>
                <c:pt idx="747">
                  <c:v>-2819796982.2522297</c:v>
                </c:pt>
                <c:pt idx="748">
                  <c:v>-1879729093.3785214</c:v>
                </c:pt>
                <c:pt idx="749">
                  <c:v>-939784405.86458063</c:v>
                </c:pt>
                <c:pt idx="750">
                  <c:v>-2.7484357968612566E-5</c:v>
                </c:pt>
                <c:pt idx="751">
                  <c:v>939587073.61840034</c:v>
                </c:pt>
                <c:pt idx="752">
                  <c:v>1878939795.5289104</c:v>
                </c:pt>
                <c:pt idx="753">
                  <c:v>2818021178.8418159</c:v>
                </c:pt>
                <c:pt idx="754">
                  <c:v>3756794270.6730785</c:v>
                </c:pt>
                <c:pt idx="755">
                  <c:v>4695222153.5708599</c:v>
                </c:pt>
                <c:pt idx="756">
                  <c:v>5633267946.9391537</c:v>
                </c:pt>
                <c:pt idx="757">
                  <c:v>6570894808.4542046</c:v>
                </c:pt>
                <c:pt idx="758">
                  <c:v>7508065935.4779186</c:v>
                </c:pt>
                <c:pt idx="759">
                  <c:v>8444744566.4639597</c:v>
                </c:pt>
                <c:pt idx="760">
                  <c:v>9380893982.3606243</c:v>
                </c:pt>
                <c:pt idx="761">
                  <c:v>10316477508.007114</c:v>
                </c:pt>
                <c:pt idx="762">
                  <c:v>11251458513.524498</c:v>
                </c:pt>
                <c:pt idx="763">
                  <c:v>12185800415.70265</c:v>
                </c:pt>
                <c:pt idx="764">
                  <c:v>13119466679.37981</c:v>
                </c:pt>
                <c:pt idx="765">
                  <c:v>14052420818.818817</c:v>
                </c:pt>
                <c:pt idx="766">
                  <c:v>14984626399.075762</c:v>
                </c:pt>
                <c:pt idx="767">
                  <c:v>15916047037.365244</c:v>
                </c:pt>
                <c:pt idx="768">
                  <c:v>16846646404.417967</c:v>
                </c:pt>
                <c:pt idx="769">
                  <c:v>17776388225.834709</c:v>
                </c:pt>
                <c:pt idx="770">
                  <c:v>18705236283.433369</c:v>
                </c:pt>
                <c:pt idx="771">
                  <c:v>19633154416.590347</c:v>
                </c:pt>
                <c:pt idx="772">
                  <c:v>20560106523.577534</c:v>
                </c:pt>
                <c:pt idx="773">
                  <c:v>21486056562.891636</c:v>
                </c:pt>
                <c:pt idx="774">
                  <c:v>22410968554.579781</c:v>
                </c:pt>
                <c:pt idx="775">
                  <c:v>23334806581.55727</c:v>
                </c:pt>
                <c:pt idx="776">
                  <c:v>24257534790.921608</c:v>
                </c:pt>
                <c:pt idx="777">
                  <c:v>25179117395.258499</c:v>
                </c:pt>
                <c:pt idx="778">
                  <c:v>26099518673.944077</c:v>
                </c:pt>
                <c:pt idx="779">
                  <c:v>27018702974.439655</c:v>
                </c:pt>
                <c:pt idx="780">
                  <c:v>27936634713.580822</c:v>
                </c:pt>
                <c:pt idx="781">
                  <c:v>28853278378.861629</c:v>
                </c:pt>
                <c:pt idx="782">
                  <c:v>29768598529.710896</c:v>
                </c:pt>
                <c:pt idx="783">
                  <c:v>30682559798.764626</c:v>
                </c:pt>
                <c:pt idx="784">
                  <c:v>31595126893.130157</c:v>
                </c:pt>
                <c:pt idx="785">
                  <c:v>32506264595.646412</c:v>
                </c:pt>
                <c:pt idx="786">
                  <c:v>33415937766.135921</c:v>
                </c:pt>
                <c:pt idx="787">
                  <c:v>34324111342.652729</c:v>
                </c:pt>
                <c:pt idx="788">
                  <c:v>35230750342.722183</c:v>
                </c:pt>
                <c:pt idx="789">
                  <c:v>36135819864.576385</c:v>
                </c:pt>
                <c:pt idx="790">
                  <c:v>37039285088.382133</c:v>
                </c:pt>
                <c:pt idx="791">
                  <c:v>37941111277.462769</c:v>
                </c:pt>
                <c:pt idx="792">
                  <c:v>38841263779.514839</c:v>
                </c:pt>
                <c:pt idx="793">
                  <c:v>39739708027.816795</c:v>
                </c:pt>
                <c:pt idx="794">
                  <c:v>40636409542.433334</c:v>
                </c:pt>
                <c:pt idx="795">
                  <c:v>41531333931.411324</c:v>
                </c:pt>
                <c:pt idx="796">
                  <c:v>42424446891.971619</c:v>
                </c:pt>
                <c:pt idx="797">
                  <c:v>43315714211.692268</c:v>
                </c:pt>
                <c:pt idx="798">
                  <c:v>44205101769.687508</c:v>
                </c:pt>
                <c:pt idx="799">
                  <c:v>45092575537.778877</c:v>
                </c:pt>
                <c:pt idx="800">
                  <c:v>45978101581.660133</c:v>
                </c:pt>
                <c:pt idx="801">
                  <c:v>46861646062.056862</c:v>
                </c:pt>
                <c:pt idx="802">
                  <c:v>47743175235.877861</c:v>
                </c:pt>
                <c:pt idx="803">
                  <c:v>48622655457.362045</c:v>
                </c:pt>
                <c:pt idx="804">
                  <c:v>49500053179.217026</c:v>
                </c:pt>
                <c:pt idx="805">
                  <c:v>50375334953.752899</c:v>
                </c:pt>
                <c:pt idx="806">
                  <c:v>51248467434.007988</c:v>
                </c:pt>
                <c:pt idx="807">
                  <c:v>52119417374.869644</c:v>
                </c:pt>
                <c:pt idx="808">
                  <c:v>52988151634.187378</c:v>
                </c:pt>
                <c:pt idx="809">
                  <c:v>53854637173.879539</c:v>
                </c:pt>
                <c:pt idx="810">
                  <c:v>54718841061.034698</c:v>
                </c:pt>
                <c:pt idx="811">
                  <c:v>55580730469.004532</c:v>
                </c:pt>
                <c:pt idx="812">
                  <c:v>56440272678.492279</c:v>
                </c:pt>
                <c:pt idx="813">
                  <c:v>57297435078.632469</c:v>
                </c:pt>
                <c:pt idx="814">
                  <c:v>58152185168.066719</c:v>
                </c:pt>
                <c:pt idx="815">
                  <c:v>59004490556.009758</c:v>
                </c:pt>
                <c:pt idx="816">
                  <c:v>59854318963.311951</c:v>
                </c:pt>
                <c:pt idx="817">
                  <c:v>60701638223.512917</c:v>
                </c:pt>
                <c:pt idx="818">
                  <c:v>61546416283.890457</c:v>
                </c:pt>
                <c:pt idx="819">
                  <c:v>62388621206.500916</c:v>
                </c:pt>
                <c:pt idx="820">
                  <c:v>63228221169.214882</c:v>
                </c:pt>
                <c:pt idx="821">
                  <c:v>64065184466.745049</c:v>
                </c:pt>
                <c:pt idx="822">
                  <c:v>64899479511.667465</c:v>
                </c:pt>
                <c:pt idx="823">
                  <c:v>65731074835.437294</c:v>
                </c:pt>
                <c:pt idx="824">
                  <c:v>66559939089.396278</c:v>
                </c:pt>
                <c:pt idx="825">
                  <c:v>67386041045.775558</c:v>
                </c:pt>
                <c:pt idx="826">
                  <c:v>68209349598.689674</c:v>
                </c:pt>
                <c:pt idx="827">
                  <c:v>69029833765.126328</c:v>
                </c:pt>
                <c:pt idx="828">
                  <c:v>69847462685.927032</c:v>
                </c:pt>
                <c:pt idx="829">
                  <c:v>70662205626.763611</c:v>
                </c:pt>
                <c:pt idx="830">
                  <c:v>71474031979.106247</c:v>
                </c:pt>
                <c:pt idx="831">
                  <c:v>72282911261.185333</c:v>
                </c:pt>
                <c:pt idx="832">
                  <c:v>73088813118.947769</c:v>
                </c:pt>
                <c:pt idx="833">
                  <c:v>73891707327.004822</c:v>
                </c:pt>
                <c:pt idx="834">
                  <c:v>74691563789.575302</c:v>
                </c:pt>
                <c:pt idx="835">
                  <c:v>75488352541.420349</c:v>
                </c:pt>
                <c:pt idx="836">
                  <c:v>76282043748.773209</c:v>
                </c:pt>
                <c:pt idx="837">
                  <c:v>77072607710.26091</c:v>
                </c:pt>
                <c:pt idx="838">
                  <c:v>77860014857.820724</c:v>
                </c:pt>
                <c:pt idx="839">
                  <c:v>78644235757.609238</c:v>
                </c:pt>
                <c:pt idx="840">
                  <c:v>79425241110.904419</c:v>
                </c:pt>
                <c:pt idx="841">
                  <c:v>80203001755.002594</c:v>
                </c:pt>
                <c:pt idx="842">
                  <c:v>80977488664.106934</c:v>
                </c:pt>
                <c:pt idx="843">
                  <c:v>81748672950.211304</c:v>
                </c:pt>
                <c:pt idx="844">
                  <c:v>82516525863.975647</c:v>
                </c:pt>
                <c:pt idx="845">
                  <c:v>83281018795.596573</c:v>
                </c:pt>
                <c:pt idx="846">
                  <c:v>84042123275.669739</c:v>
                </c:pt>
                <c:pt idx="847">
                  <c:v>84799810976.047302</c:v>
                </c:pt>
                <c:pt idx="848">
                  <c:v>85554053710.68721</c:v>
                </c:pt>
                <c:pt idx="849">
                  <c:v>86304823436.497391</c:v>
                </c:pt>
                <c:pt idx="850">
                  <c:v>87052092254.172638</c:v>
                </c:pt>
                <c:pt idx="851">
                  <c:v>87795832409.024628</c:v>
                </c:pt>
                <c:pt idx="852">
                  <c:v>88536016291.806732</c:v>
                </c:pt>
                <c:pt idx="853">
                  <c:v>89272616439.53067</c:v>
                </c:pt>
                <c:pt idx="854">
                  <c:v>90005605536.278275</c:v>
                </c:pt>
                <c:pt idx="855">
                  <c:v>90734956414.00531</c:v>
                </c:pt>
                <c:pt idx="856">
                  <c:v>91460642053.340225</c:v>
                </c:pt>
                <c:pt idx="857">
                  <c:v>92182635584.374908</c:v>
                </c:pt>
                <c:pt idx="858">
                  <c:v>92900910287.450592</c:v>
                </c:pt>
                <c:pt idx="859">
                  <c:v>93615439593.936111</c:v>
                </c:pt>
                <c:pt idx="860">
                  <c:v>94326197086.999954</c:v>
                </c:pt>
                <c:pt idx="861">
                  <c:v>95033156502.376709</c:v>
                </c:pt>
                <c:pt idx="862">
                  <c:v>95736291729.125748</c:v>
                </c:pt>
                <c:pt idx="863">
                  <c:v>96435576810.384933</c:v>
                </c:pt>
                <c:pt idx="864">
                  <c:v>97130985944.116577</c:v>
                </c:pt>
                <c:pt idx="865">
                  <c:v>97822493483.848282</c:v>
                </c:pt>
                <c:pt idx="866">
                  <c:v>98510073939.406357</c:v>
                </c:pt>
                <c:pt idx="867">
                  <c:v>99193701977.643661</c:v>
                </c:pt>
                <c:pt idx="868">
                  <c:v>99873352423.160782</c:v>
                </c:pt>
                <c:pt idx="869">
                  <c:v>100549000259.02052</c:v>
                </c:pt>
                <c:pt idx="870">
                  <c:v>101220620627.45721</c:v>
                </c:pt>
                <c:pt idx="871">
                  <c:v>101888188830.57808</c:v>
                </c:pt>
                <c:pt idx="872">
                  <c:v>102551680331.0601</c:v>
                </c:pt>
                <c:pt idx="873">
                  <c:v>103211070752.83887</c:v>
                </c:pt>
                <c:pt idx="874">
                  <c:v>103866335881.79297</c:v>
                </c:pt>
                <c:pt idx="875">
                  <c:v>104517451666.42023</c:v>
                </c:pt>
                <c:pt idx="876">
                  <c:v>105164394218.50952</c:v>
                </c:pt>
                <c:pt idx="877">
                  <c:v>105807139813.80522</c:v>
                </c:pt>
                <c:pt idx="878">
                  <c:v>106445664892.66541</c:v>
                </c:pt>
                <c:pt idx="879">
                  <c:v>107079946060.7151</c:v>
                </c:pt>
                <c:pt idx="880">
                  <c:v>107709960089.49153</c:v>
                </c:pt>
                <c:pt idx="881">
                  <c:v>108335683917.08513</c:v>
                </c:pt>
                <c:pt idx="882">
                  <c:v>108957094648.77255</c:v>
                </c:pt>
                <c:pt idx="883">
                  <c:v>109574169557.6454</c:v>
                </c:pt>
                <c:pt idx="884">
                  <c:v>110186886085.23108</c:v>
                </c:pt>
                <c:pt idx="885">
                  <c:v>110795221842.10907</c:v>
                </c:pt>
                <c:pt idx="886">
                  <c:v>111399154608.52019</c:v>
                </c:pt>
                <c:pt idx="887">
                  <c:v>111998662334.96982</c:v>
                </c:pt>
                <c:pt idx="888">
                  <c:v>112593723142.82597</c:v>
                </c:pt>
                <c:pt idx="889">
                  <c:v>113184315324.90982</c:v>
                </c:pt>
                <c:pt idx="890">
                  <c:v>113770417346.08211</c:v>
                </c:pt>
                <c:pt idx="891">
                  <c:v>114352007843.82153</c:v>
                </c:pt>
                <c:pt idx="892">
                  <c:v>114929065628.79901</c:v>
                </c:pt>
                <c:pt idx="893">
                  <c:v>115501569685.44444</c:v>
                </c:pt>
                <c:pt idx="894">
                  <c:v>116069499172.50879</c:v>
                </c:pt>
                <c:pt idx="895">
                  <c:v>116632833423.61922</c:v>
                </c:pt>
                <c:pt idx="896">
                  <c:v>117191551947.82889</c:v>
                </c:pt>
                <c:pt idx="897">
                  <c:v>117745634430.16096</c:v>
                </c:pt>
                <c:pt idx="898">
                  <c:v>118295060732.14594</c:v>
                </c:pt>
                <c:pt idx="899">
                  <c:v>118839810892.35432</c:v>
                </c:pt>
                <c:pt idx="900">
                  <c:v>119379865126.9222</c:v>
                </c:pt>
                <c:pt idx="901">
                  <c:v>119915203830.07204</c:v>
                </c:pt>
                <c:pt idx="902">
                  <c:v>120445807574.62677</c:v>
                </c:pt>
                <c:pt idx="903">
                  <c:v>120971657112.51903</c:v>
                </c:pt>
                <c:pt idx="904">
                  <c:v>121492733375.29372</c:v>
                </c:pt>
                <c:pt idx="905">
                  <c:v>122009017474.60512</c:v>
                </c:pt>
                <c:pt idx="906">
                  <c:v>122520490702.70882</c:v>
                </c:pt>
                <c:pt idx="907">
                  <c:v>123027134532.9467</c:v>
                </c:pt>
                <c:pt idx="908">
                  <c:v>123528930620.2278</c:v>
                </c:pt>
                <c:pt idx="909">
                  <c:v>124025860801.5016</c:v>
                </c:pt>
                <c:pt idx="910">
                  <c:v>124517907096.22762</c:v>
                </c:pt>
                <c:pt idx="911">
                  <c:v>125005051706.83751</c:v>
                </c:pt>
                <c:pt idx="912">
                  <c:v>125487277019.1931</c:v>
                </c:pt>
                <c:pt idx="913">
                  <c:v>125964565603.03745</c:v>
                </c:pt>
                <c:pt idx="914">
                  <c:v>126436900212.44135</c:v>
                </c:pt>
                <c:pt idx="915">
                  <c:v>126904263786.24359</c:v>
                </c:pt>
                <c:pt idx="916">
                  <c:v>127366639448.4857</c:v>
                </c:pt>
                <c:pt idx="917">
                  <c:v>127824010508.84174</c:v>
                </c:pt>
                <c:pt idx="918">
                  <c:v>128276360463.04132</c:v>
                </c:pt>
                <c:pt idx="919">
                  <c:v>128723672993.28876</c:v>
                </c:pt>
                <c:pt idx="920">
                  <c:v>129165931968.67496</c:v>
                </c:pt>
                <c:pt idx="921">
                  <c:v>129603121445.58519</c:v>
                </c:pt>
                <c:pt idx="922">
                  <c:v>130035225668.10057</c:v>
                </c:pt>
                <c:pt idx="923">
                  <c:v>130462229068.39439</c:v>
                </c:pt>
                <c:pt idx="924">
                  <c:v>130884116267.12314</c:v>
                </c:pt>
                <c:pt idx="925">
                  <c:v>131300872073.81148</c:v>
                </c:pt>
                <c:pt idx="926">
                  <c:v>131712481487.23264</c:v>
                </c:pt>
                <c:pt idx="927">
                  <c:v>132118929695.78262</c:v>
                </c:pt>
                <c:pt idx="928">
                  <c:v>132520202077.8499</c:v>
                </c:pt>
                <c:pt idx="929">
                  <c:v>132916284202.17853</c:v>
                </c:pt>
                <c:pt idx="930">
                  <c:v>133307161828.22723</c:v>
                </c:pt>
                <c:pt idx="931">
                  <c:v>133692820906.52214</c:v>
                </c:pt>
                <c:pt idx="932">
                  <c:v>134073247579.00475</c:v>
                </c:pt>
                <c:pt idx="933">
                  <c:v>134448428179.37434</c:v>
                </c:pt>
                <c:pt idx="934">
                  <c:v>134818349233.42517</c:v>
                </c:pt>
                <c:pt idx="935">
                  <c:v>135182997459.37839</c:v>
                </c:pt>
                <c:pt idx="936">
                  <c:v>135542359768.20856</c:v>
                </c:pt>
                <c:pt idx="937">
                  <c:v>135896423263.96533</c:v>
                </c:pt>
                <c:pt idx="938">
                  <c:v>136245175244.08916</c:v>
                </c:pt>
                <c:pt idx="939">
                  <c:v>136588603199.72276</c:v>
                </c:pt>
                <c:pt idx="940">
                  <c:v>136926694816.01624</c:v>
                </c:pt>
                <c:pt idx="941">
                  <c:v>137259437972.42804</c:v>
                </c:pt>
                <c:pt idx="942">
                  <c:v>137586820743.02017</c:v>
                </c:pt>
                <c:pt idx="943">
                  <c:v>137908831396.74832</c:v>
                </c:pt>
                <c:pt idx="944">
                  <c:v>138225458397.74683</c:v>
                </c:pt>
                <c:pt idx="945">
                  <c:v>138536690405.60876</c:v>
                </c:pt>
                <c:pt idx="946">
                  <c:v>138842516275.66046</c:v>
                </c:pt>
                <c:pt idx="947">
                  <c:v>139142925059.23123</c:v>
                </c:pt>
                <c:pt idx="948">
                  <c:v>139437906003.91803</c:v>
                </c:pt>
                <c:pt idx="949">
                  <c:v>139727448553.8446</c:v>
                </c:pt>
                <c:pt idx="950">
                  <c:v>140011542349.91617</c:v>
                </c:pt>
                <c:pt idx="951">
                  <c:v>140290177230.06845</c:v>
                </c:pt>
                <c:pt idx="952">
                  <c:v>140563343229.51221</c:v>
                </c:pt>
                <c:pt idx="953">
                  <c:v>140831030580.97217</c:v>
                </c:pt>
                <c:pt idx="954">
                  <c:v>141093229714.92142</c:v>
                </c:pt>
                <c:pt idx="955">
                  <c:v>141349931259.81055</c:v>
                </c:pt>
                <c:pt idx="956">
                  <c:v>141601126042.29166</c:v>
                </c:pt>
                <c:pt idx="957">
                  <c:v>141846805087.43765</c:v>
                </c:pt>
                <c:pt idx="958">
                  <c:v>142086959618.95639</c:v>
                </c:pt>
                <c:pt idx="959">
                  <c:v>142321581059.40005</c:v>
                </c:pt>
                <c:pt idx="960">
                  <c:v>142550661030.36896</c:v>
                </c:pt>
                <c:pt idx="961">
                  <c:v>142774191352.71152</c:v>
                </c:pt>
                <c:pt idx="962">
                  <c:v>142992164046.71796</c:v>
                </c:pt>
                <c:pt idx="963">
                  <c:v>143204571332.31009</c:v>
                </c:pt>
                <c:pt idx="964">
                  <c:v>143411405629.2258</c:v>
                </c:pt>
                <c:pt idx="965">
                  <c:v>143612659557.19855</c:v>
                </c:pt>
                <c:pt idx="966">
                  <c:v>143808325936.13205</c:v>
                </c:pt>
                <c:pt idx="967">
                  <c:v>143998397786.27017</c:v>
                </c:pt>
                <c:pt idx="968">
                  <c:v>144182868328.36185</c:v>
                </c:pt>
                <c:pt idx="969">
                  <c:v>144361730983.82086</c:v>
                </c:pt>
                <c:pt idx="970">
                  <c:v>144534979374.88138</c:v>
                </c:pt>
                <c:pt idx="971">
                  <c:v>144702607324.74796</c:v>
                </c:pt>
                <c:pt idx="972">
                  <c:v>144864608857.7413</c:v>
                </c:pt>
                <c:pt idx="973">
                  <c:v>145020978199.43842</c:v>
                </c:pt>
                <c:pt idx="974">
                  <c:v>145171709776.80887</c:v>
                </c:pt>
                <c:pt idx="975">
                  <c:v>145316798218.34552</c:v>
                </c:pt>
                <c:pt idx="976">
                  <c:v>145456238354.19046</c:v>
                </c:pt>
                <c:pt idx="977">
                  <c:v>145590025216.25668</c:v>
                </c:pt>
                <c:pt idx="978">
                  <c:v>145718154038.34427</c:v>
                </c:pt>
                <c:pt idx="979">
                  <c:v>145840620256.25232</c:v>
                </c:pt>
                <c:pt idx="980">
                  <c:v>145957419507.88559</c:v>
                </c:pt>
                <c:pt idx="981">
                  <c:v>146068547633.35684</c:v>
                </c:pt>
                <c:pt idx="982">
                  <c:v>146174000675.08398</c:v>
                </c:pt>
                <c:pt idx="983">
                  <c:v>146273774877.88272</c:v>
                </c:pt>
                <c:pt idx="984">
                  <c:v>146367866689.05426</c:v>
                </c:pt>
                <c:pt idx="985">
                  <c:v>146456272758.46826</c:v>
                </c:pt>
                <c:pt idx="986">
                  <c:v>146538989938.64117</c:v>
                </c:pt>
                <c:pt idx="987">
                  <c:v>146616015284.8096</c:v>
                </c:pt>
                <c:pt idx="988">
                  <c:v>146687346054.99902</c:v>
                </c:pt>
                <c:pt idx="989">
                  <c:v>146752979710.08777</c:v>
                </c:pt>
                <c:pt idx="990">
                  <c:v>146812913913.86615</c:v>
                </c:pt>
                <c:pt idx="991">
                  <c:v>146867146533.09106</c:v>
                </c:pt>
                <c:pt idx="992">
                  <c:v>146915675637.53543</c:v>
                </c:pt>
                <c:pt idx="993">
                  <c:v>146958499500.03351</c:v>
                </c:pt>
                <c:pt idx="994">
                  <c:v>146995616596.52072</c:v>
                </c:pt>
                <c:pt idx="995">
                  <c:v>147027025606.06955</c:v>
                </c:pt>
                <c:pt idx="996">
                  <c:v>147052725410.91989</c:v>
                </c:pt>
                <c:pt idx="997">
                  <c:v>147072715096.50543</c:v>
                </c:pt>
                <c:pt idx="998">
                  <c:v>147086993951.47461</c:v>
                </c:pt>
                <c:pt idx="999">
                  <c:v>147095561467.70746</c:v>
                </c:pt>
                <c:pt idx="1000">
                  <c:v>147098417340.32718</c:v>
                </c:pt>
              </c:numCache>
            </c:numRef>
          </c:xVal>
          <c:yVal>
            <c:numRef>
              <c:f>Data!$F$13:$F$1013</c:f>
              <c:numCache>
                <c:formatCode>General</c:formatCode>
                <c:ptCount val="1001"/>
                <c:pt idx="0" formatCode="0.00E+00">
                  <c:v>0</c:v>
                </c:pt>
                <c:pt idx="1">
                  <c:v>924240833.11910081</c:v>
                </c:pt>
                <c:pt idx="2">
                  <c:v>1848446977.9195192</c:v>
                </c:pt>
                <c:pt idx="3">
                  <c:v>2772583747.1795783</c:v>
                </c:pt>
                <c:pt idx="4">
                  <c:v>3696616455.8716092</c:v>
                </c:pt>
                <c:pt idx="5">
                  <c:v>4620510422.2589426</c:v>
                </c:pt>
                <c:pt idx="6">
                  <c:v>5544230968.9928904</c:v>
                </c:pt>
                <c:pt idx="7">
                  <c:v>6467743424.2097034</c:v>
                </c:pt>
                <c:pt idx="8">
                  <c:v>7391013122.6275215</c:v>
                </c:pt>
                <c:pt idx="9">
                  <c:v>8314005406.6432858</c:v>
                </c:pt>
                <c:pt idx="10">
                  <c:v>9236685627.429615</c:v>
                </c:pt>
                <c:pt idx="11">
                  <c:v>10159019146.031673</c:v>
                </c:pt>
                <c:pt idx="12">
                  <c:v>11080971334.463972</c:v>
                </c:pt>
                <c:pt idx="13">
                  <c:v>12002507576.807127</c:v>
                </c:pt>
                <c:pt idx="14">
                  <c:v>12923593270.304604</c:v>
                </c:pt>
                <c:pt idx="15">
                  <c:v>13844193826.459372</c:v>
                </c:pt>
                <c:pt idx="16">
                  <c:v>14764274672.130505</c:v>
                </c:pt>
                <c:pt idx="17">
                  <c:v>15683801250.629742</c:v>
                </c:pt>
                <c:pt idx="18">
                  <c:v>16602739022.81797</c:v>
                </c:pt>
                <c:pt idx="19">
                  <c:v>17521053468.201633</c:v>
                </c:pt>
                <c:pt idx="20">
                  <c:v>18438710086.029053</c:v>
                </c:pt>
                <c:pt idx="21">
                  <c:v>19355674396.386688</c:v>
                </c:pt>
                <c:pt idx="22">
                  <c:v>20271911941.295311</c:v>
                </c:pt>
                <c:pt idx="23">
                  <c:v>21187388285.806076</c:v>
                </c:pt>
                <c:pt idx="24">
                  <c:v>22102069019.096474</c:v>
                </c:pt>
                <c:pt idx="25">
                  <c:v>23015919755.566227</c:v>
                </c:pt>
                <c:pt idx="26">
                  <c:v>23928906135.933064</c:v>
                </c:pt>
                <c:pt idx="27">
                  <c:v>24840993828.328369</c:v>
                </c:pt>
                <c:pt idx="28">
                  <c:v>25752148529.39267</c:v>
                </c:pt>
                <c:pt idx="29">
                  <c:v>26662335965.37112</c:v>
                </c:pt>
                <c:pt idx="30">
                  <c:v>27571521893.20874</c:v>
                </c:pt>
                <c:pt idx="31">
                  <c:v>28479672101.645546</c:v>
                </c:pt>
                <c:pt idx="32">
                  <c:v>29386752412.311581</c:v>
                </c:pt>
                <c:pt idx="33">
                  <c:v>30292728680.821724</c:v>
                </c:pt>
                <c:pt idx="34">
                  <c:v>31197566797.870434</c:v>
                </c:pt>
                <c:pt idx="35">
                  <c:v>32101232690.326244</c:v>
                </c:pt>
                <c:pt idx="36">
                  <c:v>33003692322.326118</c:v>
                </c:pt>
                <c:pt idx="37">
                  <c:v>33904911696.369705</c:v>
                </c:pt>
                <c:pt idx="38">
                  <c:v>34804856854.413239</c:v>
                </c:pt>
                <c:pt idx="39">
                  <c:v>35703493878.963432</c:v>
                </c:pt>
                <c:pt idx="40">
                  <c:v>36600788894.171089</c:v>
                </c:pt>
                <c:pt idx="41">
                  <c:v>37496708066.924454</c:v>
                </c:pt>
                <c:pt idx="42">
                  <c:v>38391217607.94249</c:v>
                </c:pt>
                <c:pt idx="43">
                  <c:v>39284283772.867783</c:v>
                </c:pt>
                <c:pt idx="44">
                  <c:v>40175872863.359375</c:v>
                </c:pt>
                <c:pt idx="45">
                  <c:v>41065951228.185226</c:v>
                </c:pt>
                <c:pt idx="46">
                  <c:v>41954485264.314461</c:v>
                </c:pt>
                <c:pt idx="47">
                  <c:v>42841441418.009453</c:v>
                </c:pt>
                <c:pt idx="48">
                  <c:v>43726786185.917503</c:v>
                </c:pt>
                <c:pt idx="49">
                  <c:v>44610486116.162361</c:v>
                </c:pt>
                <c:pt idx="50">
                  <c:v>45492507809.435455</c:v>
                </c:pt>
                <c:pt idx="51">
                  <c:v>46372817920.086731</c:v>
                </c:pt>
                <c:pt idx="52">
                  <c:v>47251383157.215309</c:v>
                </c:pt>
                <c:pt idx="53">
                  <c:v>48128170285.759766</c:v>
                </c:pt>
                <c:pt idx="54">
                  <c:v>49003146127.588127</c:v>
                </c:pt>
                <c:pt idx="55">
                  <c:v>49876277562.587532</c:v>
                </c:pt>
                <c:pt idx="56">
                  <c:v>50747531529.753464</c:v>
                </c:pt>
                <c:pt idx="57">
                  <c:v>51616875028.278831</c:v>
                </c:pt>
                <c:pt idx="58">
                  <c:v>52484275118.642464</c:v>
                </c:pt>
                <c:pt idx="59">
                  <c:v>53349698923.697357</c:v>
                </c:pt>
                <c:pt idx="60">
                  <c:v>54213113629.758575</c:v>
                </c:pt>
                <c:pt idx="61">
                  <c:v>55074486487.690575</c:v>
                </c:pt>
                <c:pt idx="62">
                  <c:v>55933784813.994301</c:v>
                </c:pt>
                <c:pt idx="63">
                  <c:v>56790975991.893852</c:v>
                </c:pt>
                <c:pt idx="64">
                  <c:v>57646027472.422523</c:v>
                </c:pt>
                <c:pt idx="65">
                  <c:v>58498906775.508629</c:v>
                </c:pt>
                <c:pt idx="66">
                  <c:v>59349581491.060745</c:v>
                </c:pt>
                <c:pt idx="67">
                  <c:v>60198019280.052513</c:v>
                </c:pt>
                <c:pt idx="68">
                  <c:v>61044187875.606972</c:v>
                </c:pt>
                <c:pt idx="69">
                  <c:v>61888055084.080246</c:v>
                </c:pt>
                <c:pt idx="70">
                  <c:v>62729588786.145035</c:v>
                </c:pt>
                <c:pt idx="71">
                  <c:v>63568756937.873192</c:v>
                </c:pt>
                <c:pt idx="72">
                  <c:v>64405527571.818085</c:v>
                </c:pt>
                <c:pt idx="73">
                  <c:v>65239868798.096169</c:v>
                </c:pt>
                <c:pt idx="74">
                  <c:v>66071748805.468124</c:v>
                </c:pt>
                <c:pt idx="75">
                  <c:v>66901135862.419289</c:v>
                </c:pt>
                <c:pt idx="76">
                  <c:v>67727998318.239616</c:v>
                </c:pt>
                <c:pt idx="77">
                  <c:v>68552304604.102974</c:v>
                </c:pt>
                <c:pt idx="78">
                  <c:v>69374023234.14566</c:v>
                </c:pt>
                <c:pt idx="79">
                  <c:v>70193122806.544418</c:v>
                </c:pt>
                <c:pt idx="80">
                  <c:v>71009572004.593903</c:v>
                </c:pt>
                <c:pt idx="81">
                  <c:v>71823339597.782959</c:v>
                </c:pt>
                <c:pt idx="82">
                  <c:v>72634394442.870911</c:v>
                </c:pt>
                <c:pt idx="83">
                  <c:v>73442705484.962402</c:v>
                </c:pt>
                <c:pt idx="84">
                  <c:v>74248241758.582047</c:v>
                </c:pt>
                <c:pt idx="85">
                  <c:v>75050972388.748047</c:v>
                </c:pt>
                <c:pt idx="86">
                  <c:v>75850866592.045044</c:v>
                </c:pt>
                <c:pt idx="87">
                  <c:v>76647893677.696198</c:v>
                </c:pt>
                <c:pt idx="88">
                  <c:v>77442023048.634521</c:v>
                </c:pt>
                <c:pt idx="89">
                  <c:v>78233224202.573273</c:v>
                </c:pt>
                <c:pt idx="90">
                  <c:v>79021466733.075439</c:v>
                </c:pt>
                <c:pt idx="91">
                  <c:v>79806720330.622528</c:v>
                </c:pt>
                <c:pt idx="92">
                  <c:v>80588954783.682281</c:v>
                </c:pt>
                <c:pt idx="93">
                  <c:v>81368139979.775513</c:v>
                </c:pt>
                <c:pt idx="94">
                  <c:v>82144245906.542084</c:v>
                </c:pt>
                <c:pt idx="95">
                  <c:v>82917242652.805649</c:v>
                </c:pt>
                <c:pt idx="96">
                  <c:v>83687100409.637833</c:v>
                </c:pt>
                <c:pt idx="97">
                  <c:v>84453789471.420975</c:v>
                </c:pt>
                <c:pt idx="98">
                  <c:v>85217280236.910034</c:v>
                </c:pt>
                <c:pt idx="99">
                  <c:v>85977543210.293549</c:v>
                </c:pt>
                <c:pt idx="100">
                  <c:v>86734549002.253082</c:v>
                </c:pt>
                <c:pt idx="101">
                  <c:v>87488268331.022186</c:v>
                </c:pt>
                <c:pt idx="102">
                  <c:v>88238672023.443649</c:v>
                </c:pt>
                <c:pt idx="103">
                  <c:v>88985731016.025879</c:v>
                </c:pt>
                <c:pt idx="104">
                  <c:v>89729416355.998001</c:v>
                </c:pt>
                <c:pt idx="105">
                  <c:v>90469699202.363907</c:v>
                </c:pt>
                <c:pt idx="106">
                  <c:v>91206550826.954865</c:v>
                </c:pt>
                <c:pt idx="107">
                  <c:v>91939942615.480804</c:v>
                </c:pt>
                <c:pt idx="108">
                  <c:v>92669846068.580688</c:v>
                </c:pt>
                <c:pt idx="109">
                  <c:v>93396232802.871155</c:v>
                </c:pt>
                <c:pt idx="110">
                  <c:v>94119074551.994019</c:v>
                </c:pt>
                <c:pt idx="111">
                  <c:v>94838343167.662384</c:v>
                </c:pt>
                <c:pt idx="112">
                  <c:v>95554010620.705215</c:v>
                </c:pt>
                <c:pt idx="113">
                  <c:v>96266049002.110718</c:v>
                </c:pt>
                <c:pt idx="114">
                  <c:v>96974430524.068024</c:v>
                </c:pt>
                <c:pt idx="115">
                  <c:v>97679127521.007507</c:v>
                </c:pt>
                <c:pt idx="116">
                  <c:v>98380112450.639572</c:v>
                </c:pt>
                <c:pt idx="117">
                  <c:v>99077357894.99176</c:v>
                </c:pt>
                <c:pt idx="118">
                  <c:v>99770836561.444519</c:v>
                </c:pt>
                <c:pt idx="119">
                  <c:v>100460521283.76515</c:v>
                </c:pt>
                <c:pt idx="120">
                  <c:v>101146385023.14005</c:v>
                </c:pt>
                <c:pt idx="121">
                  <c:v>101828400869.20563</c:v>
                </c:pt>
                <c:pt idx="122">
                  <c:v>102506542041.07704</c:v>
                </c:pt>
                <c:pt idx="123">
                  <c:v>103180781888.37558</c:v>
                </c:pt>
                <c:pt idx="124">
                  <c:v>103851093892.254</c:v>
                </c:pt>
                <c:pt idx="125">
                  <c:v>104517451666.42024</c:v>
                </c:pt>
                <c:pt idx="126">
                  <c:v>105179828958.15913</c:v>
                </c:pt>
                <c:pt idx="127">
                  <c:v>105838199649.35229</c:v>
                </c:pt>
                <c:pt idx="128">
                  <c:v>106492537757.49628</c:v>
                </c:pt>
                <c:pt idx="129">
                  <c:v>107142817436.71825</c:v>
                </c:pt>
                <c:pt idx="130">
                  <c:v>107789012978.79051</c:v>
                </c:pt>
                <c:pt idx="131">
                  <c:v>108431098814.14207</c:v>
                </c:pt>
                <c:pt idx="132">
                  <c:v>109069049512.86897</c:v>
                </c:pt>
                <c:pt idx="133">
                  <c:v>109702839785.74176</c:v>
                </c:pt>
                <c:pt idx="134">
                  <c:v>110332444485.21158</c:v>
                </c:pt>
                <c:pt idx="135">
                  <c:v>110957838606.4136</c:v>
                </c:pt>
                <c:pt idx="136">
                  <c:v>111578997288.16827</c:v>
                </c:pt>
                <c:pt idx="137">
                  <c:v>112195895813.98048</c:v>
                </c:pt>
                <c:pt idx="138">
                  <c:v>112808509613.03641</c:v>
                </c:pt>
                <c:pt idx="139">
                  <c:v>113416814261.19792</c:v>
                </c:pt>
                <c:pt idx="140">
                  <c:v>114020785481.99478</c:v>
                </c:pt>
                <c:pt idx="141">
                  <c:v>114620399147.61417</c:v>
                </c:pt>
                <c:pt idx="142">
                  <c:v>115215631279.88817</c:v>
                </c:pt>
                <c:pt idx="143">
                  <c:v>115806458051.27837</c:v>
                </c:pt>
                <c:pt idx="144">
                  <c:v>116392855785.85812</c:v>
                </c:pt>
                <c:pt idx="145">
                  <c:v>116974800960.2923</c:v>
                </c:pt>
                <c:pt idx="146">
                  <c:v>117552270204.81422</c:v>
                </c:pt>
                <c:pt idx="147">
                  <c:v>118125240304.20003</c:v>
                </c:pt>
                <c:pt idx="148">
                  <c:v>118693688198.74045</c:v>
                </c:pt>
                <c:pt idx="149">
                  <c:v>119257590985.20978</c:v>
                </c:pt>
                <c:pt idx="150">
                  <c:v>119816925917.83195</c:v>
                </c:pt>
                <c:pt idx="151">
                  <c:v>120371670409.2438</c:v>
                </c:pt>
                <c:pt idx="152">
                  <c:v>120921802031.45573</c:v>
                </c:pt>
                <c:pt idx="153">
                  <c:v>121467298516.8089</c:v>
                </c:pt>
                <c:pt idx="154">
                  <c:v>122008137758.93018</c:v>
                </c:pt>
                <c:pt idx="155">
                  <c:v>122544297813.68335</c:v>
                </c:pt>
                <c:pt idx="156">
                  <c:v>123075756900.11775</c:v>
                </c:pt>
                <c:pt idx="157">
                  <c:v>123602493401.41371</c:v>
                </c:pt>
                <c:pt idx="158">
                  <c:v>124124485865.82466</c:v>
                </c:pt>
                <c:pt idx="159">
                  <c:v>124641713007.61623</c:v>
                </c:pt>
                <c:pt idx="160">
                  <c:v>125154153708.00192</c:v>
                </c:pt>
                <c:pt idx="161">
                  <c:v>125661787016.07578</c:v>
                </c:pt>
                <c:pt idx="162">
                  <c:v>126164592149.74146</c:v>
                </c:pt>
                <c:pt idx="163">
                  <c:v>126662548496.63785</c:v>
                </c:pt>
                <c:pt idx="164">
                  <c:v>127155635615.06155</c:v>
                </c:pt>
                <c:pt idx="165">
                  <c:v>127643833234.8857</c:v>
                </c:pt>
                <c:pt idx="166">
                  <c:v>128127121258.47504</c:v>
                </c:pt>
                <c:pt idx="167">
                  <c:v>128605479761.59795</c:v>
                </c:pt>
                <c:pt idx="168">
                  <c:v>129078888994.33412</c:v>
                </c:pt>
                <c:pt idx="169">
                  <c:v>129547329381.97922</c:v>
                </c:pt>
                <c:pt idx="170">
                  <c:v>130010781525.94536</c:v>
                </c:pt>
                <c:pt idx="171">
                  <c:v>130469226204.65779</c:v>
                </c:pt>
                <c:pt idx="172">
                  <c:v>130922644374.44826</c:v>
                </c:pt>
                <c:pt idx="173">
                  <c:v>131371017170.4437</c:v>
                </c:pt>
                <c:pt idx="174">
                  <c:v>131814325907.45139</c:v>
                </c:pt>
                <c:pt idx="175">
                  <c:v>132252552080.84041</c:v>
                </c:pt>
                <c:pt idx="176">
                  <c:v>132685677367.41829</c:v>
                </c:pt>
                <c:pt idx="177">
                  <c:v>133113683626.30421</c:v>
                </c:pt>
                <c:pt idx="178">
                  <c:v>133536552899.79767</c:v>
                </c:pt>
                <c:pt idx="179">
                  <c:v>133954267414.24307</c:v>
                </c:pt>
                <c:pt idx="180">
                  <c:v>134366809580.89008</c:v>
                </c:pt>
                <c:pt idx="181">
                  <c:v>134774161996.74945</c:v>
                </c:pt>
                <c:pt idx="182">
                  <c:v>135176307445.44473</c:v>
                </c:pt>
                <c:pt idx="183">
                  <c:v>135573228898.05937</c:v>
                </c:pt>
                <c:pt idx="184">
                  <c:v>135964909513.97934</c:v>
                </c:pt>
                <c:pt idx="185">
                  <c:v>136351332641.73112</c:v>
                </c:pt>
                <c:pt idx="186">
                  <c:v>136732481819.81534</c:v>
                </c:pt>
                <c:pt idx="187">
                  <c:v>137108340777.53563</c:v>
                </c:pt>
                <c:pt idx="188">
                  <c:v>137478893435.82254</c:v>
                </c:pt>
                <c:pt idx="189">
                  <c:v>137844123908.05286</c:v>
                </c:pt>
                <c:pt idx="190">
                  <c:v>138204016500.86438</c:v>
                </c:pt>
                <c:pt idx="191">
                  <c:v>138558555714.96521</c:v>
                </c:pt>
                <c:pt idx="192">
                  <c:v>138907726245.93848</c:v>
                </c:pt>
                <c:pt idx="193">
                  <c:v>139251512985.04199</c:v>
                </c:pt>
                <c:pt idx="194">
                  <c:v>139589901020.00272</c:v>
                </c:pt>
                <c:pt idx="195">
                  <c:v>139922875635.80646</c:v>
                </c:pt>
                <c:pt idx="196">
                  <c:v>140250422315.48172</c:v>
                </c:pt>
                <c:pt idx="197">
                  <c:v>140572526740.879</c:v>
                </c:pt>
                <c:pt idx="198">
                  <c:v>140889174793.44449</c:v>
                </c:pt>
                <c:pt idx="199">
                  <c:v>141200352554.98816</c:v>
                </c:pt>
                <c:pt idx="200">
                  <c:v>141506046308.44696</c:v>
                </c:pt>
                <c:pt idx="201">
                  <c:v>141806242538.64206</c:v>
                </c:pt>
                <c:pt idx="202">
                  <c:v>142100927933.03079</c:v>
                </c:pt>
                <c:pt idx="203">
                  <c:v>142390089382.45285</c:v>
                </c:pt>
                <c:pt idx="204">
                  <c:v>142673713981.87106</c:v>
                </c:pt>
                <c:pt idx="205">
                  <c:v>142951789031.10614</c:v>
                </c:pt>
                <c:pt idx="206">
                  <c:v>143224302035.56586</c:v>
                </c:pt>
                <c:pt idx="207">
                  <c:v>143491240706.96814</c:v>
                </c:pt>
                <c:pt idx="208">
                  <c:v>143752592964.05856</c:v>
                </c:pt>
                <c:pt idx="209">
                  <c:v>144008346933.32169</c:v>
                </c:pt>
                <c:pt idx="210">
                  <c:v>144258490949.68631</c:v>
                </c:pt>
                <c:pt idx="211">
                  <c:v>144503013557.22491</c:v>
                </c:pt>
                <c:pt idx="212">
                  <c:v>144741903509.84631</c:v>
                </c:pt>
                <c:pt idx="213">
                  <c:v>144975149771.98303</c:v>
                </c:pt>
                <c:pt idx="214">
                  <c:v>145202741519.27151</c:v>
                </c:pt>
                <c:pt idx="215">
                  <c:v>145424668139.22632</c:v>
                </c:pt>
                <c:pt idx="216">
                  <c:v>145640919231.90845</c:v>
                </c:pt>
                <c:pt idx="217">
                  <c:v>145851484610.58597</c:v>
                </c:pt>
                <c:pt idx="218">
                  <c:v>146056354302.38943</c:v>
                </c:pt>
                <c:pt idx="219">
                  <c:v>146255518548.95984</c:v>
                </c:pt>
                <c:pt idx="220">
                  <c:v>146448967807.09006</c:v>
                </c:pt>
                <c:pt idx="221">
                  <c:v>146636692749.3602</c:v>
                </c:pt>
                <c:pt idx="222">
                  <c:v>146818684264.76489</c:v>
                </c:pt>
                <c:pt idx="223">
                  <c:v>146994933459.33524</c:v>
                </c:pt>
                <c:pt idx="224">
                  <c:v>147165431656.75275</c:v>
                </c:pt>
                <c:pt idx="225">
                  <c:v>147330170398.95657</c:v>
                </c:pt>
                <c:pt idx="226">
                  <c:v>147489141446.74408</c:v>
                </c:pt>
                <c:pt idx="227">
                  <c:v>147642336780.36386</c:v>
                </c:pt>
                <c:pt idx="228">
                  <c:v>147789748600.10178</c:v>
                </c:pt>
                <c:pt idx="229">
                  <c:v>147931369326.85986</c:v>
                </c:pt>
                <c:pt idx="230">
                  <c:v>148067191602.72751</c:v>
                </c:pt>
                <c:pt idx="231">
                  <c:v>148197208291.54599</c:v>
                </c:pt>
                <c:pt idx="232">
                  <c:v>148321412479.46509</c:v>
                </c:pt>
                <c:pt idx="233">
                  <c:v>148439797475.49219</c:v>
                </c:pt>
                <c:pt idx="234">
                  <c:v>148552356812.03415</c:v>
                </c:pt>
                <c:pt idx="235">
                  <c:v>148659084245.43124</c:v>
                </c:pt>
                <c:pt idx="236">
                  <c:v>148759973756.48376</c:v>
                </c:pt>
                <c:pt idx="237">
                  <c:v>148855019550.97061</c:v>
                </c:pt>
                <c:pt idx="238">
                  <c:v>148944216060.16013</c:v>
                </c:pt>
                <c:pt idx="239">
                  <c:v>149027557941.3132</c:v>
                </c:pt>
                <c:pt idx="240">
                  <c:v>149105040078.17841</c:v>
                </c:pt>
                <c:pt idx="241">
                  <c:v>149176657581.47897</c:v>
                </c:pt>
                <c:pt idx="242">
                  <c:v>149242405789.39194</c:v>
                </c:pt>
                <c:pt idx="243">
                  <c:v>149302280268.01923</c:v>
                </c:pt>
                <c:pt idx="244">
                  <c:v>149356276811.85019</c:v>
                </c:pt>
                <c:pt idx="245">
                  <c:v>149404391444.21622</c:v>
                </c:pt>
                <c:pt idx="246">
                  <c:v>149446620417.737</c:v>
                </c:pt>
                <c:pt idx="247">
                  <c:v>149482960214.75851</c:v>
                </c:pt>
                <c:pt idx="248">
                  <c:v>149513407547.78223</c:v>
                </c:pt>
                <c:pt idx="249">
                  <c:v>149537959359.88617</c:v>
                </c:pt>
                <c:pt idx="250">
                  <c:v>149556612825.13739</c:v>
                </c:pt>
                <c:pt idx="251">
                  <c:v>149569365348.99567</c:v>
                </c:pt>
                <c:pt idx="252">
                  <c:v>149576214568.70868</c:v>
                </c:pt>
                <c:pt idx="253">
                  <c:v>149577158353.69833</c:v>
                </c:pt>
                <c:pt idx="254">
                  <c:v>149572194805.93839</c:v>
                </c:pt>
                <c:pt idx="255">
                  <c:v>149561322260.32324</c:v>
                </c:pt>
                <c:pt idx="256">
                  <c:v>149544539285.02756</c:v>
                </c:pt>
                <c:pt idx="257">
                  <c:v>149521844681.85736</c:v>
                </c:pt>
                <c:pt idx="258">
                  <c:v>149493237486.59161</c:v>
                </c:pt>
                <c:pt idx="259">
                  <c:v>149458716969.31506</c:v>
                </c:pt>
                <c:pt idx="260">
                  <c:v>149418282634.74161</c:v>
                </c:pt>
                <c:pt idx="261">
                  <c:v>149371934222.52887</c:v>
                </c:pt>
                <c:pt idx="262">
                  <c:v>149319671707.58295</c:v>
                </c:pt>
                <c:pt idx="263">
                  <c:v>149261495300.35434</c:v>
                </c:pt>
                <c:pt idx="264">
                  <c:v>149197405447.12424</c:v>
                </c:pt>
                <c:pt idx="265">
                  <c:v>149127402830.28116</c:v>
                </c:pt>
                <c:pt idx="266">
                  <c:v>149051488368.58862</c:v>
                </c:pt>
                <c:pt idx="267">
                  <c:v>148969663217.44272</c:v>
                </c:pt>
                <c:pt idx="268">
                  <c:v>148881928769.12027</c:v>
                </c:pt>
                <c:pt idx="269">
                  <c:v>148788286653.01743</c:v>
                </c:pt>
                <c:pt idx="270">
                  <c:v>148688738735.8782</c:v>
                </c:pt>
                <c:pt idx="271">
                  <c:v>148583287122.01355</c:v>
                </c:pt>
                <c:pt idx="272">
                  <c:v>148471934153.51041</c:v>
                </c:pt>
                <c:pt idx="273">
                  <c:v>148354682410.43082</c:v>
                </c:pt>
                <c:pt idx="274">
                  <c:v>148231534711.00119</c:v>
                </c:pt>
                <c:pt idx="275">
                  <c:v>148102494111.79144</c:v>
                </c:pt>
                <c:pt idx="276">
                  <c:v>147967563907.88416</c:v>
                </c:pt>
                <c:pt idx="277">
                  <c:v>147826747633.03357</c:v>
                </c:pt>
                <c:pt idx="278">
                  <c:v>147680049059.81424</c:v>
                </c:pt>
                <c:pt idx="279">
                  <c:v>147527472199.75989</c:v>
                </c:pt>
                <c:pt idx="280">
                  <c:v>147369021303.49142</c:v>
                </c:pt>
                <c:pt idx="281">
                  <c:v>147204700860.83502</c:v>
                </c:pt>
                <c:pt idx="282">
                  <c:v>147034515600.92972</c:v>
                </c:pt>
                <c:pt idx="283">
                  <c:v>146858470492.3244</c:v>
                </c:pt>
                <c:pt idx="284">
                  <c:v>146676570743.06451</c:v>
                </c:pt>
                <c:pt idx="285">
                  <c:v>146488821800.76816</c:v>
                </c:pt>
                <c:pt idx="286">
                  <c:v>146295229352.6915</c:v>
                </c:pt>
                <c:pt idx="287">
                  <c:v>146095799325.78381</c:v>
                </c:pt>
                <c:pt idx="288">
                  <c:v>145890537886.73132</c:v>
                </c:pt>
                <c:pt idx="289">
                  <c:v>145679451441.99094</c:v>
                </c:pt>
                <c:pt idx="290">
                  <c:v>145462546637.81271</c:v>
                </c:pt>
                <c:pt idx="291">
                  <c:v>145239830360.25171</c:v>
                </c:pt>
                <c:pt idx="292">
                  <c:v>145011309735.16891</c:v>
                </c:pt>
                <c:pt idx="293">
                  <c:v>144776992128.22125</c:v>
                </c:pt>
                <c:pt idx="294">
                  <c:v>144536885144.84058</c:v>
                </c:pt>
                <c:pt idx="295">
                  <c:v>144290996630.20175</c:v>
                </c:pt>
                <c:pt idx="296">
                  <c:v>144039334669.17957</c:v>
                </c:pt>
                <c:pt idx="297">
                  <c:v>143781907586.29462</c:v>
                </c:pt>
                <c:pt idx="298">
                  <c:v>143518723945.64804</c:v>
                </c:pt>
                <c:pt idx="299">
                  <c:v>143249792550.84488</c:v>
                </c:pt>
                <c:pt idx="300">
                  <c:v>142975122444.90662</c:v>
                </c:pt>
                <c:pt idx="301">
                  <c:v>142694722910.17209</c:v>
                </c:pt>
                <c:pt idx="302">
                  <c:v>142408603468.18716</c:v>
                </c:pt>
                <c:pt idx="303">
                  <c:v>142116773879.58325</c:v>
                </c:pt>
                <c:pt idx="304">
                  <c:v>141819244143.94403</c:v>
                </c:pt>
                <c:pt idx="305">
                  <c:v>141516024499.66138</c:v>
                </c:pt>
                <c:pt idx="306">
                  <c:v>141207125423.77911</c:v>
                </c:pt>
                <c:pt idx="307">
                  <c:v>140892557631.82565</c:v>
                </c:pt>
                <c:pt idx="308">
                  <c:v>140572332077.6355</c:v>
                </c:pt>
                <c:pt idx="309">
                  <c:v>140246459953.1579</c:v>
                </c:pt>
                <c:pt idx="310">
                  <c:v>139914952688.25565</c:v>
                </c:pt>
                <c:pt idx="311">
                  <c:v>139577821950.49066</c:v>
                </c:pt>
                <c:pt idx="312">
                  <c:v>139235079644.89883</c:v>
                </c:pt>
                <c:pt idx="313">
                  <c:v>138886737913.75296</c:v>
                </c:pt>
                <c:pt idx="314">
                  <c:v>138532809136.31354</c:v>
                </c:pt>
                <c:pt idx="315">
                  <c:v>138173305928.56863</c:v>
                </c:pt>
                <c:pt idx="316">
                  <c:v>137808241142.96103</c:v>
                </c:pt>
                <c:pt idx="317">
                  <c:v>137437627868.10423</c:v>
                </c:pt>
                <c:pt idx="318">
                  <c:v>137061479428.48618</c:v>
                </c:pt>
                <c:pt idx="319">
                  <c:v>136679809384.16148</c:v>
                </c:pt>
                <c:pt idx="320">
                  <c:v>136292631530.4313</c:v>
                </c:pt>
                <c:pt idx="321">
                  <c:v>135899959897.51173</c:v>
                </c:pt>
                <c:pt idx="322">
                  <c:v>135501808750.18988</c:v>
                </c:pt>
                <c:pt idx="323">
                  <c:v>135098192587.46808</c:v>
                </c:pt>
                <c:pt idx="324">
                  <c:v>134689126142.19637</c:v>
                </c:pt>
                <c:pt idx="325">
                  <c:v>134274624380.69244</c:v>
                </c:pt>
                <c:pt idx="326">
                  <c:v>133854702502.34998</c:v>
                </c:pt>
                <c:pt idx="327">
                  <c:v>133429375939.23466</c:v>
                </c:pt>
                <c:pt idx="328">
                  <c:v>132998660355.66826</c:v>
                </c:pt>
                <c:pt idx="329">
                  <c:v>132562571647.80043</c:v>
                </c:pt>
                <c:pt idx="330">
                  <c:v>132121125943.16862</c:v>
                </c:pt>
                <c:pt idx="331">
                  <c:v>131674339600.24571</c:v>
                </c:pt>
                <c:pt idx="332">
                  <c:v>131222229207.97543</c:v>
                </c:pt>
                <c:pt idx="333">
                  <c:v>130764811585.29568</c:v>
                </c:pt>
                <c:pt idx="334">
                  <c:v>130302103780.64977</c:v>
                </c:pt>
                <c:pt idx="335">
                  <c:v>129834123071.48531</c:v>
                </c:pt>
                <c:pt idx="336">
                  <c:v>129360886963.74089</c:v>
                </c:pt>
                <c:pt idx="337">
                  <c:v>128882413191.32069</c:v>
                </c:pt>
                <c:pt idx="338">
                  <c:v>128398719715.55675</c:v>
                </c:pt>
                <c:pt idx="339">
                  <c:v>127909824724.65897</c:v>
                </c:pt>
                <c:pt idx="340">
                  <c:v>127415746633.15288</c:v>
                </c:pt>
                <c:pt idx="341">
                  <c:v>126916504081.30534</c:v>
                </c:pt>
                <c:pt idx="342">
                  <c:v>126412115934.5377</c:v>
                </c:pt>
                <c:pt idx="343">
                  <c:v>125902601282.82684</c:v>
                </c:pt>
                <c:pt idx="344">
                  <c:v>125387979440.09402</c:v>
                </c:pt>
                <c:pt idx="345">
                  <c:v>124868269943.58116</c:v>
                </c:pt>
                <c:pt idx="346">
                  <c:v>124343492553.21542</c:v>
                </c:pt>
                <c:pt idx="347">
                  <c:v>123813667250.96066</c:v>
                </c:pt>
                <c:pt idx="348">
                  <c:v>123278814240.15759</c:v>
                </c:pt>
                <c:pt idx="349">
                  <c:v>122738953944.85081</c:v>
                </c:pt>
                <c:pt idx="350">
                  <c:v>122194107009.10406</c:v>
                </c:pt>
                <c:pt idx="351">
                  <c:v>121644294296.30318</c:v>
                </c:pt>
                <c:pt idx="352">
                  <c:v>121089536888.44652</c:v>
                </c:pt>
                <c:pt idx="353">
                  <c:v>120529856085.42332</c:v>
                </c:pt>
                <c:pt idx="354">
                  <c:v>119965273404.27997</c:v>
                </c:pt>
                <c:pt idx="355">
                  <c:v>119395810578.47366</c:v>
                </c:pt>
                <c:pt idx="356">
                  <c:v>118821489557.11417</c:v>
                </c:pt>
                <c:pt idx="357">
                  <c:v>118242332504.19299</c:v>
                </c:pt>
                <c:pt idx="358">
                  <c:v>117658361797.80075</c:v>
                </c:pt>
                <c:pt idx="359">
                  <c:v>117069600029.33217</c:v>
                </c:pt>
                <c:pt idx="360">
                  <c:v>116476070002.67868</c:v>
                </c:pt>
                <c:pt idx="361">
                  <c:v>115877794733.40918</c:v>
                </c:pt>
                <c:pt idx="362">
                  <c:v>115274797447.93855</c:v>
                </c:pt>
                <c:pt idx="363">
                  <c:v>114667101582.68367</c:v>
                </c:pt>
                <c:pt idx="364">
                  <c:v>114054730783.20798</c:v>
                </c:pt>
                <c:pt idx="365">
                  <c:v>113437708903.35333</c:v>
                </c:pt>
                <c:pt idx="366">
                  <c:v>112816060004.36003</c:v>
                </c:pt>
                <c:pt idx="367">
                  <c:v>112189808353.97487</c:v>
                </c:pt>
                <c:pt idx="368">
                  <c:v>111558978425.54684</c:v>
                </c:pt>
                <c:pt idx="369">
                  <c:v>110923594897.11119</c:v>
                </c:pt>
                <c:pt idx="370">
                  <c:v>110283682650.46115</c:v>
                </c:pt>
                <c:pt idx="371">
                  <c:v>109639266770.20796</c:v>
                </c:pt>
                <c:pt idx="372">
                  <c:v>108990372542.82866</c:v>
                </c:pt>
                <c:pt idx="373">
                  <c:v>108337025455.70238</c:v>
                </c:pt>
                <c:pt idx="374">
                  <c:v>107679251196.13432</c:v>
                </c:pt>
                <c:pt idx="375">
                  <c:v>107017075650.36812</c:v>
                </c:pt>
                <c:pt idx="376">
                  <c:v>106350524902.58632</c:v>
                </c:pt>
                <c:pt idx="377">
                  <c:v>105679625233.89909</c:v>
                </c:pt>
                <c:pt idx="378">
                  <c:v>105004403121.32111</c:v>
                </c:pt>
                <c:pt idx="379">
                  <c:v>104324885236.73674</c:v>
                </c:pt>
                <c:pt idx="380">
                  <c:v>103641098445.85373</c:v>
                </c:pt>
                <c:pt idx="381">
                  <c:v>102953069807.14471</c:v>
                </c:pt>
                <c:pt idx="382">
                  <c:v>102260826570.77786</c:v>
                </c:pt>
                <c:pt idx="383">
                  <c:v>101564396177.53529</c:v>
                </c:pt>
                <c:pt idx="384">
                  <c:v>100863806257.72035</c:v>
                </c:pt>
                <c:pt idx="385">
                  <c:v>100159084630.05316</c:v>
                </c:pt>
                <c:pt idx="386">
                  <c:v>99450259300.554886</c:v>
                </c:pt>
                <c:pt idx="387">
                  <c:v>98737358461.420471</c:v>
                </c:pt>
                <c:pt idx="388">
                  <c:v>98020410489.880127</c:v>
                </c:pt>
                <c:pt idx="389">
                  <c:v>97299443947.049469</c:v>
                </c:pt>
                <c:pt idx="390">
                  <c:v>96574487576.768143</c:v>
                </c:pt>
                <c:pt idx="391">
                  <c:v>95845570304.427795</c:v>
                </c:pt>
                <c:pt idx="392">
                  <c:v>95112721235.78833</c:v>
                </c:pt>
                <c:pt idx="393">
                  <c:v>94375969655.783295</c:v>
                </c:pt>
                <c:pt idx="394">
                  <c:v>93635345027.314102</c:v>
                </c:pt>
                <c:pt idx="395">
                  <c:v>92890876990.033417</c:v>
                </c:pt>
                <c:pt idx="396">
                  <c:v>92142595359.117355</c:v>
                </c:pt>
                <c:pt idx="397">
                  <c:v>91390530124.026871</c:v>
                </c:pt>
                <c:pt idx="398">
                  <c:v>90634711447.258392</c:v>
                </c:pt>
                <c:pt idx="399">
                  <c:v>89875169663.083588</c:v>
                </c:pt>
                <c:pt idx="400">
                  <c:v>89111935276.278168</c:v>
                </c:pt>
                <c:pt idx="401">
                  <c:v>88345038960.840607</c:v>
                </c:pt>
                <c:pt idx="402">
                  <c:v>87574511558.699615</c:v>
                </c:pt>
                <c:pt idx="403">
                  <c:v>86800384078.411545</c:v>
                </c:pt>
                <c:pt idx="404">
                  <c:v>86022687693.846863</c:v>
                </c:pt>
                <c:pt idx="405">
                  <c:v>85241453742.866684</c:v>
                </c:pt>
                <c:pt idx="406">
                  <c:v>84456713725.988525</c:v>
                </c:pt>
                <c:pt idx="407">
                  <c:v>83668499305.042175</c:v>
                </c:pt>
                <c:pt idx="408">
                  <c:v>82876842301.814758</c:v>
                </c:pt>
                <c:pt idx="409">
                  <c:v>82081774696.686478</c:v>
                </c:pt>
                <c:pt idx="410">
                  <c:v>81283328627.255524</c:v>
                </c:pt>
                <c:pt idx="411">
                  <c:v>80481536386.953201</c:v>
                </c:pt>
                <c:pt idx="412">
                  <c:v>79676430423.64949</c:v>
                </c:pt>
                <c:pt idx="413">
                  <c:v>78868043338.248093</c:v>
                </c:pt>
                <c:pt idx="414">
                  <c:v>78056407883.272217</c:v>
                </c:pt>
                <c:pt idx="415">
                  <c:v>77241556961.44043</c:v>
                </c:pt>
                <c:pt idx="416">
                  <c:v>76423523624.232773</c:v>
                </c:pt>
                <c:pt idx="417">
                  <c:v>75602341070.447662</c:v>
                </c:pt>
                <c:pt idx="418">
                  <c:v>74778042644.74881</c:v>
                </c:pt>
                <c:pt idx="419">
                  <c:v>73950661836.203217</c:v>
                </c:pt>
                <c:pt idx="420">
                  <c:v>73120232276.809418</c:v>
                </c:pt>
                <c:pt idx="421">
                  <c:v>72286787740.016998</c:v>
                </c:pt>
                <c:pt idx="422">
                  <c:v>71450362139.236313</c:v>
                </c:pt>
                <c:pt idx="423">
                  <c:v>70610989526.339798</c:v>
                </c:pt>
                <c:pt idx="424">
                  <c:v>69768704090.153656</c:v>
                </c:pt>
                <c:pt idx="425">
                  <c:v>68923540154.941116</c:v>
                </c:pt>
                <c:pt idx="426">
                  <c:v>68075532178.876671</c:v>
                </c:pt>
                <c:pt idx="427">
                  <c:v>67224714752.511559</c:v>
                </c:pt>
                <c:pt idx="428">
                  <c:v>66371122597.230675</c:v>
                </c:pt>
                <c:pt idx="429">
                  <c:v>65514790563.700966</c:v>
                </c:pt>
                <c:pt idx="430">
                  <c:v>64655753630.311073</c:v>
                </c:pt>
                <c:pt idx="431">
                  <c:v>63794046901.603172</c:v>
                </c:pt>
                <c:pt idx="432">
                  <c:v>62929705606.695961</c:v>
                </c:pt>
                <c:pt idx="433">
                  <c:v>62062765097.699669</c:v>
                </c:pt>
                <c:pt idx="434">
                  <c:v>61193260848.123184</c:v>
                </c:pt>
                <c:pt idx="435">
                  <c:v>60321228451.272797</c:v>
                </c:pt>
                <c:pt idx="436">
                  <c:v>59446703618.643349</c:v>
                </c:pt>
                <c:pt idx="437">
                  <c:v>58569722178.301468</c:v>
                </c:pt>
                <c:pt idx="438">
                  <c:v>57690320073.261124</c:v>
                </c:pt>
                <c:pt idx="439">
                  <c:v>56808533359.851326</c:v>
                </c:pt>
                <c:pt idx="440">
                  <c:v>55924398206.076927</c:v>
                </c:pt>
                <c:pt idx="441">
                  <c:v>55037950889.971397</c:v>
                </c:pt>
                <c:pt idx="442">
                  <c:v>54149227797.942528</c:v>
                </c:pt>
                <c:pt idx="443">
                  <c:v>53258265423.110992</c:v>
                </c:pt>
                <c:pt idx="444">
                  <c:v>52365100363.641762</c:v>
                </c:pt>
                <c:pt idx="445">
                  <c:v>51469769321.068466</c:v>
                </c:pt>
                <c:pt idx="446">
                  <c:v>50572309098.610931</c:v>
                </c:pt>
                <c:pt idx="447">
                  <c:v>49672756599.486</c:v>
                </c:pt>
                <c:pt idx="448">
                  <c:v>48771148825.211281</c:v>
                </c:pt>
                <c:pt idx="449">
                  <c:v>47867522873.903023</c:v>
                </c:pt>
                <c:pt idx="450">
                  <c:v>46961915938.56691</c:v>
                </c:pt>
                <c:pt idx="451">
                  <c:v>46054365305.382736</c:v>
                </c:pt>
                <c:pt idx="452">
                  <c:v>45144908351.982803</c:v>
                </c:pt>
                <c:pt idx="453">
                  <c:v>44233582545.724289</c:v>
                </c:pt>
                <c:pt idx="454">
                  <c:v>43320425441.95536</c:v>
                </c:pt>
                <c:pt idx="455">
                  <c:v>42405474682.275597</c:v>
                </c:pt>
                <c:pt idx="456">
                  <c:v>41488767992.790504</c:v>
                </c:pt>
                <c:pt idx="457">
                  <c:v>40570343182.360352</c:v>
                </c:pt>
                <c:pt idx="458">
                  <c:v>39650238140.843307</c:v>
                </c:pt>
                <c:pt idx="459">
                  <c:v>38728490837.333504</c:v>
                </c:pt>
                <c:pt idx="460">
                  <c:v>37805139318.393257</c:v>
                </c:pt>
                <c:pt idx="461">
                  <c:v>36880221706.280411</c:v>
                </c:pt>
                <c:pt idx="462">
                  <c:v>35953776197.17038</c:v>
                </c:pt>
                <c:pt idx="463">
                  <c:v>35025841059.373283</c:v>
                </c:pt>
                <c:pt idx="464">
                  <c:v>34096454631.546146</c:v>
                </c:pt>
                <c:pt idx="465">
                  <c:v>33165655320.900391</c:v>
                </c:pt>
                <c:pt idx="466">
                  <c:v>32233481601.404682</c:v>
                </c:pt>
                <c:pt idx="467">
                  <c:v>31299972011.982967</c:v>
                </c:pt>
                <c:pt idx="468">
                  <c:v>30365165154.708748</c:v>
                </c:pt>
                <c:pt idx="469">
                  <c:v>29429099692.994469</c:v>
                </c:pt>
                <c:pt idx="470">
                  <c:v>28491814349.776737</c:v>
                </c:pt>
                <c:pt idx="471">
                  <c:v>27553347905.698101</c:v>
                </c:pt>
                <c:pt idx="472">
                  <c:v>26613739197.284267</c:v>
                </c:pt>
                <c:pt idx="473">
                  <c:v>25673027115.11776</c:v>
                </c:pt>
                <c:pt idx="474">
                  <c:v>24731250602.007919</c:v>
                </c:pt>
                <c:pt idx="475">
                  <c:v>23788448651.157322</c:v>
                </c:pt>
                <c:pt idx="476">
                  <c:v>22844660304.32476</c:v>
                </c:pt>
                <c:pt idx="477">
                  <c:v>21899924649.984951</c:v>
                </c:pt>
                <c:pt idx="478">
                  <c:v>20954280821.484772</c:v>
                </c:pt>
                <c:pt idx="479">
                  <c:v>20007767995.197063</c:v>
                </c:pt>
                <c:pt idx="480">
                  <c:v>19060425388.670876</c:v>
                </c:pt>
                <c:pt idx="481">
                  <c:v>18112292258.779148</c:v>
                </c:pt>
                <c:pt idx="482">
                  <c:v>17163407899.863762</c:v>
                </c:pt>
                <c:pt idx="483">
                  <c:v>16213811641.877897</c:v>
                </c:pt>
                <c:pt idx="484">
                  <c:v>15263542848.526072</c:v>
                </c:pt>
                <c:pt idx="485">
                  <c:v>14312640915.401783</c:v>
                </c:pt>
                <c:pt idx="486">
                  <c:v>13361145268.123028</c:v>
                </c:pt>
                <c:pt idx="487">
                  <c:v>12409095360.465807</c:v>
                </c:pt>
                <c:pt idx="488">
                  <c:v>11456530672.495371</c:v>
                </c:pt>
                <c:pt idx="489">
                  <c:v>10503490708.696335</c:v>
                </c:pt>
                <c:pt idx="490">
                  <c:v>9550014996.1004677</c:v>
                </c:pt>
                <c:pt idx="491">
                  <c:v>8596143082.4132442</c:v>
                </c:pt>
                <c:pt idx="492">
                  <c:v>7641914534.1389351</c:v>
                </c:pt>
                <c:pt idx="493">
                  <c:v>6687368934.7043982</c:v>
                </c:pt>
                <c:pt idx="494">
                  <c:v>5732545882.5817204</c:v>
                </c:pt>
                <c:pt idx="495">
                  <c:v>4777484989.4098158</c:v>
                </c:pt>
                <c:pt idx="496">
                  <c:v>3822225878.1151972</c:v>
                </c:pt>
                <c:pt idx="497">
                  <c:v>2866808181.0316319</c:v>
                </c:pt>
                <c:pt idx="498">
                  <c:v>1911271538.0198314</c:v>
                </c:pt>
                <c:pt idx="499">
                  <c:v>955655594.58594811</c:v>
                </c:pt>
                <c:pt idx="500">
                  <c:v>1.8634307511117388E-5</c:v>
                </c:pt>
                <c:pt idx="501">
                  <c:v>-955655594.5859108</c:v>
                </c:pt>
                <c:pt idx="502">
                  <c:v>-1911271538.0197942</c:v>
                </c:pt>
                <c:pt idx="503">
                  <c:v>-2866808181.0315948</c:v>
                </c:pt>
                <c:pt idx="504">
                  <c:v>-3822225878.11516</c:v>
                </c:pt>
                <c:pt idx="505">
                  <c:v>-4777484989.4097786</c:v>
                </c:pt>
                <c:pt idx="506">
                  <c:v>-5732545882.5816841</c:v>
                </c:pt>
                <c:pt idx="507">
                  <c:v>-6687368934.70436</c:v>
                </c:pt>
                <c:pt idx="508">
                  <c:v>-7641914534.1388979</c:v>
                </c:pt>
                <c:pt idx="509">
                  <c:v>-8596143082.413208</c:v>
                </c:pt>
                <c:pt idx="510">
                  <c:v>-9550014996.1004314</c:v>
                </c:pt>
                <c:pt idx="511">
                  <c:v>-10503490708.696297</c:v>
                </c:pt>
                <c:pt idx="512">
                  <c:v>-11456530672.495333</c:v>
                </c:pt>
                <c:pt idx="513">
                  <c:v>-12409095360.465771</c:v>
                </c:pt>
                <c:pt idx="514">
                  <c:v>-13361145268.12299</c:v>
                </c:pt>
                <c:pt idx="515">
                  <c:v>-14312640915.401745</c:v>
                </c:pt>
                <c:pt idx="516">
                  <c:v>-15263542848.526035</c:v>
                </c:pt>
                <c:pt idx="517">
                  <c:v>-16213811641.877859</c:v>
                </c:pt>
                <c:pt idx="518">
                  <c:v>-17163407899.863726</c:v>
                </c:pt>
                <c:pt idx="519">
                  <c:v>-18112292258.77911</c:v>
                </c:pt>
                <c:pt idx="520">
                  <c:v>-19060425388.670837</c:v>
                </c:pt>
                <c:pt idx="521">
                  <c:v>-20007767995.197029</c:v>
                </c:pt>
                <c:pt idx="522">
                  <c:v>-20954280821.484734</c:v>
                </c:pt>
                <c:pt idx="523">
                  <c:v>-21899924649.984913</c:v>
                </c:pt>
                <c:pt idx="524">
                  <c:v>-22844660304.324726</c:v>
                </c:pt>
                <c:pt idx="525">
                  <c:v>-23788448651.157284</c:v>
                </c:pt>
                <c:pt idx="526">
                  <c:v>-24731250602.007881</c:v>
                </c:pt>
                <c:pt idx="527">
                  <c:v>-25673027115.117722</c:v>
                </c:pt>
                <c:pt idx="528">
                  <c:v>-26613739197.284237</c:v>
                </c:pt>
                <c:pt idx="529">
                  <c:v>-27553347905.698067</c:v>
                </c:pt>
                <c:pt idx="530">
                  <c:v>-28491814349.776699</c:v>
                </c:pt>
                <c:pt idx="531">
                  <c:v>-29429099692.994434</c:v>
                </c:pt>
                <c:pt idx="532">
                  <c:v>-30365165154.708778</c:v>
                </c:pt>
                <c:pt idx="533">
                  <c:v>-31299972011.982937</c:v>
                </c:pt>
                <c:pt idx="534">
                  <c:v>-32233481601.404644</c:v>
                </c:pt>
                <c:pt idx="535">
                  <c:v>-33165655320.900421</c:v>
                </c:pt>
                <c:pt idx="536">
                  <c:v>-34096454631.546173</c:v>
                </c:pt>
                <c:pt idx="537">
                  <c:v>-35025841059.373314</c:v>
                </c:pt>
                <c:pt idx="538">
                  <c:v>-35953776197.17041</c:v>
                </c:pt>
                <c:pt idx="539">
                  <c:v>-36880221706.280441</c:v>
                </c:pt>
                <c:pt idx="540">
                  <c:v>-37805139318.393288</c:v>
                </c:pt>
                <c:pt idx="541">
                  <c:v>-38728490837.333534</c:v>
                </c:pt>
                <c:pt idx="542">
                  <c:v>-39650238140.843277</c:v>
                </c:pt>
                <c:pt idx="543">
                  <c:v>-40570343182.360321</c:v>
                </c:pt>
                <c:pt idx="544">
                  <c:v>-41488767992.790527</c:v>
                </c:pt>
                <c:pt idx="545">
                  <c:v>-42405474682.27562</c:v>
                </c:pt>
                <c:pt idx="546">
                  <c:v>-43320425441.955383</c:v>
                </c:pt>
                <c:pt idx="547">
                  <c:v>-44233582545.724319</c:v>
                </c:pt>
                <c:pt idx="548">
                  <c:v>-45144908351.982834</c:v>
                </c:pt>
                <c:pt idx="549">
                  <c:v>-46054365305.382767</c:v>
                </c:pt>
                <c:pt idx="550">
                  <c:v>-46961915938.56694</c:v>
                </c:pt>
                <c:pt idx="551">
                  <c:v>-47867522873.903061</c:v>
                </c:pt>
                <c:pt idx="552">
                  <c:v>-48771148825.21125</c:v>
                </c:pt>
                <c:pt idx="553">
                  <c:v>-49672756599.48597</c:v>
                </c:pt>
                <c:pt idx="554">
                  <c:v>-50572309098.610962</c:v>
                </c:pt>
                <c:pt idx="555">
                  <c:v>-51469769321.068497</c:v>
                </c:pt>
                <c:pt idx="556">
                  <c:v>-52365100363.641785</c:v>
                </c:pt>
                <c:pt idx="557">
                  <c:v>-53258265423.111031</c:v>
                </c:pt>
                <c:pt idx="558">
                  <c:v>-54149227797.942558</c:v>
                </c:pt>
                <c:pt idx="559">
                  <c:v>-55037950889.971428</c:v>
                </c:pt>
                <c:pt idx="560">
                  <c:v>-55924398206.076958</c:v>
                </c:pt>
                <c:pt idx="561">
                  <c:v>-56808533359.851288</c:v>
                </c:pt>
                <c:pt idx="562">
                  <c:v>-57690320073.261086</c:v>
                </c:pt>
                <c:pt idx="563">
                  <c:v>-58569722178.30143</c:v>
                </c:pt>
                <c:pt idx="564">
                  <c:v>-59446703618.643318</c:v>
                </c:pt>
                <c:pt idx="565">
                  <c:v>-60321228451.272705</c:v>
                </c:pt>
                <c:pt idx="566">
                  <c:v>-61193260848.123085</c:v>
                </c:pt>
                <c:pt idx="567">
                  <c:v>-62062765097.699577</c:v>
                </c:pt>
                <c:pt idx="568">
                  <c:v>-62929705606.695862</c:v>
                </c:pt>
                <c:pt idx="569">
                  <c:v>-63794046901.603081</c:v>
                </c:pt>
                <c:pt idx="570">
                  <c:v>-64655753630.310982</c:v>
                </c:pt>
                <c:pt idx="571">
                  <c:v>-65514790563.700867</c:v>
                </c:pt>
                <c:pt idx="572">
                  <c:v>-66371122597.230637</c:v>
                </c:pt>
                <c:pt idx="573">
                  <c:v>-67224714752.511528</c:v>
                </c:pt>
                <c:pt idx="574">
                  <c:v>-68075532178.876579</c:v>
                </c:pt>
                <c:pt idx="575">
                  <c:v>-68923540154.941025</c:v>
                </c:pt>
                <c:pt idx="576">
                  <c:v>-69768704090.153564</c:v>
                </c:pt>
                <c:pt idx="577">
                  <c:v>-70610989526.339706</c:v>
                </c:pt>
                <c:pt idx="578">
                  <c:v>-71450362139.236237</c:v>
                </c:pt>
                <c:pt idx="579">
                  <c:v>-72286787740.016907</c:v>
                </c:pt>
                <c:pt idx="580">
                  <c:v>-73120232276.809326</c:v>
                </c:pt>
                <c:pt idx="581">
                  <c:v>-73950661836.20314</c:v>
                </c:pt>
                <c:pt idx="582">
                  <c:v>-74778042644.748779</c:v>
                </c:pt>
                <c:pt idx="583">
                  <c:v>-75602341070.447617</c:v>
                </c:pt>
                <c:pt idx="584">
                  <c:v>-76423523624.232712</c:v>
                </c:pt>
                <c:pt idx="585">
                  <c:v>-77241556961.440338</c:v>
                </c:pt>
                <c:pt idx="586">
                  <c:v>-78056407883.272141</c:v>
                </c:pt>
                <c:pt idx="587">
                  <c:v>-78868043338.247986</c:v>
                </c:pt>
                <c:pt idx="588">
                  <c:v>-79676430423.649384</c:v>
                </c:pt>
                <c:pt idx="589">
                  <c:v>-80481536386.953125</c:v>
                </c:pt>
                <c:pt idx="590">
                  <c:v>-81283328627.255447</c:v>
                </c:pt>
                <c:pt idx="591">
                  <c:v>-82081774696.686447</c:v>
                </c:pt>
                <c:pt idx="592">
                  <c:v>-82876842301.814728</c:v>
                </c:pt>
                <c:pt idx="593">
                  <c:v>-83668499305.042084</c:v>
                </c:pt>
                <c:pt idx="594">
                  <c:v>-84456713725.988495</c:v>
                </c:pt>
                <c:pt idx="595">
                  <c:v>-85241453742.866638</c:v>
                </c:pt>
                <c:pt idx="596">
                  <c:v>-86022687693.846832</c:v>
                </c:pt>
                <c:pt idx="597">
                  <c:v>-86800384078.41153</c:v>
                </c:pt>
                <c:pt idx="598">
                  <c:v>-87574511558.699585</c:v>
                </c:pt>
                <c:pt idx="599">
                  <c:v>-88345038960.840576</c:v>
                </c:pt>
                <c:pt idx="600">
                  <c:v>-89111935276.278137</c:v>
                </c:pt>
                <c:pt idx="601">
                  <c:v>-89875169663.083557</c:v>
                </c:pt>
                <c:pt idx="602">
                  <c:v>-90634711447.258362</c:v>
                </c:pt>
                <c:pt idx="603">
                  <c:v>-91390530124.02684</c:v>
                </c:pt>
                <c:pt idx="604">
                  <c:v>-92142595359.117325</c:v>
                </c:pt>
                <c:pt idx="605">
                  <c:v>-92890876990.033401</c:v>
                </c:pt>
                <c:pt idx="606">
                  <c:v>-93635345027.314072</c:v>
                </c:pt>
                <c:pt idx="607">
                  <c:v>-94375969655.783264</c:v>
                </c:pt>
                <c:pt idx="608">
                  <c:v>-95112721235.7883</c:v>
                </c:pt>
                <c:pt idx="609">
                  <c:v>-95845570304.427765</c:v>
                </c:pt>
                <c:pt idx="610">
                  <c:v>-96574487576.768112</c:v>
                </c:pt>
                <c:pt idx="611">
                  <c:v>-97299443947.049454</c:v>
                </c:pt>
                <c:pt idx="612">
                  <c:v>-98020410489.880096</c:v>
                </c:pt>
                <c:pt idx="613">
                  <c:v>-98737358461.420441</c:v>
                </c:pt>
                <c:pt idx="614">
                  <c:v>-99450259300.554855</c:v>
                </c:pt>
                <c:pt idx="615">
                  <c:v>-100159084630.05315</c:v>
                </c:pt>
                <c:pt idx="616">
                  <c:v>-100863806257.72032</c:v>
                </c:pt>
                <c:pt idx="617">
                  <c:v>-101564396177.53526</c:v>
                </c:pt>
                <c:pt idx="618">
                  <c:v>-102260826570.77782</c:v>
                </c:pt>
                <c:pt idx="619">
                  <c:v>-102953069807.1447</c:v>
                </c:pt>
                <c:pt idx="620">
                  <c:v>-103641098445.85371</c:v>
                </c:pt>
                <c:pt idx="621">
                  <c:v>-104324885236.73672</c:v>
                </c:pt>
                <c:pt idx="622">
                  <c:v>-105004403121.32108</c:v>
                </c:pt>
                <c:pt idx="623">
                  <c:v>-105679625233.89908</c:v>
                </c:pt>
                <c:pt idx="624">
                  <c:v>-106350524902.58629</c:v>
                </c:pt>
                <c:pt idx="625">
                  <c:v>-107017075650.3681</c:v>
                </c:pt>
                <c:pt idx="626">
                  <c:v>-107679251196.13428</c:v>
                </c:pt>
                <c:pt idx="627">
                  <c:v>-108337025455.70235</c:v>
                </c:pt>
                <c:pt idx="628">
                  <c:v>-108990372542.82864</c:v>
                </c:pt>
                <c:pt idx="629">
                  <c:v>-109639266770.20793</c:v>
                </c:pt>
                <c:pt idx="630">
                  <c:v>-110283682650.46114</c:v>
                </c:pt>
                <c:pt idx="631">
                  <c:v>-110923594897.11118</c:v>
                </c:pt>
                <c:pt idx="632">
                  <c:v>-111558978425.54684</c:v>
                </c:pt>
                <c:pt idx="633">
                  <c:v>-112189808353.97485</c:v>
                </c:pt>
                <c:pt idx="634">
                  <c:v>-112816060004.36002</c:v>
                </c:pt>
                <c:pt idx="635">
                  <c:v>-113437708903.3533</c:v>
                </c:pt>
                <c:pt idx="636">
                  <c:v>-114054730783.20795</c:v>
                </c:pt>
                <c:pt idx="637">
                  <c:v>-114667101582.68359</c:v>
                </c:pt>
                <c:pt idx="638">
                  <c:v>-115274797447.93852</c:v>
                </c:pt>
                <c:pt idx="639">
                  <c:v>-115877794733.40915</c:v>
                </c:pt>
                <c:pt idx="640">
                  <c:v>-116476070002.6787</c:v>
                </c:pt>
                <c:pt idx="641">
                  <c:v>-117069600029.33215</c:v>
                </c:pt>
                <c:pt idx="642">
                  <c:v>-117658361797.80077</c:v>
                </c:pt>
                <c:pt idx="643">
                  <c:v>-118242332504.19298</c:v>
                </c:pt>
                <c:pt idx="644">
                  <c:v>-118821489557.11409</c:v>
                </c:pt>
                <c:pt idx="645">
                  <c:v>-119395810578.47365</c:v>
                </c:pt>
                <c:pt idx="646">
                  <c:v>-119965273404.27989</c:v>
                </c:pt>
                <c:pt idx="647">
                  <c:v>-120529856085.42331</c:v>
                </c:pt>
                <c:pt idx="648">
                  <c:v>-121089536888.44644</c:v>
                </c:pt>
                <c:pt idx="649">
                  <c:v>-121644294296.30321</c:v>
                </c:pt>
                <c:pt idx="650">
                  <c:v>-122194107009.10405</c:v>
                </c:pt>
                <c:pt idx="651">
                  <c:v>-122738953944.85083</c:v>
                </c:pt>
                <c:pt idx="652">
                  <c:v>-123278814240.15758</c:v>
                </c:pt>
                <c:pt idx="653">
                  <c:v>-123813667250.9606</c:v>
                </c:pt>
                <c:pt idx="654">
                  <c:v>-124343492553.21539</c:v>
                </c:pt>
                <c:pt idx="655">
                  <c:v>-124868269943.58113</c:v>
                </c:pt>
                <c:pt idx="656">
                  <c:v>-125387979440.09401</c:v>
                </c:pt>
                <c:pt idx="657">
                  <c:v>-125902601282.82681</c:v>
                </c:pt>
                <c:pt idx="658">
                  <c:v>-126412115934.53773</c:v>
                </c:pt>
                <c:pt idx="659">
                  <c:v>-126916504081.30533</c:v>
                </c:pt>
                <c:pt idx="660">
                  <c:v>-127415746633.15292</c:v>
                </c:pt>
                <c:pt idx="661">
                  <c:v>-127909824724.65898</c:v>
                </c:pt>
                <c:pt idx="662">
                  <c:v>-128398719715.55681</c:v>
                </c:pt>
                <c:pt idx="663">
                  <c:v>-128882413191.32071</c:v>
                </c:pt>
                <c:pt idx="664">
                  <c:v>-129360886963.74088</c:v>
                </c:pt>
                <c:pt idx="665">
                  <c:v>-129834123071.48532</c:v>
                </c:pt>
                <c:pt idx="666">
                  <c:v>-130302103780.64972</c:v>
                </c:pt>
                <c:pt idx="667">
                  <c:v>-130764811585.2957</c:v>
                </c:pt>
                <c:pt idx="668">
                  <c:v>-131222229207.97542</c:v>
                </c:pt>
                <c:pt idx="669">
                  <c:v>-131674339600.24577</c:v>
                </c:pt>
                <c:pt idx="670">
                  <c:v>-132121125943.16864</c:v>
                </c:pt>
                <c:pt idx="671">
                  <c:v>-132562571647.80048</c:v>
                </c:pt>
                <c:pt idx="672">
                  <c:v>-132998660355.66829</c:v>
                </c:pt>
                <c:pt idx="673">
                  <c:v>-133429375939.23465</c:v>
                </c:pt>
                <c:pt idx="674">
                  <c:v>-133854702502.34998</c:v>
                </c:pt>
                <c:pt idx="675">
                  <c:v>-134274624380.69243</c:v>
                </c:pt>
                <c:pt idx="676">
                  <c:v>-134689126142.19637</c:v>
                </c:pt>
                <c:pt idx="677">
                  <c:v>-135098192587.46805</c:v>
                </c:pt>
                <c:pt idx="678">
                  <c:v>-135501808750.18988</c:v>
                </c:pt>
                <c:pt idx="679">
                  <c:v>-135899959897.51175</c:v>
                </c:pt>
                <c:pt idx="680">
                  <c:v>-136292631530.43135</c:v>
                </c:pt>
                <c:pt idx="681">
                  <c:v>-136679809384.16147</c:v>
                </c:pt>
                <c:pt idx="682">
                  <c:v>-137061479428.48616</c:v>
                </c:pt>
                <c:pt idx="683">
                  <c:v>-137437627868.10423</c:v>
                </c:pt>
                <c:pt idx="684">
                  <c:v>-137808241142.96103</c:v>
                </c:pt>
                <c:pt idx="685">
                  <c:v>-138173305928.56863</c:v>
                </c:pt>
                <c:pt idx="686">
                  <c:v>-138532809136.31354</c:v>
                </c:pt>
                <c:pt idx="687">
                  <c:v>-138886737913.75296</c:v>
                </c:pt>
                <c:pt idx="688">
                  <c:v>-139235079644.8988</c:v>
                </c:pt>
                <c:pt idx="689">
                  <c:v>-139577821950.49063</c:v>
                </c:pt>
                <c:pt idx="690">
                  <c:v>-139914952688.25562</c:v>
                </c:pt>
                <c:pt idx="691">
                  <c:v>-140246459953.1579</c:v>
                </c:pt>
                <c:pt idx="692">
                  <c:v>-140572332077.63544</c:v>
                </c:pt>
                <c:pt idx="693">
                  <c:v>-140892557631.82565</c:v>
                </c:pt>
                <c:pt idx="694">
                  <c:v>-141207125423.77905</c:v>
                </c:pt>
                <c:pt idx="695">
                  <c:v>-141516024499.66132</c:v>
                </c:pt>
                <c:pt idx="696">
                  <c:v>-141819244143.944</c:v>
                </c:pt>
                <c:pt idx="697">
                  <c:v>-142116773879.58322</c:v>
                </c:pt>
                <c:pt idx="698">
                  <c:v>-142408603468.18713</c:v>
                </c:pt>
                <c:pt idx="699">
                  <c:v>-142694722910.17206</c:v>
                </c:pt>
                <c:pt idx="700">
                  <c:v>-142975122444.90659</c:v>
                </c:pt>
                <c:pt idx="701">
                  <c:v>-143249792550.84485</c:v>
                </c:pt>
                <c:pt idx="702">
                  <c:v>-143518723945.64801</c:v>
                </c:pt>
                <c:pt idx="703">
                  <c:v>-143781907586.29459</c:v>
                </c:pt>
                <c:pt idx="704">
                  <c:v>-144039334669.17953</c:v>
                </c:pt>
                <c:pt idx="705">
                  <c:v>-144290996630.20175</c:v>
                </c:pt>
                <c:pt idx="706">
                  <c:v>-144536885144.84055</c:v>
                </c:pt>
                <c:pt idx="707">
                  <c:v>-144776992128.22122</c:v>
                </c:pt>
                <c:pt idx="708">
                  <c:v>-145011309735.16891</c:v>
                </c:pt>
                <c:pt idx="709">
                  <c:v>-145239830360.25168</c:v>
                </c:pt>
                <c:pt idx="710">
                  <c:v>-145462546637.81268</c:v>
                </c:pt>
                <c:pt idx="711">
                  <c:v>-145679451441.99091</c:v>
                </c:pt>
                <c:pt idx="712">
                  <c:v>-145890537886.73132</c:v>
                </c:pt>
                <c:pt idx="713">
                  <c:v>-146095799325.78375</c:v>
                </c:pt>
                <c:pt idx="714">
                  <c:v>-146295229352.6915</c:v>
                </c:pt>
                <c:pt idx="715">
                  <c:v>-146488821800.76813</c:v>
                </c:pt>
                <c:pt idx="716">
                  <c:v>-146676570743.06451</c:v>
                </c:pt>
                <c:pt idx="717">
                  <c:v>-146858470492.32437</c:v>
                </c:pt>
                <c:pt idx="718">
                  <c:v>-147034515600.92972</c:v>
                </c:pt>
                <c:pt idx="719">
                  <c:v>-147204700860.83499</c:v>
                </c:pt>
                <c:pt idx="720">
                  <c:v>-147369021303.49146</c:v>
                </c:pt>
                <c:pt idx="721">
                  <c:v>-147527472199.75989</c:v>
                </c:pt>
                <c:pt idx="722">
                  <c:v>-147680049059.81427</c:v>
                </c:pt>
                <c:pt idx="723">
                  <c:v>-147826747633.03354</c:v>
                </c:pt>
                <c:pt idx="724">
                  <c:v>-147967563907.88416</c:v>
                </c:pt>
                <c:pt idx="725">
                  <c:v>-148102494111.79144</c:v>
                </c:pt>
                <c:pt idx="726">
                  <c:v>-148231534711.00119</c:v>
                </c:pt>
                <c:pt idx="727">
                  <c:v>-148354682410.43082</c:v>
                </c:pt>
                <c:pt idx="728">
                  <c:v>-148471934153.51041</c:v>
                </c:pt>
                <c:pt idx="729">
                  <c:v>-148583287122.01355</c:v>
                </c:pt>
                <c:pt idx="730">
                  <c:v>-148688738735.8782</c:v>
                </c:pt>
                <c:pt idx="731">
                  <c:v>-148788286653.01743</c:v>
                </c:pt>
                <c:pt idx="732">
                  <c:v>-148881928769.12027</c:v>
                </c:pt>
                <c:pt idx="733">
                  <c:v>-148969663217.44269</c:v>
                </c:pt>
                <c:pt idx="734">
                  <c:v>-149051488368.58862</c:v>
                </c:pt>
                <c:pt idx="735">
                  <c:v>-149127402830.28116</c:v>
                </c:pt>
                <c:pt idx="736">
                  <c:v>-149197405447.12424</c:v>
                </c:pt>
                <c:pt idx="737">
                  <c:v>-149261495300.35434</c:v>
                </c:pt>
                <c:pt idx="738">
                  <c:v>-149319671707.58295</c:v>
                </c:pt>
                <c:pt idx="739">
                  <c:v>-149371934222.52887</c:v>
                </c:pt>
                <c:pt idx="740">
                  <c:v>-149418282634.74161</c:v>
                </c:pt>
                <c:pt idx="741">
                  <c:v>-149458716969.31506</c:v>
                </c:pt>
                <c:pt idx="742">
                  <c:v>-149493237486.59161</c:v>
                </c:pt>
                <c:pt idx="743">
                  <c:v>-149521844681.85736</c:v>
                </c:pt>
                <c:pt idx="744">
                  <c:v>-149544539285.02756</c:v>
                </c:pt>
                <c:pt idx="745">
                  <c:v>-149561322260.32324</c:v>
                </c:pt>
                <c:pt idx="746">
                  <c:v>-149572194805.93839</c:v>
                </c:pt>
                <c:pt idx="747">
                  <c:v>-149577158353.69833</c:v>
                </c:pt>
                <c:pt idx="748">
                  <c:v>-149576214568.70868</c:v>
                </c:pt>
                <c:pt idx="749">
                  <c:v>-149569365348.99567</c:v>
                </c:pt>
                <c:pt idx="750">
                  <c:v>-149556612825.13739</c:v>
                </c:pt>
                <c:pt idx="751">
                  <c:v>-149537959359.88617</c:v>
                </c:pt>
                <c:pt idx="752">
                  <c:v>-149513407547.78223</c:v>
                </c:pt>
                <c:pt idx="753">
                  <c:v>-149482960214.75851</c:v>
                </c:pt>
                <c:pt idx="754">
                  <c:v>-149446620417.737</c:v>
                </c:pt>
                <c:pt idx="755">
                  <c:v>-149404391444.21622</c:v>
                </c:pt>
                <c:pt idx="756">
                  <c:v>-149356276811.85019</c:v>
                </c:pt>
                <c:pt idx="757">
                  <c:v>-149302280268.01923</c:v>
                </c:pt>
                <c:pt idx="758">
                  <c:v>-149242405789.39194</c:v>
                </c:pt>
                <c:pt idx="759">
                  <c:v>-149176657581.47897</c:v>
                </c:pt>
                <c:pt idx="760">
                  <c:v>-149105040078.17841</c:v>
                </c:pt>
                <c:pt idx="761">
                  <c:v>-149027557941.3132</c:v>
                </c:pt>
                <c:pt idx="762">
                  <c:v>-148944216060.16013</c:v>
                </c:pt>
                <c:pt idx="763">
                  <c:v>-148855019550.97061</c:v>
                </c:pt>
                <c:pt idx="764">
                  <c:v>-148759973756.48376</c:v>
                </c:pt>
                <c:pt idx="765">
                  <c:v>-148659084245.43124</c:v>
                </c:pt>
                <c:pt idx="766">
                  <c:v>-148552356812.03415</c:v>
                </c:pt>
                <c:pt idx="767">
                  <c:v>-148439797475.49216</c:v>
                </c:pt>
                <c:pt idx="768">
                  <c:v>-148321412479.46509</c:v>
                </c:pt>
                <c:pt idx="769">
                  <c:v>-148197208291.54599</c:v>
                </c:pt>
                <c:pt idx="770">
                  <c:v>-148067191602.72751</c:v>
                </c:pt>
                <c:pt idx="771">
                  <c:v>-147931369326.85986</c:v>
                </c:pt>
                <c:pt idx="772">
                  <c:v>-147789748600.10178</c:v>
                </c:pt>
                <c:pt idx="773">
                  <c:v>-147642336780.36389</c:v>
                </c:pt>
                <c:pt idx="774">
                  <c:v>-147489141446.74408</c:v>
                </c:pt>
                <c:pt idx="775">
                  <c:v>-147330170398.95657</c:v>
                </c:pt>
                <c:pt idx="776">
                  <c:v>-147165431656.75275</c:v>
                </c:pt>
                <c:pt idx="777">
                  <c:v>-146994933459.33524</c:v>
                </c:pt>
                <c:pt idx="778">
                  <c:v>-146818684264.76492</c:v>
                </c:pt>
                <c:pt idx="779">
                  <c:v>-146636692749.3602</c:v>
                </c:pt>
                <c:pt idx="780">
                  <c:v>-146448967807.09009</c:v>
                </c:pt>
                <c:pt idx="781">
                  <c:v>-146255518548.95984</c:v>
                </c:pt>
                <c:pt idx="782">
                  <c:v>-146056354302.38947</c:v>
                </c:pt>
                <c:pt idx="783">
                  <c:v>-145851484610.58597</c:v>
                </c:pt>
                <c:pt idx="784">
                  <c:v>-145640919231.90845</c:v>
                </c:pt>
                <c:pt idx="785">
                  <c:v>-145424668139.22632</c:v>
                </c:pt>
                <c:pt idx="786">
                  <c:v>-145202741519.27151</c:v>
                </c:pt>
                <c:pt idx="787">
                  <c:v>-144975149771.98303</c:v>
                </c:pt>
                <c:pt idx="788">
                  <c:v>-144741903509.84634</c:v>
                </c:pt>
                <c:pt idx="789">
                  <c:v>-144503013557.22491</c:v>
                </c:pt>
                <c:pt idx="790">
                  <c:v>-144258490949.68631</c:v>
                </c:pt>
                <c:pt idx="791">
                  <c:v>-144008346933.32172</c:v>
                </c:pt>
                <c:pt idx="792">
                  <c:v>-143752592964.05853</c:v>
                </c:pt>
                <c:pt idx="793">
                  <c:v>-143491240706.96814</c:v>
                </c:pt>
                <c:pt idx="794">
                  <c:v>-143224302035.56586</c:v>
                </c:pt>
                <c:pt idx="795">
                  <c:v>-142951789031.10617</c:v>
                </c:pt>
                <c:pt idx="796">
                  <c:v>-142673713981.87106</c:v>
                </c:pt>
                <c:pt idx="797">
                  <c:v>-142390089382.45282</c:v>
                </c:pt>
                <c:pt idx="798">
                  <c:v>-142100927933.03079</c:v>
                </c:pt>
                <c:pt idx="799">
                  <c:v>-141806242538.64206</c:v>
                </c:pt>
                <c:pt idx="800">
                  <c:v>-141506046308.44696</c:v>
                </c:pt>
                <c:pt idx="801">
                  <c:v>-141200352554.98816</c:v>
                </c:pt>
                <c:pt idx="802">
                  <c:v>-140889174793.44449</c:v>
                </c:pt>
                <c:pt idx="803">
                  <c:v>-140572526740.87897</c:v>
                </c:pt>
                <c:pt idx="804">
                  <c:v>-140250422315.48172</c:v>
                </c:pt>
                <c:pt idx="805">
                  <c:v>-139922875635.80643</c:v>
                </c:pt>
                <c:pt idx="806">
                  <c:v>-139589901020.00272</c:v>
                </c:pt>
                <c:pt idx="807">
                  <c:v>-139251512985.04199</c:v>
                </c:pt>
                <c:pt idx="808">
                  <c:v>-138907726245.93848</c:v>
                </c:pt>
                <c:pt idx="809">
                  <c:v>-138558555714.96524</c:v>
                </c:pt>
                <c:pt idx="810">
                  <c:v>-138204016500.86438</c:v>
                </c:pt>
                <c:pt idx="811">
                  <c:v>-137844123908.05286</c:v>
                </c:pt>
                <c:pt idx="812">
                  <c:v>-137478893435.82251</c:v>
                </c:pt>
                <c:pt idx="813">
                  <c:v>-137108340777.53568</c:v>
                </c:pt>
                <c:pt idx="814">
                  <c:v>-136732481819.81537</c:v>
                </c:pt>
                <c:pt idx="815">
                  <c:v>-136351332641.73117</c:v>
                </c:pt>
                <c:pt idx="816">
                  <c:v>-135964909513.97935</c:v>
                </c:pt>
                <c:pt idx="817">
                  <c:v>-135573228898.05942</c:v>
                </c:pt>
                <c:pt idx="818">
                  <c:v>-135176307445.44475</c:v>
                </c:pt>
                <c:pt idx="819">
                  <c:v>-134774161996.74948</c:v>
                </c:pt>
                <c:pt idx="820">
                  <c:v>-134366809580.89014</c:v>
                </c:pt>
                <c:pt idx="821">
                  <c:v>-133954267414.2431</c:v>
                </c:pt>
                <c:pt idx="822">
                  <c:v>-133536552899.79774</c:v>
                </c:pt>
                <c:pt idx="823">
                  <c:v>-133113683626.30426</c:v>
                </c:pt>
                <c:pt idx="824">
                  <c:v>-132685677367.41835</c:v>
                </c:pt>
                <c:pt idx="825">
                  <c:v>-132252552080.84044</c:v>
                </c:pt>
                <c:pt idx="826">
                  <c:v>-131814325907.45145</c:v>
                </c:pt>
                <c:pt idx="827">
                  <c:v>-131371017170.44371</c:v>
                </c:pt>
                <c:pt idx="828">
                  <c:v>-130922644374.4483</c:v>
                </c:pt>
                <c:pt idx="829">
                  <c:v>-130469226204.65787</c:v>
                </c:pt>
                <c:pt idx="830">
                  <c:v>-130010781525.94537</c:v>
                </c:pt>
                <c:pt idx="831">
                  <c:v>-129547329381.97928</c:v>
                </c:pt>
                <c:pt idx="832">
                  <c:v>-129078888994.33414</c:v>
                </c:pt>
                <c:pt idx="833">
                  <c:v>-128605479761.59799</c:v>
                </c:pt>
                <c:pt idx="834">
                  <c:v>-128127121258.47505</c:v>
                </c:pt>
                <c:pt idx="835">
                  <c:v>-127643833234.88574</c:v>
                </c:pt>
                <c:pt idx="836">
                  <c:v>-127155635615.06155</c:v>
                </c:pt>
                <c:pt idx="837">
                  <c:v>-126662548496.63788</c:v>
                </c:pt>
                <c:pt idx="838">
                  <c:v>-126164592149.74152</c:v>
                </c:pt>
                <c:pt idx="839">
                  <c:v>-125661787016.07582</c:v>
                </c:pt>
                <c:pt idx="840">
                  <c:v>-125154153708.00198</c:v>
                </c:pt>
                <c:pt idx="841">
                  <c:v>-124641713007.61626</c:v>
                </c:pt>
                <c:pt idx="842">
                  <c:v>-124124485865.82472</c:v>
                </c:pt>
                <c:pt idx="843">
                  <c:v>-123602493401.41373</c:v>
                </c:pt>
                <c:pt idx="844">
                  <c:v>-123075756900.1178</c:v>
                </c:pt>
                <c:pt idx="845">
                  <c:v>-122544297813.68335</c:v>
                </c:pt>
                <c:pt idx="846">
                  <c:v>-122008137758.93022</c:v>
                </c:pt>
                <c:pt idx="847">
                  <c:v>-121467298516.8089</c:v>
                </c:pt>
                <c:pt idx="848">
                  <c:v>-120921802031.45576</c:v>
                </c:pt>
                <c:pt idx="849">
                  <c:v>-120371670409.24388</c:v>
                </c:pt>
                <c:pt idx="850">
                  <c:v>-119816925917.83197</c:v>
                </c:pt>
                <c:pt idx="851">
                  <c:v>-119257590985.20985</c:v>
                </c:pt>
                <c:pt idx="852">
                  <c:v>-118693688198.74046</c:v>
                </c:pt>
                <c:pt idx="853">
                  <c:v>-118125240304.20007</c:v>
                </c:pt>
                <c:pt idx="854">
                  <c:v>-117552270204.81422</c:v>
                </c:pt>
                <c:pt idx="855">
                  <c:v>-116974800960.29236</c:v>
                </c:pt>
                <c:pt idx="856">
                  <c:v>-116392855785.85812</c:v>
                </c:pt>
                <c:pt idx="857">
                  <c:v>-115806458051.2784</c:v>
                </c:pt>
                <c:pt idx="858">
                  <c:v>-115215631279.88824</c:v>
                </c:pt>
                <c:pt idx="859">
                  <c:v>-114620399147.61418</c:v>
                </c:pt>
                <c:pt idx="860">
                  <c:v>-114020785481.99484</c:v>
                </c:pt>
                <c:pt idx="861">
                  <c:v>-113416814261.19792</c:v>
                </c:pt>
                <c:pt idx="862">
                  <c:v>-112808509613.03645</c:v>
                </c:pt>
                <c:pt idx="863">
                  <c:v>-112195895813.98047</c:v>
                </c:pt>
                <c:pt idx="864">
                  <c:v>-111578997288.16832</c:v>
                </c:pt>
                <c:pt idx="865">
                  <c:v>-110957838606.41359</c:v>
                </c:pt>
                <c:pt idx="866">
                  <c:v>-110332444485.21161</c:v>
                </c:pt>
                <c:pt idx="867">
                  <c:v>-109702839785.74182</c:v>
                </c:pt>
                <c:pt idx="868">
                  <c:v>-109069049512.86899</c:v>
                </c:pt>
                <c:pt idx="869">
                  <c:v>-108431098814.14214</c:v>
                </c:pt>
                <c:pt idx="870">
                  <c:v>-107789012978.79051</c:v>
                </c:pt>
                <c:pt idx="871">
                  <c:v>-107142817436.71829</c:v>
                </c:pt>
                <c:pt idx="872">
                  <c:v>-106492537757.49626</c:v>
                </c:pt>
                <c:pt idx="873">
                  <c:v>-105838199649.35234</c:v>
                </c:pt>
                <c:pt idx="874">
                  <c:v>-105179828958.15912</c:v>
                </c:pt>
                <c:pt idx="875">
                  <c:v>-104517451666.42027</c:v>
                </c:pt>
                <c:pt idx="876">
                  <c:v>-103851093892.25407</c:v>
                </c:pt>
                <c:pt idx="877">
                  <c:v>-103180781888.3756</c:v>
                </c:pt>
                <c:pt idx="878">
                  <c:v>-102506542041.0771</c:v>
                </c:pt>
                <c:pt idx="879">
                  <c:v>-101828400869.20563</c:v>
                </c:pt>
                <c:pt idx="880">
                  <c:v>-101146385023.14009</c:v>
                </c:pt>
                <c:pt idx="881">
                  <c:v>-100460521283.76514</c:v>
                </c:pt>
                <c:pt idx="882">
                  <c:v>-99770836561.44458</c:v>
                </c:pt>
                <c:pt idx="883">
                  <c:v>-99077357894.991745</c:v>
                </c:pt>
                <c:pt idx="884">
                  <c:v>-98380112450.639587</c:v>
                </c:pt>
                <c:pt idx="885">
                  <c:v>-97679127521.007568</c:v>
                </c:pt>
                <c:pt idx="886">
                  <c:v>-96974430524.068024</c:v>
                </c:pt>
                <c:pt idx="887">
                  <c:v>-96266049002.110764</c:v>
                </c:pt>
                <c:pt idx="888">
                  <c:v>-95554010620.705231</c:v>
                </c:pt>
                <c:pt idx="889">
                  <c:v>-94838343167.662415</c:v>
                </c:pt>
                <c:pt idx="890">
                  <c:v>-94119074551.994019</c:v>
                </c:pt>
                <c:pt idx="891">
                  <c:v>-93396232802.871185</c:v>
                </c:pt>
                <c:pt idx="892">
                  <c:v>-92669846068.580658</c:v>
                </c:pt>
                <c:pt idx="893">
                  <c:v>-91939942615.48082</c:v>
                </c:pt>
                <c:pt idx="894">
                  <c:v>-91206550826.954941</c:v>
                </c:pt>
                <c:pt idx="895">
                  <c:v>-90469699202.363922</c:v>
                </c:pt>
                <c:pt idx="896">
                  <c:v>-89729416355.998047</c:v>
                </c:pt>
                <c:pt idx="897">
                  <c:v>-88985731016.025879</c:v>
                </c:pt>
                <c:pt idx="898">
                  <c:v>-88238672023.443695</c:v>
                </c:pt>
                <c:pt idx="899">
                  <c:v>-87488268331.022171</c:v>
                </c:pt>
                <c:pt idx="900">
                  <c:v>-86734549002.253128</c:v>
                </c:pt>
                <c:pt idx="901">
                  <c:v>-85977543210.293488</c:v>
                </c:pt>
                <c:pt idx="902">
                  <c:v>-85217280236.910049</c:v>
                </c:pt>
                <c:pt idx="903">
                  <c:v>-84453789471.421036</c:v>
                </c:pt>
                <c:pt idx="904">
                  <c:v>-83687100409.637833</c:v>
                </c:pt>
                <c:pt idx="905">
                  <c:v>-82917242652.805695</c:v>
                </c:pt>
                <c:pt idx="906">
                  <c:v>-82144245906.542084</c:v>
                </c:pt>
                <c:pt idx="907">
                  <c:v>-81368139979.775558</c:v>
                </c:pt>
                <c:pt idx="908">
                  <c:v>-80588954783.682251</c:v>
                </c:pt>
                <c:pt idx="909">
                  <c:v>-79806720330.622559</c:v>
                </c:pt>
                <c:pt idx="910">
                  <c:v>-79021466733.075394</c:v>
                </c:pt>
                <c:pt idx="911">
                  <c:v>-78233224202.573288</c:v>
                </c:pt>
                <c:pt idx="912">
                  <c:v>-77442023048.634491</c:v>
                </c:pt>
                <c:pt idx="913">
                  <c:v>-76647893677.696198</c:v>
                </c:pt>
                <c:pt idx="914">
                  <c:v>-75850866592.04509</c:v>
                </c:pt>
                <c:pt idx="915">
                  <c:v>-75050972388.748032</c:v>
                </c:pt>
                <c:pt idx="916">
                  <c:v>-74248241758.582077</c:v>
                </c:pt>
                <c:pt idx="917">
                  <c:v>-73442705484.962387</c:v>
                </c:pt>
                <c:pt idx="918">
                  <c:v>-72634394442.870926</c:v>
                </c:pt>
                <c:pt idx="919">
                  <c:v>-71823339597.782913</c:v>
                </c:pt>
                <c:pt idx="920">
                  <c:v>-71009572004.593903</c:v>
                </c:pt>
                <c:pt idx="921">
                  <c:v>-70193122806.544373</c:v>
                </c:pt>
                <c:pt idx="922">
                  <c:v>-69374023234.14566</c:v>
                </c:pt>
                <c:pt idx="923">
                  <c:v>-68552304604.103027</c:v>
                </c:pt>
                <c:pt idx="924">
                  <c:v>-67727998318.239601</c:v>
                </c:pt>
                <c:pt idx="925">
                  <c:v>-66901135862.419319</c:v>
                </c:pt>
                <c:pt idx="926">
                  <c:v>-66071748805.468094</c:v>
                </c:pt>
                <c:pt idx="927">
                  <c:v>-65239868798.096199</c:v>
                </c:pt>
                <c:pt idx="928">
                  <c:v>-64405527571.818047</c:v>
                </c:pt>
                <c:pt idx="929">
                  <c:v>-63568756937.873199</c:v>
                </c:pt>
                <c:pt idx="930">
                  <c:v>-62729588786.144958</c:v>
                </c:pt>
                <c:pt idx="931">
                  <c:v>-61888055084.080238</c:v>
                </c:pt>
                <c:pt idx="932">
                  <c:v>-61044187875.60701</c:v>
                </c:pt>
                <c:pt idx="933">
                  <c:v>-60198019280.05249</c:v>
                </c:pt>
                <c:pt idx="934">
                  <c:v>-59349581491.060776</c:v>
                </c:pt>
                <c:pt idx="935">
                  <c:v>-58498906775.508591</c:v>
                </c:pt>
                <c:pt idx="936">
                  <c:v>-57646027472.422531</c:v>
                </c:pt>
                <c:pt idx="937">
                  <c:v>-56790975991.893791</c:v>
                </c:pt>
                <c:pt idx="938">
                  <c:v>-55933784813.994431</c:v>
                </c:pt>
                <c:pt idx="939">
                  <c:v>-55074486487.690628</c:v>
                </c:pt>
                <c:pt idx="940">
                  <c:v>-54213113629.75869</c:v>
                </c:pt>
                <c:pt idx="941">
                  <c:v>-53349698923.697395</c:v>
                </c:pt>
                <c:pt idx="942">
                  <c:v>-52484275118.642548</c:v>
                </c:pt>
                <c:pt idx="943">
                  <c:v>-51616875028.278854</c:v>
                </c:pt>
                <c:pt idx="944">
                  <c:v>-50747531529.753532</c:v>
                </c:pt>
                <c:pt idx="945">
                  <c:v>-49876277562.587662</c:v>
                </c:pt>
                <c:pt idx="946">
                  <c:v>-49003146127.588196</c:v>
                </c:pt>
                <c:pt idx="947">
                  <c:v>-48128170285.759888</c:v>
                </c:pt>
                <c:pt idx="948">
                  <c:v>-47251383157.215363</c:v>
                </c:pt>
                <c:pt idx="949">
                  <c:v>-46372817920.086838</c:v>
                </c:pt>
                <c:pt idx="950">
                  <c:v>-45492507809.435486</c:v>
                </c:pt>
                <c:pt idx="951">
                  <c:v>-44610486116.162453</c:v>
                </c:pt>
                <c:pt idx="952">
                  <c:v>-43726786185.917519</c:v>
                </c:pt>
                <c:pt idx="953">
                  <c:v>-42841441418.009521</c:v>
                </c:pt>
                <c:pt idx="954">
                  <c:v>-41954485264.314598</c:v>
                </c:pt>
                <c:pt idx="955">
                  <c:v>-41065951228.185287</c:v>
                </c:pt>
                <c:pt idx="956">
                  <c:v>-40175872863.359497</c:v>
                </c:pt>
                <c:pt idx="957">
                  <c:v>-39284283772.867828</c:v>
                </c:pt>
                <c:pt idx="958">
                  <c:v>-38391217607.942581</c:v>
                </c:pt>
                <c:pt idx="959">
                  <c:v>-37496708066.924484</c:v>
                </c:pt>
                <c:pt idx="960">
                  <c:v>-36600788894.171165</c:v>
                </c:pt>
                <c:pt idx="961">
                  <c:v>-35703493878.963455</c:v>
                </c:pt>
                <c:pt idx="962">
                  <c:v>-34804856854.413315</c:v>
                </c:pt>
                <c:pt idx="963">
                  <c:v>-33904911696.369831</c:v>
                </c:pt>
                <c:pt idx="964">
                  <c:v>-33003692322.32618</c:v>
                </c:pt>
                <c:pt idx="965">
                  <c:v>-32101232690.326355</c:v>
                </c:pt>
                <c:pt idx="966">
                  <c:v>-31197566797.870476</c:v>
                </c:pt>
                <c:pt idx="967">
                  <c:v>-30292728680.821819</c:v>
                </c:pt>
                <c:pt idx="968">
                  <c:v>-29386752412.311607</c:v>
                </c:pt>
                <c:pt idx="969">
                  <c:v>-28479672101.645634</c:v>
                </c:pt>
                <c:pt idx="970">
                  <c:v>-27571521893.208752</c:v>
                </c:pt>
                <c:pt idx="971">
                  <c:v>-26662335965.371185</c:v>
                </c:pt>
                <c:pt idx="972">
                  <c:v>-25752148529.392666</c:v>
                </c:pt>
                <c:pt idx="973">
                  <c:v>-24840993828.328419</c:v>
                </c:pt>
                <c:pt idx="974">
                  <c:v>-23928906135.933174</c:v>
                </c:pt>
                <c:pt idx="975">
                  <c:v>-23015919755.566265</c:v>
                </c:pt>
                <c:pt idx="976">
                  <c:v>-22102069019.096561</c:v>
                </c:pt>
                <c:pt idx="977">
                  <c:v>-21187388285.806095</c:v>
                </c:pt>
                <c:pt idx="978">
                  <c:v>-20271911941.295387</c:v>
                </c:pt>
                <c:pt idx="979">
                  <c:v>-19355674396.386696</c:v>
                </c:pt>
                <c:pt idx="980">
                  <c:v>-18438710086.02911</c:v>
                </c:pt>
                <c:pt idx="981">
                  <c:v>-17521053468.201626</c:v>
                </c:pt>
                <c:pt idx="982">
                  <c:v>-16602739022.818018</c:v>
                </c:pt>
                <c:pt idx="983">
                  <c:v>-15683801250.629847</c:v>
                </c:pt>
                <c:pt idx="984">
                  <c:v>-14764274672.130533</c:v>
                </c:pt>
                <c:pt idx="985">
                  <c:v>-13844193826.459459</c:v>
                </c:pt>
                <c:pt idx="986">
                  <c:v>-12923593270.304621</c:v>
                </c:pt>
                <c:pt idx="987">
                  <c:v>-12002507576.807199</c:v>
                </c:pt>
                <c:pt idx="988">
                  <c:v>-11080971334.463972</c:v>
                </c:pt>
                <c:pt idx="989">
                  <c:v>-10159019146.031733</c:v>
                </c:pt>
                <c:pt idx="990">
                  <c:v>-9236685627.4295998</c:v>
                </c:pt>
                <c:pt idx="991">
                  <c:v>-8314005406.6433277</c:v>
                </c:pt>
                <c:pt idx="992">
                  <c:v>-7391013122.6276197</c:v>
                </c:pt>
                <c:pt idx="993">
                  <c:v>-6467743424.2097292</c:v>
                </c:pt>
                <c:pt idx="994">
                  <c:v>-5544230968.9929724</c:v>
                </c:pt>
                <c:pt idx="995">
                  <c:v>-4620510422.2589531</c:v>
                </c:pt>
                <c:pt idx="996">
                  <c:v>-3696616455.8716769</c:v>
                </c:pt>
                <c:pt idx="997">
                  <c:v>-2772583747.1795731</c:v>
                </c:pt>
                <c:pt idx="998">
                  <c:v>-1848446977.9195709</c:v>
                </c:pt>
                <c:pt idx="999">
                  <c:v>-924240833.11907935</c:v>
                </c:pt>
                <c:pt idx="1000">
                  <c:v>-3.6043479744801042E-5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D8-4B37-987E-3D786122882E}"/>
            </c:ext>
          </c:extLst>
        </c:ser>
        <c:ser>
          <c:idx val="1"/>
          <c:order val="1"/>
          <c:tx>
            <c:v>Mercurio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Data!$J$13:$J$1013</c:f>
              <c:numCache>
                <c:formatCode>0.00E+00</c:formatCode>
                <c:ptCount val="1001"/>
                <c:pt idx="0">
                  <c:v>46001048645.536621</c:v>
                </c:pt>
                <c:pt idx="1">
                  <c:v>45988065002.84021</c:v>
                </c:pt>
                <c:pt idx="2">
                  <c:v>45949113869.720078</c:v>
                </c:pt>
                <c:pt idx="3">
                  <c:v>45884194640.099609</c:v>
                </c:pt>
                <c:pt idx="4">
                  <c:v>45793306333.919876</c:v>
                </c:pt>
                <c:pt idx="5">
                  <c:v>45676447642.295143</c:v>
                </c:pt>
                <c:pt idx="6">
                  <c:v>45533616990.834961</c:v>
                </c:pt>
                <c:pt idx="7">
                  <c:v>45364812621.236832</c:v>
                </c:pt>
                <c:pt idx="8">
                  <c:v>45170032691.282539</c:v>
                </c:pt>
                <c:pt idx="9">
                  <c:v>44949275393.399391</c:v>
                </c:pt>
                <c:pt idx="10">
                  <c:v>44702539091.976196</c:v>
                </c:pt>
                <c:pt idx="11">
                  <c:v>44429822479.64994</c:v>
                </c:pt>
                <c:pt idx="12">
                  <c:v>44131124752.806305</c:v>
                </c:pt>
                <c:pt idx="13">
                  <c:v>43806445806.561615</c:v>
                </c:pt>
                <c:pt idx="14">
                  <c:v>43455786449.517998</c:v>
                </c:pt>
                <c:pt idx="15">
                  <c:v>43079148638.606163</c:v>
                </c:pt>
                <c:pt idx="16">
                  <c:v>42676535734.350914</c:v>
                </c:pt>
                <c:pt idx="17">
                  <c:v>42247952776.914154</c:v>
                </c:pt>
                <c:pt idx="18">
                  <c:v>41793406783.28685</c:v>
                </c:pt>
                <c:pt idx="19">
                  <c:v>41312907066.01709</c:v>
                </c:pt>
                <c:pt idx="20">
                  <c:v>40806465573.873611</c:v>
                </c:pt>
                <c:pt idx="21">
                  <c:v>40274097254.854256</c:v>
                </c:pt>
                <c:pt idx="22">
                  <c:v>39715820441.955956</c:v>
                </c:pt>
                <c:pt idx="23">
                  <c:v>39131657262.126404</c:v>
                </c:pt>
                <c:pt idx="24">
                  <c:v>38521634068.81794</c:v>
                </c:pt>
                <c:pt idx="25">
                  <c:v>37885781898.560379</c:v>
                </c:pt>
                <c:pt idx="26">
                  <c:v>37224136951.961517</c:v>
                </c:pt>
                <c:pt idx="27">
                  <c:v>36536741099.531639</c:v>
                </c:pt>
                <c:pt idx="28">
                  <c:v>35823642412.71051</c:v>
                </c:pt>
                <c:pt idx="29">
                  <c:v>35084895720.452446</c:v>
                </c:pt>
                <c:pt idx="30">
                  <c:v>34320563191.69585</c:v>
                </c:pt>
                <c:pt idx="31">
                  <c:v>33530714944.008572</c:v>
                </c:pt>
                <c:pt idx="32">
                  <c:v>32715429678.658092</c:v>
                </c:pt>
                <c:pt idx="33">
                  <c:v>31874795342.306103</c:v>
                </c:pt>
                <c:pt idx="34">
                  <c:v>31008909815.469524</c:v>
                </c:pt>
                <c:pt idx="35">
                  <c:v>30117881627.824661</c:v>
                </c:pt>
                <c:pt idx="36">
                  <c:v>29201830700.356129</c:v>
                </c:pt>
                <c:pt idx="37">
                  <c:v>28260889114.267979</c:v>
                </c:pt>
                <c:pt idx="38">
                  <c:v>27295201906.480957</c:v>
                </c:pt>
                <c:pt idx="39">
                  <c:v>26304927891.433857</c:v>
                </c:pt>
                <c:pt idx="40">
                  <c:v>25290240508.792084</c:v>
                </c:pt>
                <c:pt idx="41">
                  <c:v>24251328696.538208</c:v>
                </c:pt>
                <c:pt idx="42">
                  <c:v>23188397788.779705</c:v>
                </c:pt>
                <c:pt idx="43">
                  <c:v>22101670437.456306</c:v>
                </c:pt>
                <c:pt idx="44">
                  <c:v>20991387556.963806</c:v>
                </c:pt>
                <c:pt idx="45">
                  <c:v>19857809290.53157</c:v>
                </c:pt>
                <c:pt idx="46">
                  <c:v>18701215996.997753</c:v>
                </c:pt>
                <c:pt idx="47">
                  <c:v>17521909256.418621</c:v>
                </c:pt>
                <c:pt idx="48">
                  <c:v>16320212892.72604</c:v>
                </c:pt>
                <c:pt idx="49">
                  <c:v>15096474011.410904</c:v>
                </c:pt>
                <c:pt idx="50">
                  <c:v>13851064049.958403</c:v>
                </c:pt>
                <c:pt idx="51">
                  <c:v>12584379838.495577</c:v>
                </c:pt>
                <c:pt idx="52">
                  <c:v>11296844667.831213</c:v>
                </c:pt>
                <c:pt idx="53">
                  <c:v>9988909361.7744236</c:v>
                </c:pt>
                <c:pt idx="54">
                  <c:v>8661053350.3109589</c:v>
                </c:pt>
                <c:pt idx="55">
                  <c:v>7313785739.8964539</c:v>
                </c:pt>
                <c:pt idx="56">
                  <c:v>5947646376.7952595</c:v>
                </c:pt>
                <c:pt idx="57">
                  <c:v>4563206899.0518579</c:v>
                </c:pt>
                <c:pt idx="58">
                  <c:v>3161071772.3321428</c:v>
                </c:pt>
                <c:pt idx="59">
                  <c:v>1741879304.5152388</c:v>
                </c:pt>
                <c:pt idx="60">
                  <c:v>306302633.55500996</c:v>
                </c:pt>
                <c:pt idx="61">
                  <c:v>-1144949317.233156</c:v>
                </c:pt>
                <c:pt idx="62">
                  <c:v>-2611130922.6685762</c:v>
                </c:pt>
                <c:pt idx="63">
                  <c:v>-4091458984.5518413</c:v>
                </c:pt>
                <c:pt idx="64">
                  <c:v>-5585111912.7824116</c:v>
                </c:pt>
                <c:pt idx="65">
                  <c:v>-7091228966.0101929</c:v>
                </c:pt>
                <c:pt idx="66">
                  <c:v>-8608909559.4103947</c:v>
                </c:pt>
                <c:pt idx="67">
                  <c:v>-10137212647.479361</c:v>
                </c:pt>
                <c:pt idx="68">
                  <c:v>-11675156190.032108</c:v>
                </c:pt>
                <c:pt idx="69">
                  <c:v>-13221716709.83563</c:v>
                </c:pt>
                <c:pt idx="70">
                  <c:v>-14775828950.53096</c:v>
                </c:pt>
                <c:pt idx="71">
                  <c:v>-16336385643.674107</c:v>
                </c:pt>
                <c:pt idx="72">
                  <c:v>-17902237393.857147</c:v>
                </c:pt>
                <c:pt idx="73">
                  <c:v>-19472192690.946613</c:v>
                </c:pt>
                <c:pt idx="74">
                  <c:v>-21045018058.495445</c:v>
                </c:pt>
                <c:pt idx="75">
                  <c:v>-22619438347.334896</c:v>
                </c:pt>
                <c:pt idx="76">
                  <c:v>-24194137183.232166</c:v>
                </c:pt>
                <c:pt idx="77">
                  <c:v>-25767757577.29908</c:v>
                </c:pt>
                <c:pt idx="78">
                  <c:v>-27338902707.55233</c:v>
                </c:pt>
                <c:pt idx="79">
                  <c:v>-28906136879.650002</c:v>
                </c:pt>
                <c:pt idx="80">
                  <c:v>-30467986674.356632</c:v>
                </c:pt>
                <c:pt idx="81">
                  <c:v>-32022942288.716991</c:v>
                </c:pt>
                <c:pt idx="82">
                  <c:v>-33569459077.241295</c:v>
                </c:pt>
                <c:pt idx="83">
                  <c:v>-35105959298.61779</c:v>
                </c:pt>
                <c:pt idx="84">
                  <c:v>-36630834072.575562</c:v>
                </c:pt>
                <c:pt idx="85">
                  <c:v>-38142445550.511177</c:v>
                </c:pt>
                <c:pt idx="86">
                  <c:v>-39639129302.377342</c:v>
                </c:pt>
                <c:pt idx="87">
                  <c:v>-41119196921.105453</c:v>
                </c:pt>
                <c:pt idx="88">
                  <c:v>-42580938844.500908</c:v>
                </c:pt>
                <c:pt idx="89">
                  <c:v>-44022627393.119705</c:v>
                </c:pt>
                <c:pt idx="90">
                  <c:v>-45442520021.107491</c:v>
                </c:pt>
                <c:pt idx="91">
                  <c:v>-46838862775.372551</c:v>
                </c:pt>
                <c:pt idx="92">
                  <c:v>-48209893956.777283</c:v>
                </c:pt>
                <c:pt idx="93">
                  <c:v>-49553847975.287231</c:v>
                </c:pt>
                <c:pt idx="94">
                  <c:v>-50868959389.220383</c:v>
                </c:pt>
                <c:pt idx="95">
                  <c:v>-52153467116.91333</c:v>
                </c:pt>
                <c:pt idx="96">
                  <c:v>-53405618807.282066</c:v>
                </c:pt>
                <c:pt idx="97">
                  <c:v>-54623675353.919693</c:v>
                </c:pt>
                <c:pt idx="98">
                  <c:v>-55805915535.568214</c:v>
                </c:pt>
                <c:pt idx="99">
                  <c:v>-56950640764.043381</c:v>
                </c:pt>
                <c:pt idx="100">
                  <c:v>-58056179919.005684</c:v>
                </c:pt>
                <c:pt idx="101">
                  <c:v>-59120894247.382584</c:v>
                </c:pt>
                <c:pt idx="102">
                  <c:v>-60143182303.77552</c:v>
                </c:pt>
                <c:pt idx="103">
                  <c:v>-61121484906.860458</c:v>
                </c:pt>
                <c:pt idx="104">
                  <c:v>-62054290085.629799</c:v>
                </c:pt>
                <c:pt idx="105">
                  <c:v>-62940137988.354088</c:v>
                </c:pt>
                <c:pt idx="106">
                  <c:v>-63777625726.378929</c:v>
                </c:pt>
                <c:pt idx="107">
                  <c:v>-64565412124.341423</c:v>
                </c:pt>
                <c:pt idx="108">
                  <c:v>-65302222348.101524</c:v>
                </c:pt>
                <c:pt idx="109">
                  <c:v>-65986852381.655823</c:v>
                </c:pt>
                <c:pt idx="110">
                  <c:v>-66618173324.541649</c:v>
                </c:pt>
                <c:pt idx="111">
                  <c:v>-67195135481.758286</c:v>
                </c:pt>
                <c:pt idx="112">
                  <c:v>-67716772219.030098</c:v>
                </c:pt>
                <c:pt idx="113">
                  <c:v>-68182203557.316833</c:v>
                </c:pt>
                <c:pt idx="114">
                  <c:v>-68590639481.831184</c:v>
                </c:pt>
                <c:pt idx="115">
                  <c:v>-68941382942.447037</c:v>
                </c:pt>
                <c:pt idx="116">
                  <c:v>-69233832524.2603</c:v>
                </c:pt>
                <c:pt idx="117">
                  <c:v>-69467484769.180099</c:v>
                </c:pt>
                <c:pt idx="118">
                  <c:v>-69641936131.762024</c:v>
                </c:pt>
                <c:pt idx="119">
                  <c:v>-69756884555.023575</c:v>
                </c:pt>
                <c:pt idx="120">
                  <c:v>-69812130654.673859</c:v>
                </c:pt>
                <c:pt idx="121">
                  <c:v>-69807578503.020309</c:v>
                </c:pt>
                <c:pt idx="122">
                  <c:v>-69743236006.747391</c:v>
                </c:pt>
                <c:pt idx="123">
                  <c:v>-69619214875.763412</c:v>
                </c:pt>
                <c:pt idx="124">
                  <c:v>-69435730183.346909</c:v>
                </c:pt>
                <c:pt idx="125">
                  <c:v>-69193099520.856201</c:v>
                </c:pt>
                <c:pt idx="126">
                  <c:v>-68891741753.258987</c:v>
                </c:pt>
                <c:pt idx="127">
                  <c:v>-68532175384.657341</c:v>
                </c:pt>
                <c:pt idx="128">
                  <c:v>-68115016545.795517</c:v>
                </c:pt>
                <c:pt idx="129">
                  <c:v>-67640976618.206619</c:v>
                </c:pt>
                <c:pt idx="130">
                  <c:v>-67110859512.155006</c:v>
                </c:pt>
                <c:pt idx="131">
                  <c:v>-66525558617.833023</c:v>
                </c:pt>
                <c:pt idx="132">
                  <c:v>-65886053451.352203</c:v>
                </c:pt>
                <c:pt idx="133">
                  <c:v>-65193406018.909386</c:v>
                </c:pt>
                <c:pt idx="134">
                  <c:v>-64448756924.090973</c:v>
                </c:pt>
                <c:pt idx="135">
                  <c:v>-63653321244.593391</c:v>
                </c:pt>
                <c:pt idx="136">
                  <c:v>-62808384205.673622</c:v>
                </c:pt>
                <c:pt idx="137">
                  <c:v>-61915296678.400772</c:v>
                </c:pt>
                <c:pt idx="138">
                  <c:v>-60975470531.2547</c:v>
                </c:pt>
                <c:pt idx="139">
                  <c:v>-59990373863.817192</c:v>
                </c:pt>
                <c:pt idx="140">
                  <c:v>-58961526151.233032</c:v>
                </c:pt>
                <c:pt idx="141">
                  <c:v>-57890493327.790924</c:v>
                </c:pt>
                <c:pt idx="142">
                  <c:v>-56778882837.40667</c:v>
                </c:pt>
                <c:pt idx="143">
                  <c:v>-55628338677.996811</c:v>
                </c:pt>
                <c:pt idx="144">
                  <c:v>-54440536465.728409</c:v>
                </c:pt>
                <c:pt idx="145">
                  <c:v>-53217178543.94574</c:v>
                </c:pt>
                <c:pt idx="146">
                  <c:v>-51959989160.224739</c:v>
                </c:pt>
                <c:pt idx="147">
                  <c:v>-50670709733.515228</c:v>
                </c:pt>
                <c:pt idx="148">
                  <c:v>-49351094231.727455</c:v>
                </c:pt>
                <c:pt idx="149">
                  <c:v>-48002904678.419731</c:v>
                </c:pt>
                <c:pt idx="150">
                  <c:v>-46627906805.478241</c:v>
                </c:pt>
                <c:pt idx="151">
                  <c:v>-45227865866.868713</c:v>
                </c:pt>
                <c:pt idx="152">
                  <c:v>-43804542626.701546</c:v>
                </c:pt>
                <c:pt idx="153">
                  <c:v>-42359689533.015335</c:v>
                </c:pt>
                <c:pt idx="154">
                  <c:v>-40895047086.859261</c:v>
                </c:pt>
                <c:pt idx="155">
                  <c:v>-39412340414.467255</c:v>
                </c:pt>
                <c:pt idx="156">
                  <c:v>-37913276048.577133</c:v>
                </c:pt>
                <c:pt idx="157">
                  <c:v>-36399538923.273926</c:v>
                </c:pt>
                <c:pt idx="158">
                  <c:v>-34872789585.13752</c:v>
                </c:pt>
                <c:pt idx="159">
                  <c:v>-33334661621.962749</c:v>
                </c:pt>
                <c:pt idx="160">
                  <c:v>-31786759308.902683</c:v>
                </c:pt>
                <c:pt idx="161">
                  <c:v>-30230655470.570545</c:v>
                </c:pt>
                <c:pt idx="162">
                  <c:v>-28667889556.424191</c:v>
                </c:pt>
                <c:pt idx="163">
                  <c:v>-27099965925.65992</c:v>
                </c:pt>
                <c:pt idx="164">
                  <c:v>-25528352336.849022</c:v>
                </c:pt>
                <c:pt idx="165">
                  <c:v>-23954478636.673824</c:v>
                </c:pt>
                <c:pt idx="166">
                  <c:v>-22379735641.351574</c:v>
                </c:pt>
                <c:pt idx="167">
                  <c:v>-20805474203.671562</c:v>
                </c:pt>
                <c:pt idx="168">
                  <c:v>-19233004458.014965</c:v>
                </c:pt>
                <c:pt idx="169">
                  <c:v>-17663595235.269463</c:v>
                </c:pt>
                <c:pt idx="170">
                  <c:v>-16098473639.189409</c:v>
                </c:pt>
                <c:pt idx="171">
                  <c:v>-14538824775.479549</c:v>
                </c:pt>
                <c:pt idx="172">
                  <c:v>-12985791624.694036</c:v>
                </c:pt>
                <c:pt idx="173">
                  <c:v>-11440475049.931963</c:v>
                </c:pt>
                <c:pt idx="174">
                  <c:v>-9903933930.271841</c:v>
                </c:pt>
                <c:pt idx="175">
                  <c:v>-8377185410.9156876</c:v>
                </c:pt>
                <c:pt idx="176">
                  <c:v>-6861205261.0986433</c:v>
                </c:pt>
                <c:pt idx="177">
                  <c:v>-5356928330.9568834</c:v>
                </c:pt>
                <c:pt idx="178">
                  <c:v>-3865249098.7334943</c:v>
                </c:pt>
                <c:pt idx="179">
                  <c:v>-2387022299.9230747</c:v>
                </c:pt>
                <c:pt idx="180">
                  <c:v>-923063630.21598947</c:v>
                </c:pt>
                <c:pt idx="181">
                  <c:v>525849485.60906416</c:v>
                </c:pt>
                <c:pt idx="182">
                  <c:v>1958977066.3860281</c:v>
                </c:pt>
                <c:pt idx="183">
                  <c:v>3375615696.0671291</c:v>
                </c:pt>
                <c:pt idx="184">
                  <c:v>4775097600.9007654</c:v>
                </c:pt>
                <c:pt idx="185">
                  <c:v>6156789688.7946596</c:v>
                </c:pt>
                <c:pt idx="186">
                  <c:v>7520092557.0177059</c:v>
                </c:pt>
                <c:pt idx="187">
                  <c:v>8864439474.0290318</c:v>
                </c:pt>
                <c:pt idx="188">
                  <c:v>10189295340.859613</c:v>
                </c:pt>
                <c:pt idx="189">
                  <c:v>11494155637.112486</c:v>
                </c:pt>
                <c:pt idx="190">
                  <c:v>12778545356.288992</c:v>
                </c:pt>
                <c:pt idx="191">
                  <c:v>14042017934.802259</c:v>
                </c:pt>
                <c:pt idx="192">
                  <c:v>15284154178.698202</c:v>
                </c:pt>
                <c:pt idx="193">
                  <c:v>16504561191.775318</c:v>
                </c:pt>
                <c:pt idx="194">
                  <c:v>17702871308.476326</c:v>
                </c:pt>
                <c:pt idx="195">
                  <c:v>18878741034.620483</c:v>
                </c:pt>
                <c:pt idx="196">
                  <c:v>20031849998.752235</c:v>
                </c:pt>
                <c:pt idx="197">
                  <c:v>21161899916.604473</c:v>
                </c:pt>
                <c:pt idx="198">
                  <c:v>22268613570.911621</c:v>
                </c:pt>
                <c:pt idx="199">
                  <c:v>23351733808.557755</c:v>
                </c:pt>
                <c:pt idx="200">
                  <c:v>24411022556.81052</c:v>
                </c:pt>
                <c:pt idx="201">
                  <c:v>25446259860.172382</c:v>
                </c:pt>
                <c:pt idx="202">
                  <c:v>26457242939.174683</c:v>
                </c:pt>
                <c:pt idx="203">
                  <c:v>27443785272.248978</c:v>
                </c:pt>
                <c:pt idx="204">
                  <c:v>28405715701.632698</c:v>
                </c:pt>
                <c:pt idx="205">
                  <c:v>29342877564.103149</c:v>
                </c:pt>
                <c:pt idx="206">
                  <c:v>30255127847.181683</c:v>
                </c:pt>
                <c:pt idx="207">
                  <c:v>31142336371.313396</c:v>
                </c:pt>
                <c:pt idx="208">
                  <c:v>32004384998.401688</c:v>
                </c:pt>
                <c:pt idx="209">
                  <c:v>32841166866.961563</c:v>
                </c:pt>
                <c:pt idx="210">
                  <c:v>33652585654.053711</c:v>
                </c:pt>
                <c:pt idx="211">
                  <c:v>34438554864.068733</c:v>
                </c:pt>
                <c:pt idx="212">
                  <c:v>35198997144.346657</c:v>
                </c:pt>
                <c:pt idx="213">
                  <c:v>35933843627.545876</c:v>
                </c:pt>
                <c:pt idx="214">
                  <c:v>36643033300.609459</c:v>
                </c:pt>
                <c:pt idx="215">
                  <c:v>37326512400.121346</c:v>
                </c:pt>
                <c:pt idx="216">
                  <c:v>37984233833.796509</c:v>
                </c:pt>
                <c:pt idx="217">
                  <c:v>38616156627.808151</c:v>
                </c:pt>
                <c:pt idx="218">
                  <c:v>39222245399.620483</c:v>
                </c:pt>
                <c:pt idx="219">
                  <c:v>39802469855.967712</c:v>
                </c:pt>
                <c:pt idx="220">
                  <c:v>40356804315.597855</c:v>
                </c:pt>
                <c:pt idx="221">
                  <c:v>40885227256.382469</c:v>
                </c:pt>
                <c:pt idx="222">
                  <c:v>41387720886.382454</c:v>
                </c:pt>
                <c:pt idx="223">
                  <c:v>41864270738.452255</c:v>
                </c:pt>
                <c:pt idx="224">
                  <c:v>42314865287.961487</c:v>
                </c:pt>
                <c:pt idx="225">
                  <c:v>42739495593.214569</c:v>
                </c:pt>
                <c:pt idx="226">
                  <c:v>43138154958.152229</c:v>
                </c:pt>
                <c:pt idx="227">
                  <c:v>43510838616.92717</c:v>
                </c:pt>
                <c:pt idx="228">
                  <c:v>43857543439.955833</c:v>
                </c:pt>
                <c:pt idx="229">
                  <c:v>44178267661.061699</c:v>
                </c:pt>
                <c:pt idx="230">
                  <c:v>44473010625.340851</c:v>
                </c:pt>
                <c:pt idx="231">
                  <c:v>44741772557.398018</c:v>
                </c:pt>
                <c:pt idx="232">
                  <c:v>44984554349.620804</c:v>
                </c:pt>
                <c:pt idx="233">
                  <c:v>45201357370.181526</c:v>
                </c:pt>
                <c:pt idx="234">
                  <c:v>45392183290.478012</c:v>
                </c:pt>
                <c:pt idx="235">
                  <c:v>45557033931.749405</c:v>
                </c:pt>
                <c:pt idx="236">
                  <c:v>45695911130.628517</c:v>
                </c:pt>
                <c:pt idx="237">
                  <c:v>45808816623.417793</c:v>
                </c:pt>
                <c:pt idx="238">
                  <c:v>45895751948.904129</c:v>
                </c:pt>
                <c:pt idx="239">
                  <c:v>45956718369.55513</c:v>
                </c:pt>
                <c:pt idx="240">
                  <c:v>45991716810.968208</c:v>
                </c:pt>
                <c:pt idx="241">
                  <c:v>46000747819.473099</c:v>
                </c:pt>
                <c:pt idx="242">
                  <c:v>45983811537.817665</c:v>
                </c:pt>
                <c:pt idx="243">
                  <c:v>45940907698.896858</c:v>
                </c:pt>
                <c:pt idx="244">
                  <c:v>45872035637.514153</c:v>
                </c:pt>
                <c:pt idx="245">
                  <c:v>45777194320.19519</c:v>
                </c:pt>
                <c:pt idx="246">
                  <c:v>45656382393.103065</c:v>
                </c:pt>
                <c:pt idx="247">
                  <c:v>45509598248.133995</c:v>
                </c:pt>
                <c:pt idx="248">
                  <c:v>45336840107.30204</c:v>
                </c:pt>
                <c:pt idx="249">
                  <c:v>45138106125.55014</c:v>
                </c:pt>
                <c:pt idx="250">
                  <c:v>44913394512.153351</c:v>
                </c:pt>
                <c:pt idx="251">
                  <c:v>44662703670.907669</c:v>
                </c:pt>
                <c:pt idx="252">
                  <c:v>44386032359.325157</c:v>
                </c:pt>
                <c:pt idx="253">
                  <c:v>44083379867.081993</c:v>
                </c:pt>
                <c:pt idx="254">
                  <c:v>43754746213.990654</c:v>
                </c:pt>
                <c:pt idx="255">
                  <c:v>43400132367.792122</c:v>
                </c:pt>
                <c:pt idx="256">
                  <c:v>43019540482.085014</c:v>
                </c:pt>
                <c:pt idx="257">
                  <c:v>42612974154.730553</c:v>
                </c:pt>
                <c:pt idx="258">
                  <c:v>42180438707.090271</c:v>
                </c:pt>
                <c:pt idx="259">
                  <c:v>41721941484.47097</c:v>
                </c:pt>
                <c:pt idx="260">
                  <c:v>41237492178.165489</c:v>
                </c:pt>
                <c:pt idx="261">
                  <c:v>40727103169.490891</c:v>
                </c:pt>
                <c:pt idx="262">
                  <c:v>40190789896.234703</c:v>
                </c:pt>
                <c:pt idx="263">
                  <c:v>39628571241.92614</c:v>
                </c:pt>
                <c:pt idx="264">
                  <c:v>39040469948.353508</c:v>
                </c:pt>
                <c:pt idx="265">
                  <c:v>38426513051.747322</c:v>
                </c:pt>
                <c:pt idx="266">
                  <c:v>37786732343.045326</c:v>
                </c:pt>
                <c:pt idx="267">
                  <c:v>37121164852.64637</c:v>
                </c:pt>
                <c:pt idx="268">
                  <c:v>36429853360.047218</c:v>
                </c:pt>
                <c:pt idx="269">
                  <c:v>35712846928.737724</c:v>
                </c:pt>
                <c:pt idx="270">
                  <c:v>34970201466.705452</c:v>
                </c:pt>
                <c:pt idx="271">
                  <c:v>34201980312.871906</c:v>
                </c:pt>
                <c:pt idx="272">
                  <c:v>33408254849.745193</c:v>
                </c:pt>
                <c:pt idx="273">
                  <c:v>32589105142.531315</c:v>
                </c:pt>
                <c:pt idx="274">
                  <c:v>31744620604.895321</c:v>
                </c:pt>
                <c:pt idx="275">
                  <c:v>30874900691.505268</c:v>
                </c:pt>
                <c:pt idx="276">
                  <c:v>29980055617.424259</c:v>
                </c:pt>
                <c:pt idx="277">
                  <c:v>29060207104.34042</c:v>
                </c:pt>
                <c:pt idx="278">
                  <c:v>28115489153.539181</c:v>
                </c:pt>
                <c:pt idx="279">
                  <c:v>27146048845.424843</c:v>
                </c:pt>
                <c:pt idx="280">
                  <c:v>26152047165.294289</c:v>
                </c:pt>
                <c:pt idx="281">
                  <c:v>25133659854.946411</c:v>
                </c:pt>
                <c:pt idx="282">
                  <c:v>24091078289.581261</c:v>
                </c:pt>
                <c:pt idx="283">
                  <c:v>23024510379.302536</c:v>
                </c:pt>
                <c:pt idx="284">
                  <c:v>21934181494.381027</c:v>
                </c:pt>
                <c:pt idx="285">
                  <c:v>20820335413.26915</c:v>
                </c:pt>
                <c:pt idx="286">
                  <c:v>19683235292.175819</c:v>
                </c:pt>
                <c:pt idx="287">
                  <c:v>18523164654.814938</c:v>
                </c:pt>
                <c:pt idx="288">
                  <c:v>17340428400.730206</c:v>
                </c:pt>
                <c:pt idx="289">
                  <c:v>16135353830.376799</c:v>
                </c:pt>
                <c:pt idx="290">
                  <c:v>14908291684.898846</c:v>
                </c:pt>
                <c:pt idx="291">
                  <c:v>13659617198.289646</c:v>
                </c:pt>
                <c:pt idx="292">
                  <c:v>12389731159.353683</c:v>
                </c:pt>
                <c:pt idx="293">
                  <c:v>11099060980.60615</c:v>
                </c:pt>
                <c:pt idx="294">
                  <c:v>9788061770.950613</c:v>
                </c:pt>
                <c:pt idx="295">
                  <c:v>8457217408.6657982</c:v>
                </c:pt>
                <c:pt idx="296">
                  <c:v>7107041610.9115982</c:v>
                </c:pt>
                <c:pt idx="297">
                  <c:v>5738078995.6306448</c:v>
                </c:pt>
                <c:pt idx="298">
                  <c:v>4350906131.3805065</c:v>
                </c:pt>
                <c:pt idx="299">
                  <c:v>2946132570.2799115</c:v>
                </c:pt>
                <c:pt idx="300">
                  <c:v>1524401858.8944516</c:v>
                </c:pt>
                <c:pt idx="301">
                  <c:v>86392521.525648236</c:v>
                </c:pt>
                <c:pt idx="302">
                  <c:v>-1367180989.9962561</c:v>
                </c:pt>
                <c:pt idx="303">
                  <c:v>-2835567386.2784066</c:v>
                </c:pt>
                <c:pt idx="304">
                  <c:v>-4317977676.7137613</c:v>
                </c:pt>
                <c:pt idx="305">
                  <c:v>-5813584359.18365</c:v>
                </c:pt>
                <c:pt idx="306">
                  <c:v>-7321520670.4286661</c:v>
                </c:pt>
                <c:pt idx="307">
                  <c:v>-8840879904.7266502</c:v>
                </c:pt>
                <c:pt idx="308">
                  <c:v>-10370714808.817947</c:v>
                </c:pt>
                <c:pt idx="309">
                  <c:v>-11910037061.301796</c:v>
                </c:pt>
                <c:pt idx="310">
                  <c:v>-13457816844.971758</c:v>
                </c:pt>
                <c:pt idx="311">
                  <c:v>-15012982520.773869</c:v>
                </c:pt>
                <c:pt idx="312">
                  <c:v>-16574420412.240568</c:v>
                </c:pt>
                <c:pt idx="313">
                  <c:v>-18140974709.376583</c:v>
                </c:pt>
                <c:pt idx="314">
                  <c:v>-19711447501.041405</c:v>
                </c:pt>
                <c:pt idx="315">
                  <c:v>-21284598944.880806</c:v>
                </c:pt>
                <c:pt idx="316">
                  <c:v>-22859147583.800743</c:v>
                </c:pt>
                <c:pt idx="317">
                  <c:v>-24433770817.843845</c:v>
                </c:pt>
                <c:pt idx="318">
                  <c:v>-26007105540.116337</c:v>
                </c:pt>
                <c:pt idx="319">
                  <c:v>-27577748945.114708</c:v>
                </c:pt>
                <c:pt idx="320">
                  <c:v>-29144259517.410389</c:v>
                </c:pt>
                <c:pt idx="321">
                  <c:v>-30705158208.166328</c:v>
                </c:pt>
                <c:pt idx="322">
                  <c:v>-32258929806.366699</c:v>
                </c:pt>
                <c:pt idx="323">
                  <c:v>-33804024510.951935</c:v>
                </c:pt>
                <c:pt idx="324">
                  <c:v>-35338859709.244637</c:v>
                </c:pt>
                <c:pt idx="325">
                  <c:v>-36861821966.144043</c:v>
                </c:pt>
                <c:pt idx="326">
                  <c:v>-38371269227.538803</c:v>
                </c:pt>
                <c:pt idx="327">
                  <c:v>-39865533240.258148</c:v>
                </c:pt>
                <c:pt idx="328">
                  <c:v>-41342922189.634888</c:v>
                </c:pt>
                <c:pt idx="329">
                  <c:v>-42801723554.409851</c:v>
                </c:pt>
                <c:pt idx="330">
                  <c:v>-44240207177.258415</c:v>
                </c:pt>
                <c:pt idx="331">
                  <c:v>-45656628547.681046</c:v>
                </c:pt>
                <c:pt idx="332">
                  <c:v>-47049232292.37616</c:v>
                </c:pt>
                <c:pt idx="333">
                  <c:v>-48416255866.520386</c:v>
                </c:pt>
                <c:pt idx="334">
                  <c:v>-49755933437.62043</c:v>
                </c:pt>
                <c:pt idx="335">
                  <c:v>-51066499951.806755</c:v>
                </c:pt>
                <c:pt idx="336">
                  <c:v>-52346195370.604294</c:v>
                </c:pt>
                <c:pt idx="337">
                  <c:v>-53593269064.377708</c:v>
                </c:pt>
                <c:pt idx="338">
                  <c:v>-54805984346.816704</c:v>
                </c:pt>
                <c:pt idx="339">
                  <c:v>-55982623133.027962</c:v>
                </c:pt>
                <c:pt idx="340">
                  <c:v>-57121490702.049034</c:v>
                </c:pt>
                <c:pt idx="341">
                  <c:v>-58220920542.930542</c:v>
                </c:pt>
                <c:pt idx="342">
                  <c:v>-59279279261.958733</c:v>
                </c:pt>
                <c:pt idx="343">
                  <c:v>-60294971527.139809</c:v>
                </c:pt>
                <c:pt idx="344">
                  <c:v>-61266445024.767937</c:v>
                </c:pt>
                <c:pt idx="345">
                  <c:v>-62192195401.764572</c:v>
                </c:pt>
                <c:pt idx="346">
                  <c:v>-63070771166.535271</c:v>
                </c:pt>
                <c:pt idx="347">
                  <c:v>-63900778520.366127</c:v>
                </c:pt>
                <c:pt idx="348">
                  <c:v>-64680886090.882233</c:v>
                </c:pt>
                <c:pt idx="349">
                  <c:v>-65409829538.842888</c:v>
                </c:pt>
                <c:pt idx="350">
                  <c:v>-66086416009.559753</c:v>
                </c:pt>
                <c:pt idx="351">
                  <c:v>-66709528400.507385</c:v>
                </c:pt>
                <c:pt idx="352">
                  <c:v>-67278129417.255432</c:v>
                </c:pt>
                <c:pt idx="353">
                  <c:v>-67791265390.69455</c:v>
                </c:pt>
                <c:pt idx="354">
                  <c:v>-68248069829.648994</c:v>
                </c:pt>
                <c:pt idx="355">
                  <c:v>-68647766684.367004</c:v>
                </c:pt>
                <c:pt idx="356">
                  <c:v>-68989673298.041611</c:v>
                </c:pt>
                <c:pt idx="357">
                  <c:v>-69273203025.430954</c:v>
                </c:pt>
                <c:pt idx="358">
                  <c:v>-69497867499.798248</c:v>
                </c:pt>
                <c:pt idx="359">
                  <c:v>-69663278531.755402</c:v>
                </c:pt>
                <c:pt idx="360">
                  <c:v>-69769149626.150406</c:v>
                </c:pt>
                <c:pt idx="361">
                  <c:v>-69815297105.85379</c:v>
                </c:pt>
                <c:pt idx="362">
                  <c:v>-69801640834.147095</c:v>
                </c:pt>
                <c:pt idx="363">
                  <c:v>-69728204530.361389</c:v>
                </c:pt>
                <c:pt idx="364">
                  <c:v>-69595115676.42334</c:v>
                </c:pt>
                <c:pt idx="365">
                  <c:v>-69402605015.002182</c:v>
                </c:pt>
                <c:pt idx="366">
                  <c:v>-69151005642.980881</c:v>
                </c:pt>
                <c:pt idx="367">
                  <c:v>-68840751706.957474</c:v>
                </c:pt>
                <c:pt idx="368">
                  <c:v>-68472376710.388832</c:v>
                </c:pt>
                <c:pt idx="369">
                  <c:v>-68046511444.779289</c:v>
                </c:pt>
                <c:pt idx="370">
                  <c:v>-67563881559.963043</c:v>
                </c:pt>
                <c:pt idx="371">
                  <c:v>-67025304791.00116</c:v>
                </c:pt>
                <c:pt idx="372">
                  <c:v>-66431687861.482658</c:v>
                </c:pt>
                <c:pt idx="373">
                  <c:v>-65784023085.066864</c:v>
                </c:pt>
                <c:pt idx="374">
                  <c:v>-65083384688.904564</c:v>
                </c:pt>
                <c:pt idx="375">
                  <c:v>-64330924884.119545</c:v>
                </c:pt>
                <c:pt idx="376">
                  <c:v>-63527869709.803543</c:v>
                </c:pt>
                <c:pt idx="377">
                  <c:v>-62675514677.972687</c:v>
                </c:pt>
                <c:pt idx="378">
                  <c:v>-61775220247.646095</c:v>
                </c:pt>
                <c:pt idx="379">
                  <c:v>-60828407156.641212</c:v>
                </c:pt>
                <c:pt idx="380">
                  <c:v>-59836551639.837555</c:v>
                </c:pt>
                <c:pt idx="381">
                  <c:v>-58801180562.55294</c:v>
                </c:pt>
                <c:pt idx="382">
                  <c:v>-57723866497.311058</c:v>
                </c:pt>
                <c:pt idx="383">
                  <c:v>-56606222771.676003</c:v>
                </c:pt>
                <c:pt idx="384">
                  <c:v>-55449898514.001747</c:v>
                </c:pt>
                <c:pt idx="385">
                  <c:v>-54256573722.914215</c:v>
                </c:pt>
                <c:pt idx="386">
                  <c:v>-53027954385.130295</c:v>
                </c:pt>
                <c:pt idx="387">
                  <c:v>-51765767664.846817</c:v>
                </c:pt>
                <c:pt idx="388">
                  <c:v>-50471757186.421677</c:v>
                </c:pt>
                <c:pt idx="389">
                  <c:v>-49147678430.451042</c:v>
                </c:pt>
                <c:pt idx="390">
                  <c:v>-47795294261.63353</c:v>
                </c:pt>
                <c:pt idx="391">
                  <c:v>-46416370605.040878</c:v>
                </c:pt>
                <c:pt idx="392">
                  <c:v>-45012672285.593315</c:v>
                </c:pt>
                <c:pt idx="393">
                  <c:v>-43585959043.703888</c:v>
                </c:pt>
                <c:pt idx="394">
                  <c:v>-42137981738.216385</c:v>
                </c:pt>
                <c:pt idx="395">
                  <c:v>-40670478745.941925</c:v>
                </c:pt>
                <c:pt idx="396">
                  <c:v>-39185172565.320335</c:v>
                </c:pt>
                <c:pt idx="397">
                  <c:v>-37683766629.998993</c:v>
                </c:pt>
                <c:pt idx="398">
                  <c:v>-36167942336.460197</c:v>
                </c:pt>
                <c:pt idx="399">
                  <c:v>-34639356288.241196</c:v>
                </c:pt>
                <c:pt idx="400">
                  <c:v>-33099637757.792961</c:v>
                </c:pt>
                <c:pt idx="401">
                  <c:v>-31550386365.621479</c:v>
                </c:pt>
                <c:pt idx="402">
                  <c:v>-29993169975.055679</c:v>
                </c:pt>
                <c:pt idx="403">
                  <c:v>-28429522799.792332</c:v>
                </c:pt>
                <c:pt idx="404">
                  <c:v>-26860943720.284966</c:v>
                </c:pt>
                <c:pt idx="405">
                  <c:v>-25288894804.07095</c:v>
                </c:pt>
                <c:pt idx="406">
                  <c:v>-23714800024.269653</c:v>
                </c:pt>
                <c:pt idx="407">
                  <c:v>-22140044169.730305</c:v>
                </c:pt>
                <c:pt idx="408">
                  <c:v>-20565971939.665737</c:v>
                </c:pt>
                <c:pt idx="409">
                  <c:v>-18993887215.065327</c:v>
                </c:pt>
                <c:pt idx="410">
                  <c:v>-17425052498.736794</c:v>
                </c:pt>
                <c:pt idx="411">
                  <c:v>-15860688515.481062</c:v>
                </c:pt>
                <c:pt idx="412">
                  <c:v>-14301973963.646635</c:v>
                </c:pt>
                <c:pt idx="413">
                  <c:v>-12750045409.129303</c:v>
                </c:pt>
                <c:pt idx="414">
                  <c:v>-11205997312.791929</c:v>
                </c:pt>
                <c:pt idx="415">
                  <c:v>-9670882182.245163</c:v>
                </c:pt>
                <c:pt idx="416">
                  <c:v>-8145710838.9693956</c:v>
                </c:pt>
                <c:pt idx="417">
                  <c:v>-6631452791.851263</c:v>
                </c:pt>
                <c:pt idx="418">
                  <c:v>-5129036708.354394</c:v>
                </c:pt>
                <c:pt idx="419">
                  <c:v>-3639350974.7325768</c:v>
                </c:pt>
                <c:pt idx="420">
                  <c:v>-2163244336.9262767</c:v>
                </c:pt>
                <c:pt idx="421">
                  <c:v>-701526614.04513299</c:v>
                </c:pt>
                <c:pt idx="422">
                  <c:v>745030523.37105954</c:v>
                </c:pt>
                <c:pt idx="423">
                  <c:v>2175692717.8035188</c:v>
                </c:pt>
                <c:pt idx="424">
                  <c:v>3589762039.078393</c:v>
                </c:pt>
                <c:pt idx="425">
                  <c:v>4986576055.3768702</c:v>
                </c:pt>
                <c:pt idx="426">
                  <c:v>6365506867.3916864</c:v>
                </c:pt>
                <c:pt idx="427">
                  <c:v>7725960111.7256107</c:v>
                </c:pt>
                <c:pt idx="428">
                  <c:v>9067373939.2671204</c:v>
                </c:pt>
                <c:pt idx="429">
                  <c:v>10389217973.913019</c:v>
                </c:pt>
                <c:pt idx="430">
                  <c:v>11690992256.64888</c:v>
                </c:pt>
                <c:pt idx="431">
                  <c:v>12972226179.640873</c:v>
                </c:pt>
                <c:pt idx="432">
                  <c:v>14232477414.650011</c:v>
                </c:pt>
                <c:pt idx="433">
                  <c:v>15471330839.735477</c:v>
                </c:pt>
                <c:pt idx="434">
                  <c:v>16688397467.890882</c:v>
                </c:pt>
                <c:pt idx="435">
                  <c:v>17883313380.938942</c:v>
                </c:pt>
                <c:pt idx="436">
                  <c:v>19055738671.70755</c:v>
                </c:pt>
                <c:pt idx="437">
                  <c:v>20205356397.219913</c:v>
                </c:pt>
                <c:pt idx="438">
                  <c:v>21331871545.356979</c:v>
                </c:pt>
                <c:pt idx="439">
                  <c:v>22435010017.187008</c:v>
                </c:pt>
                <c:pt idx="440">
                  <c:v>23514517626.910961</c:v>
                </c:pt>
                <c:pt idx="441">
                  <c:v>24570159121.141632</c:v>
                </c:pt>
                <c:pt idx="442">
                  <c:v>25601717219.014214</c:v>
                </c:pt>
                <c:pt idx="443">
                  <c:v>26608991674.424175</c:v>
                </c:pt>
                <c:pt idx="444">
                  <c:v>27591798361.499859</c:v>
                </c:pt>
                <c:pt idx="445">
                  <c:v>28549968384.239944</c:v>
                </c:pt>
                <c:pt idx="446">
                  <c:v>29483347211.086296</c:v>
                </c:pt>
                <c:pt idx="447">
                  <c:v>30391793835.052837</c:v>
                </c:pt>
                <c:pt idx="448">
                  <c:v>31275179959.895763</c:v>
                </c:pt>
                <c:pt idx="449">
                  <c:v>32133389212.684654</c:v>
                </c:pt>
                <c:pt idx="450">
                  <c:v>32966316383.02499</c:v>
                </c:pt>
                <c:pt idx="451">
                  <c:v>33773866689.076687</c:v>
                </c:pt>
                <c:pt idx="452">
                  <c:v>34555955070.425713</c:v>
                </c:pt>
                <c:pt idx="453">
                  <c:v>35312505507.78286</c:v>
                </c:pt>
                <c:pt idx="454">
                  <c:v>36043450369.412453</c:v>
                </c:pt>
                <c:pt idx="455">
                  <c:v>36748729784.13002</c:v>
                </c:pt>
                <c:pt idx="456">
                  <c:v>37428291040.654465</c:v>
                </c:pt>
                <c:pt idx="457">
                  <c:v>38082088013.050858</c:v>
                </c:pt>
                <c:pt idx="458">
                  <c:v>38710080611.962372</c:v>
                </c:pt>
                <c:pt idx="459">
                  <c:v>39312234261.294228</c:v>
                </c:pt>
                <c:pt idx="460">
                  <c:v>39888519399.987633</c:v>
                </c:pt>
                <c:pt idx="461">
                  <c:v>40438911008.498383</c:v>
                </c:pt>
                <c:pt idx="462">
                  <c:v>40963388159.57972</c:v>
                </c:pt>
                <c:pt idx="463">
                  <c:v>41461933592.958427</c:v>
                </c:pt>
                <c:pt idx="464">
                  <c:v>41934533313.484688</c:v>
                </c:pt>
                <c:pt idx="465">
                  <c:v>42381176212.335976</c:v>
                </c:pt>
                <c:pt idx="466">
                  <c:v>42801853710.854805</c:v>
                </c:pt>
                <c:pt idx="467">
                  <c:v>43196559426.606201</c:v>
                </c:pt>
                <c:pt idx="468">
                  <c:v>43565288861.247414</c:v>
                </c:pt>
                <c:pt idx="469">
                  <c:v>43908039109.814857</c:v>
                </c:pt>
                <c:pt idx="470">
                  <c:v>44224808591.045052</c:v>
                </c:pt>
                <c:pt idx="471">
                  <c:v>44515596798.363022</c:v>
                </c:pt>
                <c:pt idx="472">
                  <c:v>44780404071.18943</c:v>
                </c:pt>
                <c:pt idx="473">
                  <c:v>45019231386.237289</c:v>
                </c:pt>
                <c:pt idx="474">
                  <c:v>45232080168.490562</c:v>
                </c:pt>
                <c:pt idx="475">
                  <c:v>45418952121.580193</c:v>
                </c:pt>
                <c:pt idx="476">
                  <c:v>45579849077.297234</c:v>
                </c:pt>
                <c:pt idx="477">
                  <c:v>45714772864.008041</c:v>
                </c:pt>
                <c:pt idx="478">
                  <c:v>45823725193.763603</c:v>
                </c:pt>
                <c:pt idx="479">
                  <c:v>45906707567.921661</c:v>
                </c:pt>
                <c:pt idx="480">
                  <c:v>45963721201.128899</c:v>
                </c:pt>
                <c:pt idx="481">
                  <c:v>45994766963.539032</c:v>
                </c:pt>
                <c:pt idx="482">
                  <c:v>45999845341.171638</c:v>
                </c:pt>
                <c:pt idx="483">
                  <c:v>45978956414.346298</c:v>
                </c:pt>
                <c:pt idx="484">
                  <c:v>45932099854.156227</c:v>
                </c:pt>
                <c:pt idx="485">
                  <c:v>45859274936.975677</c:v>
                </c:pt>
                <c:pt idx="486">
                  <c:v>45760480577.024933</c:v>
                </c:pt>
                <c:pt idx="487">
                  <c:v>45635715377.047112</c:v>
                </c:pt>
                <c:pt idx="488">
                  <c:v>45484977697.179977</c:v>
                </c:pt>
                <c:pt idx="489">
                  <c:v>45308265742.135918</c:v>
                </c:pt>
                <c:pt idx="490">
                  <c:v>45105577666.831627</c:v>
                </c:pt>
                <c:pt idx="491">
                  <c:v>44876911700.637512</c:v>
                </c:pt>
                <c:pt idx="492">
                  <c:v>44622266290.444801</c:v>
                </c:pt>
                <c:pt idx="493">
                  <c:v>44341640262.774788</c:v>
                </c:pt>
                <c:pt idx="494">
                  <c:v>44035033005.180428</c:v>
                </c:pt>
                <c:pt idx="495">
                  <c:v>43702444667.216019</c:v>
                </c:pt>
                <c:pt idx="496">
                  <c:v>43343876381.273438</c:v>
                </c:pt>
                <c:pt idx="497">
                  <c:v>42959330503.605682</c:v>
                </c:pt>
                <c:pt idx="498">
                  <c:v>42548810875.879478</c:v>
                </c:pt>
                <c:pt idx="499">
                  <c:v>42112323107.616608</c:v>
                </c:pt>
                <c:pt idx="500">
                  <c:v>41649874879.900383</c:v>
                </c:pt>
                <c:pt idx="501">
                  <c:v>41161476270.738907</c:v>
                </c:pt>
                <c:pt idx="502">
                  <c:v>40647140102.487267</c:v>
                </c:pt>
                <c:pt idx="503">
                  <c:v>40106882311.741043</c:v>
                </c:pt>
                <c:pt idx="504">
                  <c:v>39540722342.118896</c:v>
                </c:pt>
                <c:pt idx="505">
                  <c:v>38948683560.35524</c:v>
                </c:pt>
                <c:pt idx="506">
                  <c:v>38330793696.122063</c:v>
                </c:pt>
                <c:pt idx="507">
                  <c:v>37687085305.995857</c:v>
                </c:pt>
                <c:pt idx="508">
                  <c:v>37017596261.973969</c:v>
                </c:pt>
                <c:pt idx="509">
                  <c:v>36322370264.932381</c:v>
                </c:pt>
                <c:pt idx="510">
                  <c:v>35601457383.396965</c:v>
                </c:pt>
                <c:pt idx="511">
                  <c:v>34854914617.97567</c:v>
                </c:pt>
                <c:pt idx="512">
                  <c:v>34082806491.767506</c:v>
                </c:pt>
                <c:pt idx="513">
                  <c:v>33285205667.028496</c:v>
                </c:pt>
                <c:pt idx="514">
                  <c:v>32462193588.328392</c:v>
                </c:pt>
                <c:pt idx="515">
                  <c:v>31613861152.381443</c:v>
                </c:pt>
                <c:pt idx="516">
                  <c:v>30740309404.674793</c:v>
                </c:pt>
                <c:pt idx="517">
                  <c:v>29841650262.94849</c:v>
                </c:pt>
                <c:pt idx="518">
                  <c:v>28918007267.504238</c:v>
                </c:pt>
                <c:pt idx="519">
                  <c:v>27969516358.233784</c:v>
                </c:pt>
                <c:pt idx="520">
                  <c:v>26996326678.158726</c:v>
                </c:pt>
                <c:pt idx="521">
                  <c:v>25998601403.166615</c:v>
                </c:pt>
                <c:pt idx="522">
                  <c:v>24976518597.508327</c:v>
                </c:pt>
                <c:pt idx="523">
                  <c:v>23930272094.490723</c:v>
                </c:pt>
                <c:pt idx="524">
                  <c:v>22860072401.653759</c:v>
                </c:pt>
                <c:pt idx="525">
                  <c:v>21766147629.566433</c:v>
                </c:pt>
                <c:pt idx="526">
                  <c:v>20648744443.205208</c:v>
                </c:pt>
                <c:pt idx="527">
                  <c:v>19508129034.693752</c:v>
                </c:pt>
                <c:pt idx="528">
                  <c:v>18344588115.987347</c:v>
                </c:pt>
                <c:pt idx="529">
                  <c:v>17158429929.872231</c:v>
                </c:pt>
                <c:pt idx="530">
                  <c:v>15949985277.422415</c:v>
                </c:pt>
                <c:pt idx="531">
                  <c:v>14719608559.818155</c:v>
                </c:pt>
                <c:pt idx="532">
                  <c:v>13467678832.171629</c:v>
                </c:pt>
                <c:pt idx="533">
                  <c:v>12194600866.736837</c:v>
                </c:pt>
                <c:pt idx="534">
                  <c:v>10900806222.595314</c:v>
                </c:pt>
                <c:pt idx="535">
                  <c:v>9586754318.6129246</c:v>
                </c:pt>
                <c:pt idx="536">
                  <c:v>8252933506.1495256</c:v>
                </c:pt>
                <c:pt idx="537">
                  <c:v>6899862137.6812992</c:v>
                </c:pt>
                <c:pt idx="538">
                  <c:v>5528089627.1624622</c:v>
                </c:pt>
                <c:pt idx="539">
                  <c:v>4138197497.6066256</c:v>
                </c:pt>
                <c:pt idx="540">
                  <c:v>2730800411.0176773</c:v>
                </c:pt>
                <c:pt idx="541">
                  <c:v>1306547175.4409828</c:v>
                </c:pt>
                <c:pt idx="542">
                  <c:v>-133878276.4558467</c:v>
                </c:pt>
                <c:pt idx="543">
                  <c:v>-1589755943.2300255</c:v>
                </c:pt>
                <c:pt idx="544">
                  <c:v>-3060328851.2530656</c:v>
                </c:pt>
                <c:pt idx="545">
                  <c:v>-4544802198.7221193</c:v>
                </c:pt>
                <c:pt idx="546">
                  <c:v>-6042342554.1171837</c:v>
                </c:pt>
                <c:pt idx="547">
                  <c:v>-7552077116.4689817</c:v>
                </c:pt>
                <c:pt idx="548">
                  <c:v>-9073093045.1225204</c:v>
                </c:pt>
                <c:pt idx="549">
                  <c:v>-10604436866.984324</c:v>
                </c:pt>
                <c:pt idx="550">
                  <c:v>-12145113969.51255</c:v>
                </c:pt>
                <c:pt idx="551">
                  <c:v>-13694088187.956337</c:v>
                </c:pt>
                <c:pt idx="552">
                  <c:v>-15250281495.555105</c:v>
                </c:pt>
                <c:pt idx="553">
                  <c:v>-16812573805.573977</c:v>
                </c:pt>
                <c:pt idx="554">
                  <c:v>-18379802894.163284</c:v>
                </c:pt>
                <c:pt idx="555">
                  <c:v>-19950764453.095814</c:v>
                </c:pt>
                <c:pt idx="556">
                  <c:v>-21524212281.426071</c:v>
                </c:pt>
                <c:pt idx="557">
                  <c:v>-23098858625.051544</c:v>
                </c:pt>
                <c:pt idx="558">
                  <c:v>-24673374673.008743</c:v>
                </c:pt>
                <c:pt idx="559">
                  <c:v>-26246391219.112041</c:v>
                </c:pt>
                <c:pt idx="560">
                  <c:v>-27816499497.230591</c:v>
                </c:pt>
                <c:pt idx="561">
                  <c:v>-29382252198.096127</c:v>
                </c:pt>
                <c:pt idx="562">
                  <c:v>-30942164675.029209</c:v>
                </c:pt>
                <c:pt idx="563">
                  <c:v>-32494716345.36898</c:v>
                </c:pt>
                <c:pt idx="564">
                  <c:v>-34038352293.683022</c:v>
                </c:pt>
                <c:pt idx="565">
                  <c:v>-35571485082.010597</c:v>
                </c:pt>
                <c:pt idx="566">
                  <c:v>-37092496771.469154</c:v>
                </c:pt>
                <c:pt idx="567">
                  <c:v>-38599741158.506897</c:v>
                </c:pt>
                <c:pt idx="568">
                  <c:v>-40091546227.941307</c:v>
                </c:pt>
                <c:pt idx="569">
                  <c:v>-41566216823.657043</c:v>
                </c:pt>
                <c:pt idx="570">
                  <c:v>-43022037536.479507</c:v>
                </c:pt>
                <c:pt idx="571">
                  <c:v>-44457275807.276047</c:v>
                </c:pt>
                <c:pt idx="572">
                  <c:v>-45870185241.784912</c:v>
                </c:pt>
                <c:pt idx="573">
                  <c:v>-47259009132.036484</c:v>
                </c:pt>
                <c:pt idx="574">
                  <c:v>-48621984177.527618</c:v>
                </c:pt>
                <c:pt idx="575">
                  <c:v>-49957344397.543671</c:v>
                </c:pt>
                <c:pt idx="576">
                  <c:v>-51263325224.218124</c:v>
                </c:pt>
                <c:pt idx="577">
                  <c:v>-52538167764.088219</c:v>
                </c:pt>
                <c:pt idx="578">
                  <c:v>-53780123214.062584</c:v>
                </c:pt>
                <c:pt idx="579">
                  <c:v>-54987457415.890282</c:v>
                </c:pt>
                <c:pt idx="580">
                  <c:v>-56158455531.427643</c:v>
                </c:pt>
                <c:pt idx="581">
                  <c:v>-57291426819.258484</c:v>
                </c:pt>
                <c:pt idx="582">
                  <c:v>-58384709491.567345</c:v>
                </c:pt>
                <c:pt idx="583">
                  <c:v>-59436675628.608414</c:v>
                </c:pt>
                <c:pt idx="584">
                  <c:v>-60445736126.684341</c:v>
                </c:pt>
                <c:pt idx="585">
                  <c:v>-61410345654.271683</c:v>
                </c:pt>
                <c:pt idx="586">
                  <c:v>-62329007589.824425</c:v>
                </c:pt>
                <c:pt idx="587">
                  <c:v>-63200278913.878822</c:v>
                </c:pt>
                <c:pt idx="588">
                  <c:v>-64022775027.388306</c:v>
                </c:pt>
                <c:pt idx="589">
                  <c:v>-64795174467.75798</c:v>
                </c:pt>
                <c:pt idx="590">
                  <c:v>-65516223493.837952</c:v>
                </c:pt>
                <c:pt idx="591">
                  <c:v>-66184740511.186707</c:v>
                </c:pt>
                <c:pt idx="592">
                  <c:v>-66799620309.241577</c:v>
                </c:pt>
                <c:pt idx="593">
                  <c:v>-67359838082.635315</c:v>
                </c:pt>
                <c:pt idx="594">
                  <c:v>-67864453209.78389</c:v>
                </c:pt>
                <c:pt idx="595">
                  <c:v>-68312612763.033173</c:v>
                </c:pt>
                <c:pt idx="596">
                  <c:v>-68703554726.092178</c:v>
                </c:pt>
                <c:pt idx="597">
                  <c:v>-69036610896.181046</c:v>
                </c:pt>
                <c:pt idx="598">
                  <c:v>-69311209450.275452</c:v>
                </c:pt>
                <c:pt idx="599">
                  <c:v>-69526877157.01442</c:v>
                </c:pt>
                <c:pt idx="600">
                  <c:v>-69683241218.23288</c:v>
                </c:pt>
                <c:pt idx="601">
                  <c:v>-69780030726.662781</c:v>
                </c:pt>
                <c:pt idx="602">
                  <c:v>-69817077729.083694</c:v>
                </c:pt>
                <c:pt idx="603">
                  <c:v>-69794317887.068848</c:v>
                </c:pt>
                <c:pt idx="604">
                  <c:v>-69711790730.429413</c:v>
                </c:pt>
                <c:pt idx="605">
                  <c:v>-69569639501.475525</c:v>
                </c:pt>
                <c:pt idx="606">
                  <c:v>-69368110591.250595</c:v>
                </c:pt>
                <c:pt idx="607">
                  <c:v>-69107552571.919205</c:v>
                </c:pt>
                <c:pt idx="608">
                  <c:v>-68788414832.463501</c:v>
                </c:pt>
                <c:pt idx="609">
                  <c:v>-68411245827.733025</c:v>
                </c:pt>
                <c:pt idx="610">
                  <c:v>-67976690953.663383</c:v>
                </c:pt>
                <c:pt idx="611">
                  <c:v>-67485490064.100754</c:v>
                </c:pt>
                <c:pt idx="612">
                  <c:v>-66938474647.112091</c:v>
                </c:pt>
                <c:pt idx="613">
                  <c:v>-66336564680.897476</c:v>
                </c:pt>
                <c:pt idx="614">
                  <c:v>-65680765191.431351</c:v>
                </c:pt>
                <c:pt idx="615">
                  <c:v>-64972162535.723152</c:v>
                </c:pt>
                <c:pt idx="616">
                  <c:v>-64211920436.088692</c:v>
                </c:pt>
                <c:pt idx="617">
                  <c:v>-63401275792.057228</c:v>
                </c:pt>
                <c:pt idx="618">
                  <c:v>-62541534297.485748</c:v>
                </c:pt>
                <c:pt idx="619">
                  <c:v>-61634065891.128693</c:v>
                </c:pt>
                <c:pt idx="620">
                  <c:v>-60680300069.295883</c:v>
                </c:pt>
                <c:pt idx="621">
                  <c:v>-59681721089.353111</c:v>
                </c:pt>
                <c:pt idx="622">
                  <c:v>-58639863092.669228</c:v>
                </c:pt>
                <c:pt idx="623">
                  <c:v>-57556305175.212654</c:v>
                </c:pt>
                <c:pt idx="624">
                  <c:v>-56432666433.358337</c:v>
                </c:pt>
                <c:pt idx="625">
                  <c:v>-55270601011.613129</c:v>
                </c:pt>
                <c:pt idx="626">
                  <c:v>-54071793177.899689</c:v>
                </c:pt>
                <c:pt idx="627">
                  <c:v>-52837952450.806099</c:v>
                </c:pt>
                <c:pt idx="628">
                  <c:v>-51570808801.81369</c:v>
                </c:pt>
                <c:pt idx="629">
                  <c:v>-50272107953.982101</c:v>
                </c:pt>
                <c:pt idx="630">
                  <c:v>-48943606796.944473</c:v>
                </c:pt>
                <c:pt idx="631">
                  <c:v>-47587068936.332619</c:v>
                </c:pt>
                <c:pt idx="632">
                  <c:v>-46204260393.981514</c:v>
                </c:pt>
                <c:pt idx="633">
                  <c:v>-44796945473.428535</c:v>
                </c:pt>
                <c:pt idx="634">
                  <c:v>-43366882803.395729</c:v>
                </c:pt>
                <c:pt idx="635">
                  <c:v>-41915821570.09568</c:v>
                </c:pt>
                <c:pt idx="636">
                  <c:v>-40445497947.399132</c:v>
                </c:pt>
                <c:pt idx="637">
                  <c:v>-38957631732.115395</c:v>
                </c:pt>
                <c:pt idx="638">
                  <c:v>-37453923189.927979</c:v>
                </c:pt>
                <c:pt idx="639">
                  <c:v>-35936050115.864304</c:v>
                </c:pt>
                <c:pt idx="640">
                  <c:v>-34405665111.611366</c:v>
                </c:pt>
                <c:pt idx="641">
                  <c:v>-32864393080.506359</c:v>
                </c:pt>
                <c:pt idx="642">
                  <c:v>-31313828939.635624</c:v>
                </c:pt>
                <c:pt idx="643">
                  <c:v>-29755535547.204353</c:v>
                </c:pt>
                <c:pt idx="644">
                  <c:v>-28191041842.148426</c:v>
                </c:pt>
                <c:pt idx="645">
                  <c:v>-26621841191.905773</c:v>
                </c:pt>
                <c:pt idx="646">
                  <c:v>-25049389943.30098</c:v>
                </c:pt>
                <c:pt idx="647">
                  <c:v>-23475106170.651619</c:v>
                </c:pt>
                <c:pt idx="648">
                  <c:v>-21900368614.476845</c:v>
                </c:pt>
                <c:pt idx="649">
                  <c:v>-20326515803.547096</c:v>
                </c:pt>
                <c:pt idx="650">
                  <c:v>-18754845352.502621</c:v>
                </c:pt>
                <c:pt idx="651">
                  <c:v>-17186613426.823009</c:v>
                </c:pt>
                <c:pt idx="652">
                  <c:v>-15623034366.617355</c:v>
                </c:pt>
                <c:pt idx="653">
                  <c:v>-14065280460.438148</c:v>
                </c:pt>
                <c:pt idx="654">
                  <c:v>-12514481860.175119</c:v>
                </c:pt>
                <c:pt idx="655">
                  <c:v>-10971726627.989094</c:v>
                </c:pt>
                <c:pt idx="656">
                  <c:v>-9438060906.2284336</c:v>
                </c:pt>
                <c:pt idx="657">
                  <c:v>-7914489201.3235378</c:v>
                </c:pt>
                <c:pt idx="658">
                  <c:v>-6401974772.7455473</c:v>
                </c:pt>
                <c:pt idx="659">
                  <c:v>-4901440118.281126</c:v>
                </c:pt>
                <c:pt idx="660">
                  <c:v>-3413767547.0589871</c:v>
                </c:pt>
                <c:pt idx="661">
                  <c:v>-1939799832.0120301</c:v>
                </c:pt>
                <c:pt idx="662">
                  <c:v>-480340933.71509427</c:v>
                </c:pt>
                <c:pt idx="663">
                  <c:v>963843212.15785539</c:v>
                </c:pt>
                <c:pt idx="664">
                  <c:v>2392023851.2018514</c:v>
                </c:pt>
                <c:pt idx="665">
                  <c:v>3803508517.5804172</c:v>
                </c:pt>
                <c:pt idx="666">
                  <c:v>5197640099.0178108</c:v>
                </c:pt>
                <c:pt idx="667">
                  <c:v>6573795865.8901558</c:v>
                </c:pt>
                <c:pt idx="668">
                  <c:v>7931386470.4529161</c:v>
                </c:pt>
                <c:pt idx="669">
                  <c:v>9269854921.8889561</c:v>
                </c:pt>
                <c:pt idx="670">
                  <c:v>10588675542.486504</c:v>
                </c:pt>
                <c:pt idx="671">
                  <c:v>11887352909.908714</c:v>
                </c:pt>
                <c:pt idx="672">
                  <c:v>13165420790.150993</c:v>
                </c:pt>
                <c:pt idx="673">
                  <c:v>14422441065.447479</c:v>
                </c:pt>
                <c:pt idx="674">
                  <c:v>15658002661.041557</c:v>
                </c:pt>
                <c:pt idx="675">
                  <c:v>16871720474.414354</c:v>
                </c:pt>
                <c:pt idx="676">
                  <c:v>18063234310.254421</c:v>
                </c:pt>
                <c:pt idx="677">
                  <c:v>19232207824.138969</c:v>
                </c:pt>
                <c:pt idx="678">
                  <c:v>20378327477.624454</c:v>
                </c:pt>
                <c:pt idx="679">
                  <c:v>21501301507.156845</c:v>
                </c:pt>
                <c:pt idx="680">
                  <c:v>22600858908.963997</c:v>
                </c:pt>
                <c:pt idx="681">
                  <c:v>23676748441.837879</c:v>
                </c:pt>
                <c:pt idx="682">
                  <c:v>24728737649.493828</c:v>
                </c:pt>
                <c:pt idx="683">
                  <c:v>25756611903.970062</c:v>
                </c:pt>
                <c:pt idx="684">
                  <c:v>26760173471.33514</c:v>
                </c:pt>
                <c:pt idx="685">
                  <c:v>27739240600.783558</c:v>
                </c:pt>
                <c:pt idx="686">
                  <c:v>28693646638.022152</c:v>
                </c:pt>
                <c:pt idx="687">
                  <c:v>29623239163.697002</c:v>
                </c:pt>
                <c:pt idx="688">
                  <c:v>30527879157.457703</c:v>
                </c:pt>
                <c:pt idx="689">
                  <c:v>31407440188.126667</c:v>
                </c:pt>
                <c:pt idx="690">
                  <c:v>32261807630.312473</c:v>
                </c:pt>
                <c:pt idx="691">
                  <c:v>33090877907.705025</c:v>
                </c:pt>
                <c:pt idx="692">
                  <c:v>33894557763.179256</c:v>
                </c:pt>
                <c:pt idx="693">
                  <c:v>34672763555.754677</c:v>
                </c:pt>
                <c:pt idx="694">
                  <c:v>35425420584.369911</c:v>
                </c:pt>
                <c:pt idx="695">
                  <c:v>36152462438.368187</c:v>
                </c:pt>
                <c:pt idx="696">
                  <c:v>36853830374.521446</c:v>
                </c:pt>
                <c:pt idx="697">
                  <c:v>37529472720.371582</c:v>
                </c:pt>
                <c:pt idx="698">
                  <c:v>38179344303.619995</c:v>
                </c:pt>
                <c:pt idx="699">
                  <c:v>38803405907.254921</c:v>
                </c:pt>
                <c:pt idx="700">
                  <c:v>39401623750.079979</c:v>
                </c:pt>
                <c:pt idx="701">
                  <c:v>39973968992.272583</c:v>
                </c:pt>
                <c:pt idx="702">
                  <c:v>40520417265.589005</c:v>
                </c:pt>
                <c:pt idx="703">
                  <c:v>41040948227.810394</c:v>
                </c:pt>
                <c:pt idx="704">
                  <c:v>41535545141.019386</c:v>
                </c:pt>
                <c:pt idx="705">
                  <c:v>42004194473.286285</c:v>
                </c:pt>
                <c:pt idx="706">
                  <c:v>42446885523.344841</c:v>
                </c:pt>
                <c:pt idx="707">
                  <c:v>42863610067.839317</c:v>
                </c:pt>
                <c:pt idx="708">
                  <c:v>43254362030.727562</c:v>
                </c:pt>
                <c:pt idx="709">
                  <c:v>43619137174.436638</c:v>
                </c:pt>
                <c:pt idx="710">
                  <c:v>43957932812.375122</c:v>
                </c:pt>
                <c:pt idx="711">
                  <c:v>44270747542.42379</c:v>
                </c:pt>
                <c:pt idx="712">
                  <c:v>44557581001.038353</c:v>
                </c:pt>
                <c:pt idx="713">
                  <c:v>44818433637.620529</c:v>
                </c:pt>
                <c:pt idx="714">
                  <c:v>45053306508.829689</c:v>
                </c:pt>
                <c:pt idx="715">
                  <c:v>45262201092.531761</c:v>
                </c:pt>
                <c:pt idx="716">
                  <c:v>45445119121.10466</c:v>
                </c:pt>
                <c:pt idx="717">
                  <c:v>45602062433.842804</c:v>
                </c:pt>
                <c:pt idx="718">
                  <c:v>45733032848.230919</c:v>
                </c:pt>
                <c:pt idx="719">
                  <c:v>45838032049.882042</c:v>
                </c:pt>
                <c:pt idx="720">
                  <c:v>45917061500.963715</c:v>
                </c:pt>
                <c:pt idx="721">
                  <c:v>45970122366.963089</c:v>
                </c:pt>
                <c:pt idx="722">
                  <c:v>45997215461.67186</c:v>
                </c:pt>
                <c:pt idx="723">
                  <c:v>45998341210.299828</c:v>
                </c:pt>
                <c:pt idx="724">
                  <c:v>45973499630.65654</c:v>
                </c:pt>
                <c:pt idx="725">
                  <c:v>45922690332.369652</c:v>
                </c:pt>
                <c:pt idx="726">
                  <c:v>45845912534.13858</c:v>
                </c:pt>
                <c:pt idx="727">
                  <c:v>45743165099.052231</c:v>
                </c:pt>
                <c:pt idx="728">
                  <c:v>45614446588.029259</c:v>
                </c:pt>
                <c:pt idx="729">
                  <c:v>45459755331.468689</c:v>
                </c:pt>
                <c:pt idx="730">
                  <c:v>45279089519.228325</c:v>
                </c:pt>
                <c:pt idx="731">
                  <c:v>45072447309.076965</c:v>
                </c:pt>
                <c:pt idx="732">
                  <c:v>44839826953.794861</c:v>
                </c:pt>
                <c:pt idx="733">
                  <c:v>44581226947.124031</c:v>
                </c:pt>
                <c:pt idx="734">
                  <c:v>44296646188.79734</c:v>
                </c:pt>
                <c:pt idx="735">
                  <c:v>43986084168.900497</c:v>
                </c:pt>
                <c:pt idx="736">
                  <c:v>43649541171.845558</c:v>
                </c:pt>
                <c:pt idx="737">
                  <c:v>43287018500.259247</c:v>
                </c:pt>
                <c:pt idx="738">
                  <c:v>42898518719.108276</c:v>
                </c:pt>
                <c:pt idx="739">
                  <c:v>42484045920.408356</c:v>
                </c:pt>
                <c:pt idx="740">
                  <c:v>42043606008.877304</c:v>
                </c:pt>
                <c:pt idx="741">
                  <c:v>41577207008.912964</c:v>
                </c:pt>
                <c:pt idx="742">
                  <c:v>41084859393.287453</c:v>
                </c:pt>
                <c:pt idx="743">
                  <c:v>40566576433.963341</c:v>
                </c:pt>
                <c:pt idx="744">
                  <c:v>40022374575.444298</c:v>
                </c:pt>
                <c:pt idx="745">
                  <c:v>39452273831.078217</c:v>
                </c:pt>
                <c:pt idx="746">
                  <c:v>38856298202.735306</c:v>
                </c:pt>
                <c:pt idx="747">
                  <c:v>38234476124.278275</c:v>
                </c:pt>
                <c:pt idx="748">
                  <c:v>37586840929.240425</c:v>
                </c:pt>
                <c:pt idx="749">
                  <c:v>36913431343.11348</c:v>
                </c:pt>
                <c:pt idx="750">
                  <c:v>36214292000.635208</c:v>
                </c:pt>
                <c:pt idx="751">
                  <c:v>35489473988.444649</c:v>
                </c:pt>
                <c:pt idx="752">
                  <c:v>34739035413.448845</c:v>
                </c:pt>
                <c:pt idx="753">
                  <c:v>33963041997.212173</c:v>
                </c:pt>
                <c:pt idx="754">
                  <c:v>33161567696.639637</c:v>
                </c:pt>
                <c:pt idx="755">
                  <c:v>32334695351.184391</c:v>
                </c:pt>
                <c:pt idx="756">
                  <c:v>31482517356.750401</c:v>
                </c:pt>
                <c:pt idx="757">
                  <c:v>30605136366.406994</c:v>
                </c:pt>
                <c:pt idx="758">
                  <c:v>29702666017.955318</c:v>
                </c:pt>
                <c:pt idx="759">
                  <c:v>28775231688.314739</c:v>
                </c:pt>
                <c:pt idx="760">
                  <c:v>27822971274.601509</c:v>
                </c:pt>
                <c:pt idx="761">
                  <c:v>26846036001.680134</c:v>
                </c:pt>
                <c:pt idx="762">
                  <c:v>25844591255.851593</c:v>
                </c:pt>
                <c:pt idx="763">
                  <c:v>24818817444.225376</c:v>
                </c:pt>
                <c:pt idx="764">
                  <c:v>23768910879.189339</c:v>
                </c:pt>
                <c:pt idx="765">
                  <c:v>22695084687.241207</c:v>
                </c:pt>
                <c:pt idx="766">
                  <c:v>21597569741.294231</c:v>
                </c:pt>
                <c:pt idx="767">
                  <c:v>20476615615.389153</c:v>
                </c:pt>
                <c:pt idx="768">
                  <c:v>19332491560.567879</c:v>
                </c:pt>
                <c:pt idx="769">
                  <c:v>18165487500.455215</c:v>
                </c:pt>
                <c:pt idx="770">
                  <c:v>16975915044.889103</c:v>
                </c:pt>
                <c:pt idx="771">
                  <c:v>15764108519.705862</c:v>
                </c:pt>
                <c:pt idx="772">
                  <c:v>14530426010.54318</c:v>
                </c:pt>
                <c:pt idx="773">
                  <c:v>13275250418.272425</c:v>
                </c:pt>
                <c:pt idx="774">
                  <c:v>11998990523.386721</c:v>
                </c:pt>
                <c:pt idx="775">
                  <c:v>10702082056.401299</c:v>
                </c:pt>
                <c:pt idx="776">
                  <c:v>9384988771.0055199</c:v>
                </c:pt>
                <c:pt idx="777">
                  <c:v>8048203516.4078131</c:v>
                </c:pt>
                <c:pt idx="778">
                  <c:v>6692249304.977458</c:v>
                </c:pt>
                <c:pt idx="779">
                  <c:v>5317680370.9613562</c:v>
                </c:pt>
                <c:pt idx="780">
                  <c:v>3925083215.7024364</c:v>
                </c:pt>
                <c:pt idx="781">
                  <c:v>2515077634.4329391</c:v>
                </c:pt>
                <c:pt idx="782">
                  <c:v>1088317719.3632729</c:v>
                </c:pt>
                <c:pt idx="783">
                  <c:v>-354507166.58620209</c:v>
                </c:pt>
                <c:pt idx="784">
                  <c:v>-1812671451.4150491</c:v>
                </c:pt>
                <c:pt idx="785">
                  <c:v>-3285412457.4135709</c:v>
                </c:pt>
                <c:pt idx="786">
                  <c:v>-4771929552.9970045</c:v>
                </c:pt>
                <c:pt idx="787">
                  <c:v>-6271383360.0908308</c:v>
                </c:pt>
                <c:pt idx="788">
                  <c:v>-7782895024.4709311</c:v>
                </c:pt>
                <c:pt idx="789">
                  <c:v>-9305545556.8008194</c:v>
                </c:pt>
                <c:pt idx="790">
                  <c:v>-10838375252.389776</c:v>
                </c:pt>
                <c:pt idx="791">
                  <c:v>-12380383197.974535</c:v>
                </c:pt>
                <c:pt idx="792">
                  <c:v>-13930526874.065523</c:v>
                </c:pt>
                <c:pt idx="793">
                  <c:v>-15487721861.591583</c:v>
                </c:pt>
                <c:pt idx="794">
                  <c:v>-17050841661.745913</c:v>
                </c:pt>
                <c:pt idx="795">
                  <c:v>-18618717638.029461</c:v>
                </c:pt>
                <c:pt idx="796">
                  <c:v>-20190139089.552292</c:v>
                </c:pt>
                <c:pt idx="797">
                  <c:v>-21763853464.628216</c:v>
                </c:pt>
                <c:pt idx="798">
                  <c:v>-23338566723.628811</c:v>
                </c:pt>
                <c:pt idx="799">
                  <c:v>-24912943859.899185</c:v>
                </c:pt>
                <c:pt idx="800">
                  <c:v>-26485609587.299355</c:v>
                </c:pt>
                <c:pt idx="801">
                  <c:v>-28055149202.617245</c:v>
                </c:pt>
                <c:pt idx="802">
                  <c:v>-29620109630.667637</c:v>
                </c:pt>
                <c:pt idx="803">
                  <c:v>-31179000659.388027</c:v>
                </c:pt>
                <c:pt idx="804">
                  <c:v>-32730296371.608219</c:v>
                </c:pt>
                <c:pt idx="805">
                  <c:v>-34272436779.457729</c:v>
                </c:pt>
                <c:pt idx="806">
                  <c:v>-35803829666.526009</c:v>
                </c:pt>
                <c:pt idx="807">
                  <c:v>-37322852641.957581</c:v>
                </c:pt>
                <c:pt idx="808">
                  <c:v>-38827855409.595184</c:v>
                </c:pt>
                <c:pt idx="809">
                  <c:v>-40317162254.124054</c:v>
                </c:pt>
                <c:pt idx="810">
                  <c:v>-41789074744.895973</c:v>
                </c:pt>
                <c:pt idx="811">
                  <c:v>-43241874656.724442</c:v>
                </c:pt>
                <c:pt idx="812">
                  <c:v>-44673827105.482491</c:v>
                </c:pt>
                <c:pt idx="813">
                  <c:v>-46083183894.748482</c:v>
                </c:pt>
                <c:pt idx="814">
                  <c:v>-47468187068.120125</c:v>
                </c:pt>
                <c:pt idx="815">
                  <c:v>-48827072660.080963</c:v>
                </c:pt>
                <c:pt idx="816">
                  <c:v>-50158074636.552742</c:v>
                </c:pt>
                <c:pt idx="817">
                  <c:v>-51459429014.437126</c:v>
                </c:pt>
                <c:pt idx="818">
                  <c:v>-52729378147.630455</c:v>
                </c:pt>
                <c:pt idx="819">
                  <c:v>-53966175165.143761</c:v>
                </c:pt>
                <c:pt idx="820">
                  <c:v>-55168088545.146744</c:v>
                </c:pt>
                <c:pt idx="821">
                  <c:v>-56333406806.95797</c:v>
                </c:pt>
                <c:pt idx="822">
                  <c:v>-57460443301.282112</c:v>
                </c:pt>
                <c:pt idx="823">
                  <c:v>-58547541077.349579</c:v>
                </c:pt>
                <c:pt idx="824">
                  <c:v>-59593077804.073311</c:v>
                </c:pt>
                <c:pt idx="825">
                  <c:v>-60595470720.934364</c:v>
                </c:pt>
                <c:pt idx="826">
                  <c:v>-61553181593.050011</c:v>
                </c:pt>
                <c:pt idx="827">
                  <c:v>-62464721643.808662</c:v>
                </c:pt>
                <c:pt idx="828">
                  <c:v>-63328656437.569923</c:v>
                </c:pt>
                <c:pt idx="829">
                  <c:v>-64143610684.277824</c:v>
                </c:pt>
                <c:pt idx="830">
                  <c:v>-64908272937.404457</c:v>
                </c:pt>
                <c:pt idx="831">
                  <c:v>-65621400156.475876</c:v>
                </c:pt>
                <c:pt idx="832">
                  <c:v>-66281822105.523834</c:v>
                </c:pt>
                <c:pt idx="833">
                  <c:v>-66888445559.171455</c:v>
                </c:pt>
                <c:pt idx="834">
                  <c:v>-67440258288.712051</c:v>
                </c:pt>
                <c:pt idx="835">
                  <c:v>-67936332801.461159</c:v>
                </c:pt>
                <c:pt idx="836">
                  <c:v>-68375829807.875977</c:v>
                </c:pt>
                <c:pt idx="837">
                  <c:v>-68758001392.406937</c:v>
                </c:pt>
                <c:pt idx="838">
                  <c:v>-69082193865.795074</c:v>
                </c:pt>
                <c:pt idx="839">
                  <c:v>-69347850278.513092</c:v>
                </c:pt>
                <c:pt idx="840">
                  <c:v>-69554512577.268845</c:v>
                </c:pt>
                <c:pt idx="841">
                  <c:v>-69701823388.914993</c:v>
                </c:pt>
                <c:pt idx="842">
                  <c:v>-69789527418.715057</c:v>
                </c:pt>
                <c:pt idx="843">
                  <c:v>-69817472452.676208</c:v>
                </c:pt>
                <c:pt idx="844">
                  <c:v>-69785609956.539139</c:v>
                </c:pt>
                <c:pt idx="845">
                  <c:v>-69693995266.984421</c:v>
                </c:pt>
                <c:pt idx="846">
                  <c:v>-69542787373.635681</c:v>
                </c:pt>
                <c:pt idx="847">
                  <c:v>-69332248293.477554</c:v>
                </c:pt>
                <c:pt idx="848">
                  <c:v>-69062742042.32695</c:v>
                </c:pt>
                <c:pt idx="849">
                  <c:v>-68734733210.957016</c:v>
                </c:pt>
                <c:pt idx="850">
                  <c:v>-68348785156.350365</c:v>
                </c:pt>
                <c:pt idx="851">
                  <c:v>-67905557821.305794</c:v>
                </c:pt>
                <c:pt idx="852">
                  <c:v>-67405805198.219429</c:v>
                </c:pt>
                <c:pt idx="853">
                  <c:v>-66850372455.275101</c:v>
                </c:pt>
                <c:pt idx="854">
                  <c:v>-66240192745.480415</c:v>
                </c:pt>
                <c:pt idx="855">
                  <c:v>-65576283720.961693</c:v>
                </c:pt>
                <c:pt idx="856">
                  <c:v>-64859743776.651718</c:v>
                </c:pt>
                <c:pt idx="857">
                  <c:v>-64091748048.970169</c:v>
                </c:pt>
                <c:pt idx="858">
                  <c:v>-63273544196.280106</c:v>
                </c:pt>
                <c:pt idx="859">
                  <c:v>-62406447988.816833</c:v>
                </c:pt>
                <c:pt idx="860">
                  <c:v>-61491838736.411827</c:v>
                </c:pt>
                <c:pt idx="861">
                  <c:v>-60531154582.679596</c:v>
                </c:pt>
                <c:pt idx="862">
                  <c:v>-59525887694.419739</c:v>
                </c:pt>
                <c:pt idx="863">
                  <c:v>-58477579374.787643</c:v>
                </c:pt>
                <c:pt idx="864">
                  <c:v>-57387815128.358795</c:v>
                </c:pt>
                <c:pt idx="865">
                  <c:v>-56258219705.528458</c:v>
                </c:pt>
                <c:pt idx="866">
                  <c:v>-55090452152.806313</c:v>
                </c:pt>
                <c:pt idx="867">
                  <c:v>-53886200894.467957</c:v>
                </c:pt>
                <c:pt idx="868">
                  <c:v>-52647178869.769798</c:v>
                </c:pt>
                <c:pt idx="869">
                  <c:v>-51375118748.512199</c:v>
                </c:pt>
                <c:pt idx="870">
                  <c:v>-50071768246.189713</c:v>
                </c:pt>
                <c:pt idx="871">
                  <c:v>-48738885558.322876</c:v>
                </c:pt>
                <c:pt idx="872">
                  <c:v>-47378234931.825073</c:v>
                </c:pt>
                <c:pt idx="873">
                  <c:v>-45991582389.475258</c:v>
                </c:pt>
                <c:pt idx="874">
                  <c:v>-44580691621.736671</c:v>
                </c:pt>
                <c:pt idx="875">
                  <c:v>-43147320058.326775</c:v>
                </c:pt>
                <c:pt idx="876">
                  <c:v>-41693215130.102264</c:v>
                </c:pt>
                <c:pt idx="877">
                  <c:v>-40220110730.022636</c:v>
                </c:pt>
                <c:pt idx="878">
                  <c:v>-38729723880.181969</c:v>
                </c:pt>
                <c:pt idx="879">
                  <c:v>-37223751610.186951</c:v>
                </c:pt>
                <c:pt idx="880">
                  <c:v>-35703868050.524857</c:v>
                </c:pt>
                <c:pt idx="881">
                  <c:v>-34171721742.993801</c:v>
                </c:pt>
                <c:pt idx="882">
                  <c:v>-32628933168.810394</c:v>
                </c:pt>
                <c:pt idx="883">
                  <c:v>-31077092493.625175</c:v>
                </c:pt>
                <c:pt idx="884">
                  <c:v>-29517757527.422768</c:v>
                </c:pt>
                <c:pt idx="885">
                  <c:v>-27952451896.106136</c:v>
                </c:pt>
                <c:pt idx="886">
                  <c:v>-26382663420.533489</c:v>
                </c:pt>
                <c:pt idx="887">
                  <c:v>-24809842697.822693</c:v>
                </c:pt>
                <c:pt idx="888">
                  <c:v>-23235401878.914066</c:v>
                </c:pt>
                <c:pt idx="889">
                  <c:v>-21660713635.669231</c:v>
                </c:pt>
                <c:pt idx="890">
                  <c:v>-20087110310.158382</c:v>
                </c:pt>
                <c:pt idx="891">
                  <c:v>-18515883238.291176</c:v>
                </c:pt>
                <c:pt idx="892">
                  <c:v>-16948282239.51993</c:v>
                </c:pt>
                <c:pt idx="893">
                  <c:v>-15385515264.037455</c:v>
                </c:pt>
                <c:pt idx="894">
                  <c:v>-13828748188.64592</c:v>
                </c:pt>
                <c:pt idx="895">
                  <c:v>-12279104752.333618</c:v>
                </c:pt>
                <c:pt idx="896">
                  <c:v>-10737666622.512671</c:v>
                </c:pt>
                <c:pt idx="897">
                  <c:v>-9205473582.8644772</c:v>
                </c:pt>
                <c:pt idx="898">
                  <c:v>-7683523833.797431</c:v>
                </c:pt>
                <c:pt idx="899">
                  <c:v>-6172774396.6272421</c:v>
                </c:pt>
                <c:pt idx="900">
                  <c:v>-4674141612.7559757</c:v>
                </c:pt>
                <c:pt idx="901">
                  <c:v>-3188501729.3201551</c:v>
                </c:pt>
                <c:pt idx="902">
                  <c:v>-1716691563.0306356</c:v>
                </c:pt>
                <c:pt idx="903">
                  <c:v>-259509234.18649173</c:v>
                </c:pt>
                <c:pt idx="904">
                  <c:v>1182285036.8446484</c:v>
                </c:pt>
                <c:pt idx="905">
                  <c:v>2607968078.0745378</c:v>
                </c:pt>
                <c:pt idx="906">
                  <c:v>4016852866.3283091</c:v>
                </c:pt>
                <c:pt idx="907">
                  <c:v>5408287586.366437</c:v>
                </c:pt>
                <c:pt idx="908">
                  <c:v>6781654655.0501108</c:v>
                </c:pt>
                <c:pt idx="909">
                  <c:v>8136369716.5296535</c:v>
                </c:pt>
                <c:pt idx="910">
                  <c:v>9471880614.0878315</c:v>
                </c:pt>
                <c:pt idx="911">
                  <c:v>10787666343.88862</c:v>
                </c:pt>
                <c:pt idx="912">
                  <c:v>12083235995.541668</c:v>
                </c:pt>
                <c:pt idx="913">
                  <c:v>13358127684.024254</c:v>
                </c:pt>
                <c:pt idx="914">
                  <c:v>14611907477.170439</c:v>
                </c:pt>
                <c:pt idx="915">
                  <c:v>15844168322.591759</c:v>
                </c:pt>
                <c:pt idx="916">
                  <c:v>17054528977.575808</c:v>
                </c:pt>
                <c:pt idx="917">
                  <c:v>18242632945.196739</c:v>
                </c:pt>
                <c:pt idx="918">
                  <c:v>19408147419.56673</c:v>
                </c:pt>
                <c:pt idx="919">
                  <c:v>20550762242.880997</c:v>
                </c:pt>
                <c:pt idx="920">
                  <c:v>21670188876.627476</c:v>
                </c:pt>
                <c:pt idx="921">
                  <c:v>22766159389.085331</c:v>
                </c:pt>
                <c:pt idx="922">
                  <c:v>23838425460.983074</c:v>
                </c:pt>
                <c:pt idx="923">
                  <c:v>24886757410.972092</c:v>
                </c:pt>
                <c:pt idx="924">
                  <c:v>25910943242.344326</c:v>
                </c:pt>
                <c:pt idx="925">
                  <c:v>26910787712.234501</c:v>
                </c:pt>
                <c:pt idx="926">
                  <c:v>27886111424.359127</c:v>
                </c:pt>
                <c:pt idx="927">
                  <c:v>28836749946.169762</c:v>
                </c:pt>
                <c:pt idx="928">
                  <c:v>29762552951.14772</c:v>
                </c:pt>
                <c:pt idx="929">
                  <c:v>30663383386.814297</c:v>
                </c:pt>
                <c:pt idx="930">
                  <c:v>31539116668.906384</c:v>
                </c:pt>
                <c:pt idx="931">
                  <c:v>32389639902.038986</c:v>
                </c:pt>
                <c:pt idx="932">
                  <c:v>33214851127.074631</c:v>
                </c:pt>
                <c:pt idx="933">
                  <c:v>34014658595.314831</c:v>
                </c:pt>
                <c:pt idx="934">
                  <c:v>34788980069.54406</c:v>
                </c:pt>
                <c:pt idx="935">
                  <c:v>35537742151.880814</c:v>
                </c:pt>
                <c:pt idx="936">
                  <c:v>36260879638.313087</c:v>
                </c:pt>
                <c:pt idx="937">
                  <c:v>36958334899.745384</c:v>
                </c:pt>
                <c:pt idx="938">
                  <c:v>37630057289.322403</c:v>
                </c:pt>
                <c:pt idx="939">
                  <c:v>38276002575.757805</c:v>
                </c:pt>
                <c:pt idx="940">
                  <c:v>38896132402.350159</c:v>
                </c:pt>
                <c:pt idx="941">
                  <c:v>39490413771.345779</c:v>
                </c:pt>
                <c:pt idx="942">
                  <c:v>40058818553.274185</c:v>
                </c:pt>
                <c:pt idx="943">
                  <c:v>40601323020.869492</c:v>
                </c:pt>
                <c:pt idx="944">
                  <c:v>41117907407.170403</c:v>
                </c:pt>
                <c:pt idx="945">
                  <c:v>41608555487.387436</c:v>
                </c:pt>
                <c:pt idx="946">
                  <c:v>42073254184.115631</c:v>
                </c:pt>
                <c:pt idx="947">
                  <c:v>42511993195.472633</c:v>
                </c:pt>
                <c:pt idx="948">
                  <c:v>42924764645.745331</c:v>
                </c:pt>
                <c:pt idx="949">
                  <c:v>43311562758.129524</c:v>
                </c:pt>
                <c:pt idx="950">
                  <c:v>43672383549.161606</c:v>
                </c:pt>
                <c:pt idx="951">
                  <c:v>44007224544.448219</c:v>
                </c:pt>
                <c:pt idx="952">
                  <c:v>44316084515.317543</c:v>
                </c:pt>
                <c:pt idx="953">
                  <c:v>44598963236.029053</c:v>
                </c:pt>
                <c:pt idx="954">
                  <c:v>44855861261.200279</c:v>
                </c:pt>
                <c:pt idx="955">
                  <c:v>45086779723.126701</c:v>
                </c:pt>
                <c:pt idx="956">
                  <c:v>45291720148.694519</c:v>
                </c:pt>
                <c:pt idx="957">
                  <c:v>45470684295.609207</c:v>
                </c:pt>
                <c:pt idx="958">
                  <c:v>45623674007.686523</c:v>
                </c:pt>
                <c:pt idx="959">
                  <c:v>45750691088.979668</c:v>
                </c:pt>
                <c:pt idx="960">
                  <c:v>45851737196.542358</c:v>
                </c:pt>
                <c:pt idx="961">
                  <c:v>45926813751.655312</c:v>
                </c:pt>
                <c:pt idx="962">
                  <c:v>45975921869.371666</c:v>
                </c:pt>
                <c:pt idx="963">
                  <c:v>45999062306.266495</c:v>
                </c:pt>
                <c:pt idx="964">
                  <c:v>45996235426.303917</c:v>
                </c:pt>
                <c:pt idx="965">
                  <c:v>45967441184.765388</c:v>
                </c:pt>
                <c:pt idx="966">
                  <c:v>45912679130.212608</c:v>
                </c:pt>
                <c:pt idx="967">
                  <c:v>45831948424.488419</c:v>
                </c:pt>
                <c:pt idx="968">
                  <c:v>45725247880.788338</c:v>
                </c:pt>
                <c:pt idx="969">
                  <c:v>45592576019.866501</c:v>
                </c:pt>
                <c:pt idx="970">
                  <c:v>45433931144.467606</c:v>
                </c:pt>
                <c:pt idx="971">
                  <c:v>45249311432.107407</c:v>
                </c:pt>
                <c:pt idx="972">
                  <c:v>45038715046.351295</c:v>
                </c:pt>
                <c:pt idx="973">
                  <c:v>44802140266.770531</c:v>
                </c:pt>
                <c:pt idx="974">
                  <c:v>44539585637.781097</c:v>
                </c:pt>
                <c:pt idx="975">
                  <c:v>44251050136.598572</c:v>
                </c:pt>
                <c:pt idx="976">
                  <c:v>43936533360.56678</c:v>
                </c:pt>
                <c:pt idx="977">
                  <c:v>43596035734.142464</c:v>
                </c:pt>
                <c:pt idx="978">
                  <c:v>43229558735.842636</c:v>
                </c:pt>
                <c:pt idx="979">
                  <c:v>42837105145.480377</c:v>
                </c:pt>
                <c:pt idx="980">
                  <c:v>42418679312.038063</c:v>
                </c:pt>
                <c:pt idx="981">
                  <c:v>41974287442.541489</c:v>
                </c:pt>
                <c:pt idx="982">
                  <c:v>41503937912.317886</c:v>
                </c:pt>
                <c:pt idx="983">
                  <c:v>41007641597.030937</c:v>
                </c:pt>
                <c:pt idx="984">
                  <c:v>40485412226.900429</c:v>
                </c:pt>
                <c:pt idx="985">
                  <c:v>39937266763.519348</c:v>
                </c:pt>
                <c:pt idx="986">
                  <c:v>39363225799.687927</c:v>
                </c:pt>
                <c:pt idx="987">
                  <c:v>38763313982.68644</c:v>
                </c:pt>
                <c:pt idx="988">
                  <c:v>38137560461.403481</c:v>
                </c:pt>
                <c:pt idx="989">
                  <c:v>37485999357.734642</c:v>
                </c:pt>
                <c:pt idx="990">
                  <c:v>36808670262.650543</c:v>
                </c:pt>
                <c:pt idx="991">
                  <c:v>36105618757.323181</c:v>
                </c:pt>
                <c:pt idx="992">
                  <c:v>35376896959.673058</c:v>
                </c:pt>
                <c:pt idx="993">
                  <c:v>34622564096.677834</c:v>
                </c:pt>
                <c:pt idx="994">
                  <c:v>33842687102.747528</c:v>
                </c:pt>
                <c:pt idx="995">
                  <c:v>33037341244.431515</c:v>
                </c:pt>
                <c:pt idx="996">
                  <c:v>32206610771.680286</c:v>
                </c:pt>
                <c:pt idx="997">
                  <c:v>31350589595.822712</c:v>
                </c:pt>
                <c:pt idx="998">
                  <c:v>30469381994.367619</c:v>
                </c:pt>
                <c:pt idx="999">
                  <c:v>29563103342.65667</c:v>
                </c:pt>
                <c:pt idx="1000">
                  <c:v>28631880872.324402</c:v>
                </c:pt>
              </c:numCache>
            </c:numRef>
          </c:xVal>
          <c:yVal>
            <c:numRef>
              <c:f>Data!$K$13:$K$1013</c:f>
              <c:numCache>
                <c:formatCode>0.00E+00</c:formatCode>
                <c:ptCount val="1001"/>
                <c:pt idx="0">
                  <c:v>0</c:v>
                </c:pt>
                <c:pt idx="1">
                  <c:v>1199999011.691004</c:v>
                </c:pt>
                <c:pt idx="2">
                  <c:v>2399599107.1351733</c:v>
                </c:pt>
                <c:pt idx="3">
                  <c:v>3598400989.031198</c:v>
                </c:pt>
                <c:pt idx="4">
                  <c:v>4796004598.2170477</c:v>
                </c:pt>
                <c:pt idx="5">
                  <c:v>5992008733.3630724</c:v>
                </c:pt>
                <c:pt idx="6">
                  <c:v>7186010671.4213638</c:v>
                </c:pt>
                <c:pt idx="7">
                  <c:v>8377605789.0969582</c:v>
                </c:pt>
                <c:pt idx="8">
                  <c:v>9566387185.6180916</c:v>
                </c:pt>
                <c:pt idx="9">
                  <c:v>10751945307.097237</c:v>
                </c:pt>
                <c:pt idx="10">
                  <c:v>11933867572.792257</c:v>
                </c:pt>
                <c:pt idx="11">
                  <c:v>13111738003.597282</c:v>
                </c:pt>
                <c:pt idx="12">
                  <c:v>14285136853.116795</c:v>
                </c:pt>
                <c:pt idx="13">
                  <c:v>15453640241.702604</c:v>
                </c:pt>
                <c:pt idx="14">
                  <c:v>16616819793.863321</c:v>
                </c:pt>
                <c:pt idx="15">
                  <c:v>17774242279.488644</c:v>
                </c:pt>
                <c:pt idx="16">
                  <c:v>18925469259.366669</c:v>
                </c:pt>
                <c:pt idx="17">
                  <c:v>20070056735.511719</c:v>
                </c:pt>
                <c:pt idx="18">
                  <c:v>21207554806.862419</c:v>
                </c:pt>
                <c:pt idx="19">
                  <c:v>22337507330.95554</c:v>
                </c:pt>
                <c:pt idx="20">
                  <c:v>23459451592.229919</c:v>
                </c:pt>
                <c:pt idx="21">
                  <c:v>24572917977.667187</c:v>
                </c:pt>
                <c:pt idx="22">
                  <c:v>25677429660.531502</c:v>
                </c:pt>
                <c:pt idx="23">
                  <c:v>26772502293.029266</c:v>
                </c:pt>
                <c:pt idx="24">
                  <c:v>27857643708.772293</c:v>
                </c:pt>
                <c:pt idx="25">
                  <c:v>28932353635.993164</c:v>
                </c:pt>
                <c:pt idx="26">
                  <c:v>29996123422.530174</c:v>
                </c:pt>
                <c:pt idx="27">
                  <c:v>31048435773.671482</c:v>
                </c:pt>
                <c:pt idx="28">
                  <c:v>32088764504.022644</c:v>
                </c:pt>
                <c:pt idx="29">
                  <c:v>33116574304.640224</c:v>
                </c:pt>
                <c:pt idx="30">
                  <c:v>34131320526.754452</c:v>
                </c:pt>
                <c:pt idx="31">
                  <c:v>35132448983.487625</c:v>
                </c:pt>
                <c:pt idx="32">
                  <c:v>36119395771.061035</c:v>
                </c:pt>
                <c:pt idx="33">
                  <c:v>37091587111.07106</c:v>
                </c:pt>
                <c:pt idx="34">
                  <c:v>38048439215.505013</c:v>
                </c:pt>
                <c:pt idx="35">
                  <c:v>38989358176.259506</c:v>
                </c:pt>
                <c:pt idx="36">
                  <c:v>39913739881.0158</c:v>
                </c:pt>
                <c:pt idx="37">
                  <c:v>40820969957.421082</c:v>
                </c:pt>
                <c:pt idx="38">
                  <c:v>41710423747.617226</c:v>
                </c:pt>
                <c:pt idx="39">
                  <c:v>42581466315.252472</c:v>
                </c:pt>
                <c:pt idx="40">
                  <c:v>43433452487.202766</c:v>
                </c:pt>
                <c:pt idx="41">
                  <c:v>44265726932.320107</c:v>
                </c:pt>
                <c:pt idx="42">
                  <c:v>45077624279.612663</c:v>
                </c:pt>
                <c:pt idx="43">
                  <c:v>45868469278.344666</c:v>
                </c:pt>
                <c:pt idx="44">
                  <c:v>46637577002.624184</c:v>
                </c:pt>
                <c:pt idx="45">
                  <c:v>47384253103.119507</c:v>
                </c:pt>
                <c:pt idx="46">
                  <c:v>48107794108.61187</c:v>
                </c:pt>
                <c:pt idx="47">
                  <c:v>48807487780.150284</c:v>
                </c:pt>
                <c:pt idx="48">
                  <c:v>49482613520.622894</c:v>
                </c:pt>
                <c:pt idx="49">
                  <c:v>50132442842.596664</c:v>
                </c:pt>
                <c:pt idx="50">
                  <c:v>50756239897.301758</c:v>
                </c:pt>
                <c:pt idx="51">
                  <c:v>51353262067.647049</c:v>
                </c:pt>
                <c:pt idx="52">
                  <c:v>51922760628.147179</c:v>
                </c:pt>
                <c:pt idx="53">
                  <c:v>52463981474.616447</c:v>
                </c:pt>
                <c:pt idx="54">
                  <c:v>52976165926.440941</c:v>
                </c:pt>
                <c:pt idx="55">
                  <c:v>53458551604.172325</c:v>
                </c:pt>
                <c:pt idx="56">
                  <c:v>53910373385.095985</c:v>
                </c:pt>
                <c:pt idx="57">
                  <c:v>54330864439.307632</c:v>
                </c:pt>
                <c:pt idx="58">
                  <c:v>54719257348.685616</c:v>
                </c:pt>
                <c:pt idx="59">
                  <c:v>55074785310.968491</c:v>
                </c:pt>
                <c:pt idx="60">
                  <c:v>55396683430.935905</c:v>
                </c:pt>
                <c:pt idx="61">
                  <c:v>55684190100.444557</c:v>
                </c:pt>
                <c:pt idx="62">
                  <c:v>55936548468.786827</c:v>
                </c:pt>
                <c:pt idx="63">
                  <c:v>56153008004.516769</c:v>
                </c:pt>
                <c:pt idx="64">
                  <c:v>56332826149.52327</c:v>
                </c:pt>
                <c:pt idx="65">
                  <c:v>56475270065.723221</c:v>
                </c:pt>
                <c:pt idx="66">
                  <c:v>56579618474.296387</c:v>
                </c:pt>
                <c:pt idx="67">
                  <c:v>56645163586.886902</c:v>
                </c:pt>
                <c:pt idx="68">
                  <c:v>56671213127.654816</c:v>
                </c:pt>
                <c:pt idx="69">
                  <c:v>56657092444.472046</c:v>
                </c:pt>
                <c:pt idx="70">
                  <c:v>56602146706.923698</c:v>
                </c:pt>
                <c:pt idx="71">
                  <c:v>56505743188.096146</c:v>
                </c:pt>
                <c:pt idx="72">
                  <c:v>56367273626.410057</c:v>
                </c:pt>
                <c:pt idx="73">
                  <c:v>56186156662.991814</c:v>
                </c:pt>
                <c:pt idx="74">
                  <c:v>55961840349.27256</c:v>
                </c:pt>
                <c:pt idx="75">
                  <c:v>55693804718.664024</c:v>
                </c:pt>
                <c:pt idx="76">
                  <c:v>55381564415.289009</c:v>
                </c:pt>
                <c:pt idx="77">
                  <c:v>55024671371.846397</c:v>
                </c:pt>
                <c:pt idx="78">
                  <c:v>54622717527.772354</c:v>
                </c:pt>
                <c:pt idx="79">
                  <c:v>54175337577.92746</c:v>
                </c:pt>
                <c:pt idx="80">
                  <c:v>53682211741.101616</c:v>
                </c:pt>
                <c:pt idx="81">
                  <c:v>53143068536.694687</c:v>
                </c:pt>
                <c:pt idx="82">
                  <c:v>52557687557.007858</c:v>
                </c:pt>
                <c:pt idx="83">
                  <c:v>51925902221.682953</c:v>
                </c:pt>
                <c:pt idx="84">
                  <c:v>51247602499.961365</c:v>
                </c:pt>
                <c:pt idx="85">
                  <c:v>50522737585.617546</c:v>
                </c:pt>
                <c:pt idx="86">
                  <c:v>49751318508.662071</c:v>
                </c:pt>
                <c:pt idx="87">
                  <c:v>48933420667.223541</c:v>
                </c:pt>
                <c:pt idx="88">
                  <c:v>48069186262.417633</c:v>
                </c:pt>
                <c:pt idx="89">
                  <c:v>47158826618.510025</c:v>
                </c:pt>
                <c:pt idx="90">
                  <c:v>46202624370.292412</c:v>
                </c:pt>
                <c:pt idx="91">
                  <c:v>45200935499.328781</c:v>
                </c:pt>
                <c:pt idx="92">
                  <c:v>44154191200.607475</c:v>
                </c:pt>
                <c:pt idx="93">
                  <c:v>43062899561.164711</c:v>
                </c:pt>
                <c:pt idx="94">
                  <c:v>41927647032.437302</c:v>
                </c:pt>
                <c:pt idx="95">
                  <c:v>40749099678.469978</c:v>
                </c:pt>
                <c:pt idx="96">
                  <c:v>39528004182.64888</c:v>
                </c:pt>
                <c:pt idx="97">
                  <c:v>38265188596.369896</c:v>
                </c:pt>
                <c:pt idx="98">
                  <c:v>36961562813.979309</c:v>
                </c:pt>
                <c:pt idx="99">
                  <c:v>35618118759.447487</c:v>
                </c:pt>
                <c:pt idx="100">
                  <c:v>34235930271.557274</c:v>
                </c:pt>
                <c:pt idx="101">
                  <c:v>32816152675.897678</c:v>
                </c:pt>
                <c:pt idx="102">
                  <c:v>31360022033.652637</c:v>
                </c:pt>
                <c:pt idx="103">
                  <c:v>29868854059.048084</c:v>
                </c:pt>
                <c:pt idx="104">
                  <c:v>28344042699.361008</c:v>
                </c:pt>
                <c:pt idx="105">
                  <c:v>26787058373.584957</c:v>
                </c:pt>
                <c:pt idx="106">
                  <c:v>25199445868.16906</c:v>
                </c:pt>
                <c:pt idx="107">
                  <c:v>23582821890.683399</c:v>
                </c:pt>
                <c:pt idx="108">
                  <c:v>21938872284.785805</c:v>
                </c:pt>
                <c:pt idx="109">
                  <c:v>20269348912.452599</c:v>
                </c:pt>
                <c:pt idx="110">
                  <c:v>18576066212.054985</c:v>
                </c:pt>
                <c:pt idx="111">
                  <c:v>16860897443.488588</c:v>
                </c:pt>
                <c:pt idx="112">
                  <c:v>15125770634.16433</c:v>
                </c:pt>
                <c:pt idx="113">
                  <c:v>13372664242.208603</c:v>
                </c:pt>
                <c:pt idx="114">
                  <c:v>11603602555.675436</c:v>
                </c:pt>
                <c:pt idx="115">
                  <c:v>9820650848.9029636</c:v>
                </c:pt>
                <c:pt idx="116">
                  <c:v>8025910319.3257132</c:v>
                </c:pt>
                <c:pt idx="117">
                  <c:v>6221512830.0535755</c:v>
                </c:pt>
                <c:pt idx="118">
                  <c:v>4409615485.3144188</c:v>
                </c:pt>
                <c:pt idx="119">
                  <c:v>2592395067.4151063</c:v>
                </c:pt>
                <c:pt idx="120">
                  <c:v>772042365.17382896</c:v>
                </c:pt>
                <c:pt idx="121">
                  <c:v>-1049243575.1989248</c:v>
                </c:pt>
                <c:pt idx="122">
                  <c:v>-2869261245.0554376</c:v>
                </c:pt>
                <c:pt idx="123">
                  <c:v>-4685812481.9517651</c:v>
                </c:pt>
                <c:pt idx="124">
                  <c:v>-6496708259.692894</c:v>
                </c:pt>
                <c:pt idx="125">
                  <c:v>-8299774427.6788044</c:v>
                </c:pt>
                <c:pt idx="126">
                  <c:v>-10092857367.928827</c:v>
                </c:pt>
                <c:pt idx="127">
                  <c:v>-11873829538.945206</c:v>
                </c:pt>
                <c:pt idx="128">
                  <c:v>-13640594876.642775</c:v>
                </c:pt>
                <c:pt idx="129">
                  <c:v>-15391094023.911238</c:v>
                </c:pt>
                <c:pt idx="130">
                  <c:v>-17123309361.970678</c:v>
                </c:pt>
                <c:pt idx="131">
                  <c:v>-18835269818.500648</c:v>
                </c:pt>
                <c:pt idx="132">
                  <c:v>-20525055429.552361</c:v>
                </c:pt>
                <c:pt idx="133">
                  <c:v>-22190801634.456596</c:v>
                </c:pt>
                <c:pt idx="134">
                  <c:v>-23830703285.292374</c:v>
                </c:pt>
                <c:pt idx="135">
                  <c:v>-25443018354.948627</c:v>
                </c:pt>
                <c:pt idx="136">
                  <c:v>-27026071330.364719</c:v>
                </c:pt>
                <c:pt idx="137">
                  <c:v>-28578256280.14077</c:v>
                </c:pt>
                <c:pt idx="138">
                  <c:v>-30098039588.335274</c:v>
                </c:pt>
                <c:pt idx="139">
                  <c:v>-31583962348.885586</c:v>
                </c:pt>
                <c:pt idx="140">
                  <c:v>-33034642417.663219</c:v>
                </c:pt>
                <c:pt idx="141">
                  <c:v>-34448776121.689529</c:v>
                </c:pt>
                <c:pt idx="142">
                  <c:v>-35825139627.455566</c:v>
                </c:pt>
                <c:pt idx="143">
                  <c:v>-37162589972.593468</c:v>
                </c:pt>
                <c:pt idx="144">
                  <c:v>-38460065767.317558</c:v>
                </c:pt>
                <c:pt idx="145">
                  <c:v>-39716587574.06752</c:v>
                </c:pt>
                <c:pt idx="146">
                  <c:v>-40931257975.633942</c:v>
                </c:pt>
                <c:pt idx="147">
                  <c:v>-42103261343.718025</c:v>
                </c:pt>
                <c:pt idx="148">
                  <c:v>-43231863321.35714</c:v>
                </c:pt>
                <c:pt idx="149">
                  <c:v>-44316410033.938927</c:v>
                </c:pt>
                <c:pt idx="150">
                  <c:v>-45356327044.620827</c:v>
                </c:pt>
                <c:pt idx="151">
                  <c:v>-46351118070.870461</c:v>
                </c:pt>
                <c:pt idx="152">
                  <c:v>-47300363479.55072</c:v>
                </c:pt>
                <c:pt idx="153">
                  <c:v>-48203718578.491737</c:v>
                </c:pt>
                <c:pt idx="154">
                  <c:v>-49060911722.831772</c:v>
                </c:pt>
                <c:pt idx="155">
                  <c:v>-49871742254.576553</c:v>
                </c:pt>
                <c:pt idx="156">
                  <c:v>-50636078293.83252</c:v>
                </c:pt>
                <c:pt idx="157">
                  <c:v>-51353854400.025299</c:v>
                </c:pt>
                <c:pt idx="158">
                  <c:v>-52025069121.133408</c:v>
                </c:pt>
                <c:pt idx="159">
                  <c:v>-52649782448.560844</c:v>
                </c:pt>
                <c:pt idx="160">
                  <c:v>-53228113194.754936</c:v>
                </c:pt>
                <c:pt idx="161">
                  <c:v>-53760236310.061028</c:v>
                </c:pt>
                <c:pt idx="162">
                  <c:v>-54246380154.607605</c:v>
                </c:pt>
                <c:pt idx="163">
                  <c:v>-54686823740.246078</c:v>
                </c:pt>
                <c:pt idx="164">
                  <c:v>-55081893956.744514</c:v>
                </c:pt>
                <c:pt idx="165">
                  <c:v>-55431962795.563522</c:v>
                </c:pt>
                <c:pt idx="166">
                  <c:v>-55737444583.639656</c:v>
                </c:pt>
                <c:pt idx="167">
                  <c:v>-55998793238.677185</c:v>
                </c:pt>
                <c:pt idx="168">
                  <c:v>-56216499556.513474</c:v>
                </c:pt>
                <c:pt idx="169">
                  <c:v>-56391088540.185593</c:v>
                </c:pt>
                <c:pt idx="170">
                  <c:v>-56523116779.395981</c:v>
                </c:pt>
                <c:pt idx="171">
                  <c:v>-56613169888.158966</c:v>
                </c:pt>
                <c:pt idx="172">
                  <c:v>-56661860007.515816</c:v>
                </c:pt>
                <c:pt idx="173">
                  <c:v>-56669823379.339073</c:v>
                </c:pt>
                <c:pt idx="174">
                  <c:v>-56637717996.412361</c:v>
                </c:pt>
                <c:pt idx="175">
                  <c:v>-56566221333.172913</c:v>
                </c:pt>
                <c:pt idx="176">
                  <c:v>-56456028160.745934</c:v>
                </c:pt>
                <c:pt idx="177">
                  <c:v>-56307848449.18322</c:v>
                </c:pt>
                <c:pt idx="178">
                  <c:v>-56122405359.145439</c:v>
                </c:pt>
                <c:pt idx="179">
                  <c:v>-55900433324.641342</c:v>
                </c:pt>
                <c:pt idx="180">
                  <c:v>-55642676227.854897</c:v>
                </c:pt>
                <c:pt idx="181">
                  <c:v>-55349885666.557007</c:v>
                </c:pt>
                <c:pt idx="182">
                  <c:v>-55022819314.108437</c:v>
                </c:pt>
                <c:pt idx="183">
                  <c:v>-54662239371.616516</c:v>
                </c:pt>
                <c:pt idx="184">
                  <c:v>-54268911111.407295</c:v>
                </c:pt>
                <c:pt idx="185">
                  <c:v>-53843601510.616913</c:v>
                </c:pt>
                <c:pt idx="186">
                  <c:v>-53387077973.388809</c:v>
                </c:pt>
                <c:pt idx="187">
                  <c:v>-52900107139.885025</c:v>
                </c:pt>
                <c:pt idx="188">
                  <c:v>-52383453780.079338</c:v>
                </c:pt>
                <c:pt idx="189">
                  <c:v>-51837879770.093239</c:v>
                </c:pt>
                <c:pt idx="190">
                  <c:v>-51264143148.663551</c:v>
                </c:pt>
                <c:pt idx="191">
                  <c:v>-50662997251.187485</c:v>
                </c:pt>
                <c:pt idx="192">
                  <c:v>-50035189918.676994</c:v>
                </c:pt>
                <c:pt idx="193">
                  <c:v>-49381462778.867241</c:v>
                </c:pt>
                <c:pt idx="194">
                  <c:v>-48702550596.659698</c:v>
                </c:pt>
                <c:pt idx="195">
                  <c:v>-47999180691.039268</c:v>
                </c:pt>
                <c:pt idx="196">
                  <c:v>-47272072415.583275</c:v>
                </c:pt>
                <c:pt idx="197">
                  <c:v>-46521936699.6763</c:v>
                </c:pt>
                <c:pt idx="198">
                  <c:v>-45749475647.557442</c:v>
                </c:pt>
                <c:pt idx="199">
                  <c:v>-44955382192.352676</c:v>
                </c:pt>
                <c:pt idx="200">
                  <c:v>-44140339802.285194</c:v>
                </c:pt>
                <c:pt idx="201">
                  <c:v>-43305022236.305908</c:v>
                </c:pt>
                <c:pt idx="202">
                  <c:v>-42450093346.446106</c:v>
                </c:pt>
                <c:pt idx="203">
                  <c:v>-41576206924.262085</c:v>
                </c:pt>
                <c:pt idx="204">
                  <c:v>-40684006588.815887</c:v>
                </c:pt>
                <c:pt idx="205">
                  <c:v>-39774125713.715858</c:v>
                </c:pt>
                <c:pt idx="206">
                  <c:v>-38847187390.826027</c:v>
                </c:pt>
                <c:pt idx="207">
                  <c:v>-37903804428.3405</c:v>
                </c:pt>
                <c:pt idx="208">
                  <c:v>-36944579381.009186</c:v>
                </c:pt>
                <c:pt idx="209">
                  <c:v>-35970104610.394783</c:v>
                </c:pt>
                <c:pt idx="210">
                  <c:v>-34980962373.13279</c:v>
                </c:pt>
                <c:pt idx="211">
                  <c:v>-33977724935.260006</c:v>
                </c:pt>
                <c:pt idx="212">
                  <c:v>-32960954710.77161</c:v>
                </c:pt>
                <c:pt idx="213">
                  <c:v>-31931204422.657772</c:v>
                </c:pt>
                <c:pt idx="214">
                  <c:v>-30889017284.762745</c:v>
                </c:pt>
                <c:pt idx="215">
                  <c:v>-29834927202.899994</c:v>
                </c:pt>
                <c:pt idx="216">
                  <c:v>-28769458993.743256</c:v>
                </c:pt>
                <c:pt idx="217">
                  <c:v>-27693128620.100101</c:v>
                </c:pt>
                <c:pt idx="218">
                  <c:v>-26606443441.257038</c:v>
                </c:pt>
                <c:pt idx="219">
                  <c:v>-25509902477.166245</c:v>
                </c:pt>
                <c:pt idx="220">
                  <c:v>-24403996685.32016</c:v>
                </c:pt>
                <c:pt idx="221">
                  <c:v>-23289209249.237095</c:v>
                </c:pt>
                <c:pt idx="222">
                  <c:v>-22166015877.54982</c:v>
                </c:pt>
                <c:pt idx="223">
                  <c:v>-21034885112.758808</c:v>
                </c:pt>
                <c:pt idx="224">
                  <c:v>-19896278648.776924</c:v>
                </c:pt>
                <c:pt idx="225">
                  <c:v>-18750651656.453274</c:v>
                </c:pt>
                <c:pt idx="226">
                  <c:v>-17598453116.322651</c:v>
                </c:pt>
                <c:pt idx="227">
                  <c:v>-16440126157.882307</c:v>
                </c:pt>
                <c:pt idx="228">
                  <c:v>-15276108404.749329</c:v>
                </c:pt>
                <c:pt idx="229">
                  <c:v>-14106832325.099894</c:v>
                </c:pt>
                <c:pt idx="230">
                  <c:v>-12932725586.837801</c:v>
                </c:pt>
                <c:pt idx="231">
                  <c:v>-11754211416.980965</c:v>
                </c:pt>
                <c:pt idx="232">
                  <c:v>-10571708964.792952</c:v>
                </c:pt>
                <c:pt idx="233">
                  <c:v>-9385633668.2225132</c:v>
                </c:pt>
                <c:pt idx="234">
                  <c:v>-8196397623.2464952</c:v>
                </c:pt>
                <c:pt idx="235">
                  <c:v>-7004409955.7409029</c:v>
                </c:pt>
                <c:pt idx="236">
                  <c:v>-5810077195.5291815</c:v>
                </c:pt>
                <c:pt idx="237">
                  <c:v>-4613803652.2831936</c:v>
                </c:pt>
                <c:pt idx="238">
                  <c:v>-3415991792.9690909</c:v>
                </c:pt>
                <c:pt idx="239">
                  <c:v>-2217042620.5490603</c:v>
                </c:pt>
                <c:pt idx="240">
                  <c:v>-1017356053.6639208</c:v>
                </c:pt>
                <c:pt idx="241">
                  <c:v>182668692.96720275</c:v>
                </c:pt>
                <c:pt idx="242">
                  <c:v>1382632727.6871572</c:v>
                </c:pt>
                <c:pt idx="243">
                  <c:v>2582137100.8301415</c:v>
                </c:pt>
                <c:pt idx="244">
                  <c:v>3780782423.6887965</c:v>
                </c:pt>
                <c:pt idx="245">
                  <c:v>4978168487.7680616</c:v>
                </c:pt>
                <c:pt idx="246">
                  <c:v>6173893884.5762701</c:v>
                </c:pt>
                <c:pt idx="247">
                  <c:v>7367555626.2126942</c:v>
                </c:pt>
                <c:pt idx="248">
                  <c:v>8558748767.0184355</c:v>
                </c:pt>
                <c:pt idx="249">
                  <c:v>9747066026.5696468</c:v>
                </c:pt>
                <c:pt idx="250">
                  <c:v>10932097414.306992</c:v>
                </c:pt>
                <c:pt idx="251">
                  <c:v>12113429856.114775</c:v>
                </c:pt>
                <c:pt idx="252">
                  <c:v>13290646823.181471</c:v>
                </c:pt>
                <c:pt idx="253">
                  <c:v>14463327963.499401</c:v>
                </c:pt>
                <c:pt idx="254">
                  <c:v>15631048736.388273</c:v>
                </c:pt>
                <c:pt idx="255">
                  <c:v>16793380050.455597</c:v>
                </c:pt>
                <c:pt idx="256">
                  <c:v>17949887905.442638</c:v>
                </c:pt>
                <c:pt idx="257">
                  <c:v>19100133038.439774</c:v>
                </c:pt>
                <c:pt idx="258">
                  <c:v>20243670574.994553</c:v>
                </c:pt>
                <c:pt idx="259">
                  <c:v>21380049685.678791</c:v>
                </c:pt>
                <c:pt idx="260">
                  <c:v>22508813248.728516</c:v>
                </c:pt>
                <c:pt idx="261">
                  <c:v>23629497519.41761</c:v>
                </c:pt>
                <c:pt idx="262">
                  <c:v>24741631806.880558</c:v>
                </c:pt>
                <c:pt idx="263">
                  <c:v>25844738159.155811</c:v>
                </c:pt>
                <c:pt idx="264">
                  <c:v>26938331057.278893</c:v>
                </c:pt>
                <c:pt idx="265">
                  <c:v>28021917119.319309</c:v>
                </c:pt>
                <c:pt idx="266">
                  <c:v>29094994815.320251</c:v>
                </c:pt>
                <c:pt idx="267">
                  <c:v>30157054194.168564</c:v>
                </c:pt>
                <c:pt idx="268">
                  <c:v>31207576623.496731</c:v>
                </c:pt>
                <c:pt idx="269">
                  <c:v>32246034543.791607</c:v>
                </c:pt>
                <c:pt idx="270">
                  <c:v>33271891237.966103</c:v>
                </c:pt>
                <c:pt idx="271">
                  <c:v>34284600617.728012</c:v>
                </c:pt>
                <c:pt idx="272">
                  <c:v>35283607028.166466</c:v>
                </c:pt>
                <c:pt idx="273">
                  <c:v>36268345072.061707</c:v>
                </c:pt>
                <c:pt idx="274">
                  <c:v>37238239455.512497</c:v>
                </c:pt>
                <c:pt idx="275">
                  <c:v>38192704856.565575</c:v>
                </c:pt>
                <c:pt idx="276">
                  <c:v>39131145818.624001</c:v>
                </c:pt>
                <c:pt idx="277">
                  <c:v>40052956670.503235</c:v>
                </c:pt>
                <c:pt idx="278">
                  <c:v>40957521475.097328</c:v>
                </c:pt>
                <c:pt idx="279">
                  <c:v>41844214008.712471</c:v>
                </c:pt>
                <c:pt idx="280">
                  <c:v>42712397773.215813</c:v>
                </c:pt>
                <c:pt idx="281">
                  <c:v>43561426043.241158</c:v>
                </c:pt>
                <c:pt idx="282">
                  <c:v>44390641950.782463</c:v>
                </c:pt>
                <c:pt idx="283">
                  <c:v>45199378609.591904</c:v>
                </c:pt>
                <c:pt idx="284">
                  <c:v>45986959281.884109</c:v>
                </c:pt>
                <c:pt idx="285">
                  <c:v>46752697589.925484</c:v>
                </c:pt>
                <c:pt idx="286">
                  <c:v>47495897775.160263</c:v>
                </c:pt>
                <c:pt idx="287">
                  <c:v>48215855007.590218</c:v>
                </c:pt>
                <c:pt idx="288">
                  <c:v>48911855748.182312</c:v>
                </c:pt>
                <c:pt idx="289">
                  <c:v>49583178167.124435</c:v>
                </c:pt>
                <c:pt idx="290">
                  <c:v>50229092620.786308</c:v>
                </c:pt>
                <c:pt idx="291">
                  <c:v>50848862190.264214</c:v>
                </c:pt>
                <c:pt idx="292">
                  <c:v>51441743284.396004</c:v>
                </c:pt>
                <c:pt idx="293">
                  <c:v>52006986310.124321</c:v>
                </c:pt>
                <c:pt idx="294">
                  <c:v>52543836413.058205</c:v>
                </c:pt>
                <c:pt idx="295">
                  <c:v>53051534291.035164</c:v>
                </c:pt>
                <c:pt idx="296">
                  <c:v>53529317083.415398</c:v>
                </c:pt>
                <c:pt idx="297">
                  <c:v>53976419338.744484</c:v>
                </c:pt>
                <c:pt idx="298">
                  <c:v>54392074063.297897</c:v>
                </c:pt>
                <c:pt idx="299">
                  <c:v>54775513852.870079</c:v>
                </c:pt>
                <c:pt idx="300">
                  <c:v>55125972109.98716</c:v>
                </c:pt>
                <c:pt idx="301">
                  <c:v>55442684348.506676</c:v>
                </c:pt>
                <c:pt idx="302">
                  <c:v>55724889587.314835</c:v>
                </c:pt>
                <c:pt idx="303">
                  <c:v>55971831834.542671</c:v>
                </c:pt>
                <c:pt idx="304">
                  <c:v>56182761663.392776</c:v>
                </c:pt>
                <c:pt idx="305">
                  <c:v>56356937880.29731</c:v>
                </c:pt>
                <c:pt idx="306">
                  <c:v>56493629285.714287</c:v>
                </c:pt>
                <c:pt idx="307">
                  <c:v>56592116527.41124</c:v>
                </c:pt>
                <c:pt idx="308">
                  <c:v>56651694045.581711</c:v>
                </c:pt>
                <c:pt idx="309">
                  <c:v>56671672108.591049</c:v>
                </c:pt>
                <c:pt idx="310">
                  <c:v>56651378937.55294</c:v>
                </c:pt>
                <c:pt idx="311">
                  <c:v>56590162917.296478</c:v>
                </c:pt>
                <c:pt idx="312">
                  <c:v>56487394890.598297</c:v>
                </c:pt>
                <c:pt idx="313">
                  <c:v>56342470531.824028</c:v>
                </c:pt>
                <c:pt idx="314">
                  <c:v>56154812795.352577</c:v>
                </c:pt>
                <c:pt idx="315">
                  <c:v>55923874433.346725</c:v>
                </c:pt>
                <c:pt idx="316">
                  <c:v>55649140576.588722</c:v>
                </c:pt>
                <c:pt idx="317">
                  <c:v>55330131371.223343</c:v>
                </c:pt>
                <c:pt idx="318">
                  <c:v>54966404663.349922</c:v>
                </c:pt>
                <c:pt idx="319">
                  <c:v>54557558722.483696</c:v>
                </c:pt>
                <c:pt idx="320">
                  <c:v>54103234993.973618</c:v>
                </c:pt>
                <c:pt idx="321">
                  <c:v>53603120869.526016</c:v>
                </c:pt>
                <c:pt idx="322">
                  <c:v>53056952464.050468</c:v>
                </c:pt>
                <c:pt idx="323">
                  <c:v>52464517386.124222</c:v>
                </c:pt>
                <c:pt idx="324">
                  <c:v>51825657488.478615</c:v>
                </c:pt>
                <c:pt idx="325">
                  <c:v>51140271584.051071</c:v>
                </c:pt>
                <c:pt idx="326">
                  <c:v>50408318112.338097</c:v>
                </c:pt>
                <c:pt idx="327">
                  <c:v>49629817740.034569</c:v>
                </c:pt>
                <c:pt idx="328">
                  <c:v>48804855879.271828</c:v>
                </c:pt>
                <c:pt idx="329">
                  <c:v>47933585106.179085</c:v>
                </c:pt>
                <c:pt idx="330">
                  <c:v>47016227462.008896</c:v>
                </c:pt>
                <c:pt idx="331">
                  <c:v>46053076618.696762</c:v>
                </c:pt>
                <c:pt idx="332">
                  <c:v>45044499890.485413</c:v>
                </c:pt>
                <c:pt idx="333">
                  <c:v>43990940073.141914</c:v>
                </c:pt>
                <c:pt idx="334">
                  <c:v>42892917092.353943</c:v>
                </c:pt>
                <c:pt idx="335">
                  <c:v>41751029443.105873</c:v>
                </c:pt>
                <c:pt idx="336">
                  <c:v>40565955402.231819</c:v>
                </c:pt>
                <c:pt idx="337">
                  <c:v>39338453996.917274</c:v>
                </c:pt>
                <c:pt idx="338">
                  <c:v>38069365712.687141</c:v>
                </c:pt>
                <c:pt idx="339">
                  <c:v>36759612925.374519</c:v>
                </c:pt>
                <c:pt idx="340">
                  <c:v>35410200042.721893</c:v>
                </c:pt>
                <c:pt idx="341">
                  <c:v>34022213342.611507</c:v>
                </c:pt>
                <c:pt idx="342">
                  <c:v>32596820496.463516</c:v>
                </c:pt>
                <c:pt idx="343">
                  <c:v>31135269768.065842</c:v>
                </c:pt>
                <c:pt idx="344">
                  <c:v>29638888879.998745</c:v>
                </c:pt>
                <c:pt idx="345">
                  <c:v>28109083541.881027</c:v>
                </c:pt>
                <c:pt idx="346">
                  <c:v>26547335636.880554</c:v>
                </c:pt>
                <c:pt idx="347">
                  <c:v>24955201065.267166</c:v>
                </c:pt>
                <c:pt idx="348">
                  <c:v>23334307246.241478</c:v>
                </c:pt>
                <c:pt idx="349">
                  <c:v>21686350281.804695</c:v>
                </c:pt>
                <c:pt idx="350">
                  <c:v>20013091789.029335</c:v>
                </c:pt>
                <c:pt idx="351">
                  <c:v>18316355409.711468</c:v>
                </c:pt>
                <c:pt idx="352">
                  <c:v>16598023009.012653</c:v>
                </c:pt>
                <c:pt idx="353">
                  <c:v>14860030577.287901</c:v>
                </c:pt>
                <c:pt idx="354">
                  <c:v>13104363851.831202</c:v>
                </c:pt>
                <c:pt idx="355">
                  <c:v>11333053677.701172</c:v>
                </c:pt>
                <c:pt idx="356">
                  <c:v>9548171129.1035023</c:v>
                </c:pt>
                <c:pt idx="357">
                  <c:v>7751822414.9586744</c:v>
                </c:pt>
                <c:pt idx="358">
                  <c:v>5946143594.2492704</c:v>
                </c:pt>
                <c:pt idx="359">
                  <c:v>4133295128.5001974</c:v>
                </c:pt>
                <c:pt idx="360">
                  <c:v>2315456300.2584782</c:v>
                </c:pt>
                <c:pt idx="361">
                  <c:v>494819527.70043343</c:v>
                </c:pt>
                <c:pt idx="362">
                  <c:v>-1326415393.5246706</c:v>
                </c:pt>
                <c:pt idx="363">
                  <c:v>-3146047089.4142542</c:v>
                </c:pt>
                <c:pt idx="364">
                  <c:v>-4961878415.5048342</c:v>
                </c:pt>
                <c:pt idx="365">
                  <c:v>-6771722241.2630138</c:v>
                </c:pt>
                <c:pt idx="366">
                  <c:v>-8573407178.9249811</c:v>
                </c:pt>
                <c:pt idx="367">
                  <c:v>-10364783225.262983</c:v>
                </c:pt>
                <c:pt idx="368">
                  <c:v>-12143727285.582884</c:v>
                </c:pt>
                <c:pt idx="369">
                  <c:v>-13908148550.366331</c:v>
                </c:pt>
                <c:pt idx="370">
                  <c:v>-15655993696.353054</c:v>
                </c:pt>
                <c:pt idx="371">
                  <c:v>-17385251885.48317</c:v>
                </c:pt>
                <c:pt idx="372">
                  <c:v>-19093959536.979607</c:v>
                </c:pt>
                <c:pt idx="373">
                  <c:v>-20780204849.901756</c:v>
                </c:pt>
                <c:pt idx="374">
                  <c:v>-22442132055.735241</c:v>
                </c:pt>
                <c:pt idx="375">
                  <c:v>-24077945382.948761</c:v>
                </c:pt>
                <c:pt idx="376">
                  <c:v>-25685912717.937233</c:v>
                </c:pt>
                <c:pt idx="377">
                  <c:v>-27264368949.328148</c:v>
                </c:pt>
                <c:pt idx="378">
                  <c:v>-28811718985.243286</c:v>
                </c:pt>
                <c:pt idx="379">
                  <c:v>-30326440435.732487</c:v>
                </c:pt>
                <c:pt idx="380">
                  <c:v>-31807085955.210072</c:v>
                </c:pt>
                <c:pt idx="381">
                  <c:v>-33252285242.294399</c:v>
                </c:pt>
                <c:pt idx="382">
                  <c:v>-34660746696.949707</c:v>
                </c:pt>
                <c:pt idx="383">
                  <c:v>-36031258737.233086</c:v>
                </c:pt>
                <c:pt idx="384">
                  <c:v>-37362690780.234085</c:v>
                </c:pt>
                <c:pt idx="385">
                  <c:v>-38653993893.941086</c:v>
                </c:pt>
                <c:pt idx="386">
                  <c:v>-39904201128.759644</c:v>
                </c:pt>
                <c:pt idx="387">
                  <c:v>-41112427539.229317</c:v>
                </c:pt>
                <c:pt idx="388">
                  <c:v>-42277869908.128654</c:v>
                </c:pt>
                <c:pt idx="389">
                  <c:v>-43399806186.60804</c:v>
                </c:pt>
                <c:pt idx="390">
                  <c:v>-44477594665.253525</c:v>
                </c:pt>
                <c:pt idx="391">
                  <c:v>-45510672892.046463</c:v>
                </c:pt>
                <c:pt idx="392">
                  <c:v>-46498556354.056099</c:v>
                </c:pt>
                <c:pt idx="393">
                  <c:v>-47440836940.378464</c:v>
                </c:pt>
                <c:pt idx="394">
                  <c:v>-48337181204.32737</c:v>
                </c:pt>
                <c:pt idx="395">
                  <c:v>-49187328443.196548</c:v>
                </c:pt>
                <c:pt idx="396">
                  <c:v>-49991088614.052277</c:v>
                </c:pt>
                <c:pt idx="397">
                  <c:v>-50748340104.000282</c:v>
                </c:pt>
                <c:pt idx="398">
                  <c:v>-51459027373.203758</c:v>
                </c:pt>
                <c:pt idx="399">
                  <c:v>-52123158488.628304</c:v>
                </c:pt>
                <c:pt idx="400">
                  <c:v>-52740802566.06559</c:v>
                </c:pt>
                <c:pt idx="401">
                  <c:v>-53312087137.454315</c:v>
                </c:pt>
                <c:pt idx="402">
                  <c:v>-53837195459.889183</c:v>
                </c:pt>
                <c:pt idx="403">
                  <c:v>-54316363781.998253</c:v>
                </c:pt>
                <c:pt idx="404">
                  <c:v>-54749878582.59095</c:v>
                </c:pt>
                <c:pt idx="405">
                  <c:v>-55138073795.64579</c:v>
                </c:pt>
                <c:pt idx="406">
                  <c:v>-55481328034.830505</c:v>
                </c:pt>
                <c:pt idx="407">
                  <c:v>-55780061829.840515</c:v>
                </c:pt>
                <c:pt idx="408">
                  <c:v>-56034734885.914391</c:v>
                </c:pt>
                <c:pt idx="409">
                  <c:v>-56245843376.948593</c:v>
                </c:pt>
                <c:pt idx="410">
                  <c:v>-56413917281.697456</c:v>
                </c:pt>
                <c:pt idx="411">
                  <c:v>-56539517771.615242</c:v>
                </c:pt>
                <c:pt idx="412">
                  <c:v>-56623234657.984406</c:v>
                </c:pt>
                <c:pt idx="413">
                  <c:v>-56665683905.084236</c:v>
                </c:pt>
                <c:pt idx="414">
                  <c:v>-56667505215.291161</c:v>
                </c:pt>
                <c:pt idx="415">
                  <c:v>-56629359691.172722</c:v>
                </c:pt>
                <c:pt idx="416">
                  <c:v>-56551927578.844955</c:v>
                </c:pt>
                <c:pt idx="417">
                  <c:v>-56435906096.109756</c:v>
                </c:pt>
                <c:pt idx="418">
                  <c:v>-56282007348.179771</c:v>
                </c:pt>
                <c:pt idx="419">
                  <c:v>-56090956333.131935</c:v>
                </c:pt>
                <c:pt idx="420">
                  <c:v>-55863489038.611053</c:v>
                </c:pt>
                <c:pt idx="421">
                  <c:v>-55600350630.730492</c:v>
                </c:pt>
                <c:pt idx="422">
                  <c:v>-55302293735.588806</c:v>
                </c:pt>
                <c:pt idx="423">
                  <c:v>-54970076813.338516</c:v>
                </c:pt>
                <c:pt idx="424">
                  <c:v>-54604462624.305984</c:v>
                </c:pt>
                <c:pt idx="425">
                  <c:v>-54206216786.266624</c:v>
                </c:pt>
                <c:pt idx="426">
                  <c:v>-53776106421.628441</c:v>
                </c:pt>
                <c:pt idx="427">
                  <c:v>-53314898892.965675</c:v>
                </c:pt>
                <c:pt idx="428">
                  <c:v>-52823360625.07196</c:v>
                </c:pt>
                <c:pt idx="429">
                  <c:v>-52302256011.46685</c:v>
                </c:pt>
                <c:pt idx="430">
                  <c:v>-51752346403.088409</c:v>
                </c:pt>
                <c:pt idx="431">
                  <c:v>-51174389176.737671</c:v>
                </c:pt>
                <c:pt idx="432">
                  <c:v>-50569136880.700241</c:v>
                </c:pt>
                <c:pt idx="433">
                  <c:v>-49937336454.863556</c:v>
                </c:pt>
                <c:pt idx="434">
                  <c:v>-49279728522.56221</c:v>
                </c:pt>
                <c:pt idx="435">
                  <c:v>-48597046751.324883</c:v>
                </c:pt>
                <c:pt idx="436">
                  <c:v>-47890017279.657288</c:v>
                </c:pt>
                <c:pt idx="437">
                  <c:v>-47159358206.977921</c:v>
                </c:pt>
                <c:pt idx="438">
                  <c:v>-46405779143.820442</c:v>
                </c:pt>
                <c:pt idx="439">
                  <c:v>-45629980819.433441</c:v>
                </c:pt>
                <c:pt idx="440">
                  <c:v>-44832654743.935402</c:v>
                </c:pt>
                <c:pt idx="441">
                  <c:v>-44014482922.223953</c:v>
                </c:pt>
                <c:pt idx="442">
                  <c:v>-43176137616.890633</c:v>
                </c:pt>
                <c:pt idx="443">
                  <c:v>-42318281157.453278</c:v>
                </c:pt>
                <c:pt idx="444">
                  <c:v>-41441565793.285698</c:v>
                </c:pt>
                <c:pt idx="445">
                  <c:v>-40546633587.701881</c:v>
                </c:pt>
                <c:pt idx="446">
                  <c:v>-39634116350.730309</c:v>
                </c:pt>
                <c:pt idx="447">
                  <c:v>-38704635608.200684</c:v>
                </c:pt>
                <c:pt idx="448">
                  <c:v>-37758802604.852341</c:v>
                </c:pt>
                <c:pt idx="449">
                  <c:v>-36797218339.266602</c:v>
                </c:pt>
                <c:pt idx="450">
                  <c:v>-35820473628.51403</c:v>
                </c:pt>
                <c:pt idx="451">
                  <c:v>-34829149200.505219</c:v>
                </c:pt>
                <c:pt idx="452">
                  <c:v>-33823815812.123898</c:v>
                </c:pt>
                <c:pt idx="453">
                  <c:v>-32805034391.316055</c:v>
                </c:pt>
                <c:pt idx="454">
                  <c:v>-31773356201.400658</c:v>
                </c:pt>
                <c:pt idx="455">
                  <c:v>-30729323025.959213</c:v>
                </c:pt>
                <c:pt idx="456">
                  <c:v>-29673467372.749397</c:v>
                </c:pt>
                <c:pt idx="457">
                  <c:v>-28606312695.178024</c:v>
                </c:pt>
                <c:pt idx="458">
                  <c:v>-27528373629.950932</c:v>
                </c:pt>
                <c:pt idx="459">
                  <c:v>-26440156249.602898</c:v>
                </c:pt>
                <c:pt idx="460">
                  <c:v>-25342158328.687733</c:v>
                </c:pt>
                <c:pt idx="461">
                  <c:v>-24234869622.488297</c:v>
                </c:pt>
                <c:pt idx="462">
                  <c:v>-23118772157.179321</c:v>
                </c:pt>
                <c:pt idx="463">
                  <c:v>-21994340530.445618</c:v>
                </c:pt>
                <c:pt idx="464">
                  <c:v>-20862042221.628754</c:v>
                </c:pt>
                <c:pt idx="465">
                  <c:v>-19722337910.537037</c:v>
                </c:pt>
                <c:pt idx="466">
                  <c:v>-18575681804.116486</c:v>
                </c:pt>
                <c:pt idx="467">
                  <c:v>-17422521970.237251</c:v>
                </c:pt>
                <c:pt idx="468">
                  <c:v>-16263300677.906759</c:v>
                </c:pt>
                <c:pt idx="469">
                  <c:v>-15098454743.267721</c:v>
                </c:pt>
                <c:pt idx="470">
                  <c:v>-13928415880.792131</c:v>
                </c:pt>
                <c:pt idx="471">
                  <c:v>-12753611059.124189</c:v>
                </c:pt>
                <c:pt idx="472">
                  <c:v>-11574462861.065973</c:v>
                </c:pt>
                <c:pt idx="473">
                  <c:v>-10391389847.239908</c:v>
                </c:pt>
                <c:pt idx="474">
                  <c:v>-9204806922.996048</c:v>
                </c:pt>
                <c:pt idx="475">
                  <c:v>-8015125708.1628599</c:v>
                </c:pt>
                <c:pt idx="476">
                  <c:v>-6822754909.2717228</c:v>
                </c:pt>
                <c:pt idx="477">
                  <c:v>-5628100693.9081373</c:v>
                </c:pt>
                <c:pt idx="478">
                  <c:v>-4431567066.8665361</c:v>
                </c:pt>
                <c:pt idx="479">
                  <c:v>-3233556247.806066</c:v>
                </c:pt>
                <c:pt idx="480">
                  <c:v>-2034469050.1192219</c:v>
                </c:pt>
                <c:pt idx="481">
                  <c:v>-834705260.73997474</c:v>
                </c:pt>
                <c:pt idx="482">
                  <c:v>365335979.37011164</c:v>
                </c:pt>
                <c:pt idx="483">
                  <c:v>1565255794.3137498</c:v>
                </c:pt>
                <c:pt idx="484">
                  <c:v>2764655192.1772256</c:v>
                </c:pt>
                <c:pt idx="485">
                  <c:v>3963134684.0252199</c:v>
                </c:pt>
                <c:pt idx="486">
                  <c:v>5160293903.219449</c:v>
                </c:pt>
                <c:pt idx="487">
                  <c:v>6355731225.3148727</c:v>
                </c:pt>
                <c:pt idx="488">
                  <c:v>7549043388.791522</c:v>
                </c:pt>
                <c:pt idx="489">
                  <c:v>8739825116.8908138</c:v>
                </c:pt>
                <c:pt idx="490">
                  <c:v>9927668740.838789</c:v>
                </c:pt>
                <c:pt idx="491">
                  <c:v>11112163824.751875</c:v>
                </c:pt>
                <c:pt idx="492">
                  <c:v>12292896792.540985</c:v>
                </c:pt>
                <c:pt idx="493">
                  <c:v>13469450557.149944</c:v>
                </c:pt>
                <c:pt idx="494">
                  <c:v>14641404152.490488</c:v>
                </c:pt>
                <c:pt idx="495">
                  <c:v>15808332368.460823</c:v>
                </c:pt>
                <c:pt idx="496">
                  <c:v>16969805389.468044</c:v>
                </c:pt>
                <c:pt idx="497">
                  <c:v>18125388436.907269</c:v>
                </c:pt>
                <c:pt idx="498">
                  <c:v>19274641416.086357</c:v>
                </c:pt>
                <c:pt idx="499">
                  <c:v>20417118568.127342</c:v>
                </c:pt>
                <c:pt idx="500">
                  <c:v>21552368127.417755</c:v>
                </c:pt>
                <c:pt idx="501">
                  <c:v>22679931985.230988</c:v>
                </c:pt>
                <c:pt idx="502">
                  <c:v>23799345360.186516</c:v>
                </c:pt>
                <c:pt idx="503">
                  <c:v>24910136476.272896</c:v>
                </c:pt>
                <c:pt idx="504">
                  <c:v>26011826249.213314</c:v>
                </c:pt>
                <c:pt idx="505">
                  <c:v>27103927982.013</c:v>
                </c:pt>
                <c:pt idx="506">
                  <c:v>28185947070.592838</c:v>
                </c:pt>
                <c:pt idx="507">
                  <c:v>29257380720.476063</c:v>
                </c:pt>
                <c:pt idx="508">
                  <c:v>30317717675.569588</c:v>
                </c:pt>
                <c:pt idx="509">
                  <c:v>31366437960.150394</c:v>
                </c:pt>
                <c:pt idx="510">
                  <c:v>32403012635.245476</c:v>
                </c:pt>
                <c:pt idx="511">
                  <c:v>33426903570.671421</c:v>
                </c:pt>
                <c:pt idx="512">
                  <c:v>34437563234.083153</c:v>
                </c:pt>
                <c:pt idx="513">
                  <c:v>35434434498.462967</c:v>
                </c:pt>
                <c:pt idx="514">
                  <c:v>36416950469.570061</c:v>
                </c:pt>
                <c:pt idx="515">
                  <c:v>37384534334.958496</c:v>
                </c:pt>
                <c:pt idx="516">
                  <c:v>38336599236.261284</c:v>
                </c:pt>
                <c:pt idx="517">
                  <c:v>39272548166.531883</c:v>
                </c:pt>
                <c:pt idx="518">
                  <c:v>40191773894.526543</c:v>
                </c:pt>
                <c:pt idx="519">
                  <c:v>41093658917.903534</c:v>
                </c:pt>
                <c:pt idx="520">
                  <c:v>41977575447.410469</c:v>
                </c:pt>
                <c:pt idx="521">
                  <c:v>42842885424.222748</c:v>
                </c:pt>
                <c:pt idx="522">
                  <c:v>43688940572.687706</c:v>
                </c:pt>
                <c:pt idx="523">
                  <c:v>44515082490.818527</c:v>
                </c:pt>
                <c:pt idx="524">
                  <c:v>45320642780.969009</c:v>
                </c:pt>
                <c:pt idx="525">
                  <c:v>46104943223.201736</c:v>
                </c:pt>
                <c:pt idx="526">
                  <c:v>46867295993.940178</c:v>
                </c:pt>
                <c:pt idx="527">
                  <c:v>47607003932.567436</c:v>
                </c:pt>
                <c:pt idx="528">
                  <c:v>48323360858.697517</c:v>
                </c:pt>
                <c:pt idx="529">
                  <c:v>49015651942.900574</c:v>
                </c:pt>
                <c:pt idx="530">
                  <c:v>49683154133.709877</c:v>
                </c:pt>
                <c:pt idx="531">
                  <c:v>50325136643.770424</c:v>
                </c:pt>
                <c:pt idx="532">
                  <c:v>50940861498.010796</c:v>
                </c:pt>
                <c:pt idx="533">
                  <c:v>51529584146.724472</c:v>
                </c:pt>
                <c:pt idx="534">
                  <c:v>52090554146.435471</c:v>
                </c:pt>
                <c:pt idx="535">
                  <c:v>52623015911.392311</c:v>
                </c:pt>
                <c:pt idx="536">
                  <c:v>53126209538.483482</c:v>
                </c:pt>
                <c:pt idx="537">
                  <c:v>53599371708.293518</c:v>
                </c:pt>
                <c:pt idx="538">
                  <c:v>54041736664.918068</c:v>
                </c:pt>
                <c:pt idx="539">
                  <c:v>54452537277.031418</c:v>
                </c:pt>
                <c:pt idx="540">
                  <c:v>54831006182.54274</c:v>
                </c:pt>
                <c:pt idx="541">
                  <c:v>55176377018.989731</c:v>
                </c:pt>
                <c:pt idx="542">
                  <c:v>55487885741.596474</c:v>
                </c:pt>
                <c:pt idx="543">
                  <c:v>55764772030.665451</c:v>
                </c:pt>
                <c:pt idx="544">
                  <c:v>56006280789.676323</c:v>
                </c:pt>
                <c:pt idx="545">
                  <c:v>56211663735.130287</c:v>
                </c:pt>
                <c:pt idx="546">
                  <c:v>56380181078.800041</c:v>
                </c:pt>
                <c:pt idx="547">
                  <c:v>56511103302.625923</c:v>
                </c:pt>
                <c:pt idx="548">
                  <c:v>56603713026.033165</c:v>
                </c:pt>
                <c:pt idx="549">
                  <c:v>56657306964.935532</c:v>
                </c:pt>
                <c:pt idx="550">
                  <c:v>56671197981.134041</c:v>
                </c:pt>
                <c:pt idx="551">
                  <c:v>56644717220.217323</c:v>
                </c:pt>
                <c:pt idx="552">
                  <c:v>56577216335.422295</c:v>
                </c:pt>
                <c:pt idx="553">
                  <c:v>56468069794.221001</c:v>
                </c:pt>
                <c:pt idx="554">
                  <c:v>56316677263.663445</c:v>
                </c:pt>
                <c:pt idx="555">
                  <c:v>56122466069.728691</c:v>
                </c:pt>
                <c:pt idx="556">
                  <c:v>55884893725.121765</c:v>
                </c:pt>
                <c:pt idx="557">
                  <c:v>55603450519.103012</c:v>
                </c:pt>
                <c:pt idx="558">
                  <c:v>55277662162.05719</c:v>
                </c:pt>
                <c:pt idx="559">
                  <c:v>54907092476.604408</c:v>
                </c:pt>
                <c:pt idx="560">
                  <c:v>54491346126.132019</c:v>
                </c:pt>
                <c:pt idx="561">
                  <c:v>54030071370.691643</c:v>
                </c:pt>
                <c:pt idx="562">
                  <c:v>53522962839.268517</c:v>
                </c:pt>
                <c:pt idx="563">
                  <c:v>52969764306.498245</c:v>
                </c:pt>
                <c:pt idx="564">
                  <c:v>52370271460.989281</c:v>
                </c:pt>
                <c:pt idx="565">
                  <c:v>51724334651.521309</c:v>
                </c:pt>
                <c:pt idx="566">
                  <c:v>51031861596.536385</c:v>
                </c:pt>
                <c:pt idx="567">
                  <c:v>50292820041.540428</c:v>
                </c:pt>
                <c:pt idx="568">
                  <c:v>49507240348.292007</c:v>
                </c:pt>
                <c:pt idx="569">
                  <c:v>48675217998.99588</c:v>
                </c:pt>
                <c:pt idx="570">
                  <c:v>47796915998.145378</c:v>
                </c:pt>
                <c:pt idx="571">
                  <c:v>46872567154.189758</c:v>
                </c:pt>
                <c:pt idx="572">
                  <c:v>45902476222.851967</c:v>
                </c:pt>
                <c:pt idx="573">
                  <c:v>44887021893.702042</c:v>
                </c:pt>
                <c:pt idx="574">
                  <c:v>43826658601.513199</c:v>
                </c:pt>
                <c:pt idx="575">
                  <c:v>42721918144.007881</c:v>
                </c:pt>
                <c:pt idx="576">
                  <c:v>41573411087.844978</c:v>
                </c:pt>
                <c:pt idx="577">
                  <c:v>40381827945.118958</c:v>
                </c:pt>
                <c:pt idx="578">
                  <c:v>39147940103.247887</c:v>
                </c:pt>
                <c:pt idx="579">
                  <c:v>37872600491.921135</c:v>
                </c:pt>
                <c:pt idx="580">
                  <c:v>36556743971.764267</c:v>
                </c:pt>
                <c:pt idx="581">
                  <c:v>35201387430.565231</c:v>
                </c:pt>
                <c:pt idx="582">
                  <c:v>33807629574.281319</c:v>
                </c:pt>
                <c:pt idx="583">
                  <c:v>32376650401.616112</c:v>
                </c:pt>
                <c:pt idx="584">
                  <c:v>30909710352.70792</c:v>
                </c:pt>
                <c:pt idx="585">
                  <c:v>29408149124.397545</c:v>
                </c:pt>
                <c:pt idx="586">
                  <c:v>27873384146.63052</c:v>
                </c:pt>
                <c:pt idx="587">
                  <c:v>26306908716.782433</c:v>
                </c:pt>
                <c:pt idx="588">
                  <c:v>24710289791.054962</c:v>
                </c:pt>
                <c:pt idx="589">
                  <c:v>23085165434.555191</c:v>
                </c:pt>
                <c:pt idx="590">
                  <c:v>21433241934.215649</c:v>
                </c:pt>
                <c:pt idx="591">
                  <c:v>19756290581.312798</c:v>
                </c:pt>
                <c:pt idx="592">
                  <c:v>18056144132.964802</c:v>
                </c:pt>
                <c:pt idx="593">
                  <c:v>16334692964.614164</c:v>
                </c:pt>
                <c:pt idx="594">
                  <c:v>14593880928.081501</c:v>
                </c:pt>
                <c:pt idx="595">
                  <c:v>12835700932.29965</c:v>
                </c:pt>
                <c:pt idx="596">
                  <c:v>11062190266.251328</c:v>
                </c:pt>
                <c:pt idx="597">
                  <c:v>9275425685.9254532</c:v>
                </c:pt>
                <c:pt idx="598">
                  <c:v>7477518289.2329063</c:v>
                </c:pt>
                <c:pt idx="599">
                  <c:v>5670608204.7575254</c:v>
                </c:pt>
                <c:pt idx="600">
                  <c:v>3856859121.9425025</c:v>
                </c:pt>
                <c:pt idx="601">
                  <c:v>2038452691.7876203</c:v>
                </c:pt>
                <c:pt idx="602">
                  <c:v>217582828.35302764</c:v>
                </c:pt>
                <c:pt idx="603">
                  <c:v>-1603550057.6979954</c:v>
                </c:pt>
                <c:pt idx="604">
                  <c:v>-3422744861.6354156</c:v>
                </c:pt>
                <c:pt idx="605">
                  <c:v>-5237805591.0592012</c:v>
                </c:pt>
                <c:pt idx="606">
                  <c:v>-7046547143.8922119</c:v>
                </c:pt>
                <c:pt idx="607">
                  <c:v>-8846801025.9826851</c:v>
                </c:pt>
                <c:pt idx="608">
                  <c:v>-10636420976.900679</c:v>
                </c:pt>
                <c:pt idx="609">
                  <c:v>-12413288473.383675</c:v>
                </c:pt>
                <c:pt idx="610">
                  <c:v>-14175318081.037926</c:v>
                </c:pt>
                <c:pt idx="611">
                  <c:v>-15920462626.323416</c:v>
                </c:pt>
                <c:pt idx="612">
                  <c:v>-17646718162.510693</c:v>
                </c:pt>
                <c:pt idx="613">
                  <c:v>-19352128705.190399</c:v>
                </c:pt>
                <c:pt idx="614">
                  <c:v>-21034790714.995483</c:v>
                </c:pt>
                <c:pt idx="615">
                  <c:v>-22692857307.452606</c:v>
                </c:pt>
                <c:pt idx="616">
                  <c:v>-24324542172.268406</c:v>
                </c:pt>
                <c:pt idx="617">
                  <c:v>-25928123186.849148</c:v>
                </c:pt>
                <c:pt idx="618">
                  <c:v>-27501945711.434452</c:v>
                </c:pt>
                <c:pt idx="619">
                  <c:v>-29044425555.828403</c:v>
                </c:pt>
                <c:pt idx="620">
                  <c:v>-30554051610.350159</c:v>
                </c:pt>
                <c:pt idx="621">
                  <c:v>-32029388136.227116</c:v>
                </c:pt>
                <c:pt idx="622">
                  <c:v>-33469076713.215618</c:v>
                </c:pt>
                <c:pt idx="623">
                  <c:v>-34871837844.722214</c:v>
                </c:pt>
                <c:pt idx="624">
                  <c:v>-36236472223.085815</c:v>
                </c:pt>
                <c:pt idx="625">
                  <c:v>-37561861659.940193</c:v>
                </c:pt>
                <c:pt idx="626">
                  <c:v>-38846969688.708748</c:v>
                </c:pt>
                <c:pt idx="627">
                  <c:v>-40090841848.243332</c:v>
                </c:pt>
                <c:pt idx="628">
                  <c:v>-41292605658.414253</c:v>
                </c:pt>
                <c:pt idx="629">
                  <c:v>-42451470300.077499</c:v>
                </c:pt>
                <c:pt idx="630">
                  <c:v>-43566726013.259941</c:v>
                </c:pt>
                <c:pt idx="631">
                  <c:v>-44637743228.643768</c:v>
                </c:pt>
                <c:pt idx="632">
                  <c:v>-45663971448.456352</c:v>
                </c:pt>
                <c:pt idx="633">
                  <c:v>-46644937893.721603</c:v>
                </c:pt>
                <c:pt idx="634">
                  <c:v>-47580245935.469307</c:v>
                </c:pt>
                <c:pt idx="635">
                  <c:v>-48469573327.971375</c:v>
                </c:pt>
                <c:pt idx="636">
                  <c:v>-49312670262.351463</c:v>
                </c:pt>
                <c:pt idx="637">
                  <c:v>-50109357259.039978</c:v>
                </c:pt>
                <c:pt idx="638">
                  <c:v>-50859522917.497406</c:v>
                </c:pt>
                <c:pt idx="639">
                  <c:v>-51563121541.449059</c:v>
                </c:pt>
                <c:pt idx="640">
                  <c:v>-52220170657.548294</c:v>
                </c:pt>
                <c:pt idx="641">
                  <c:v>-52830748444.945053</c:v>
                </c:pt>
                <c:pt idx="642">
                  <c:v>-53394991092.690643</c:v>
                </c:pt>
                <c:pt idx="643">
                  <c:v>-53913090101.263817</c:v>
                </c:pt>
                <c:pt idx="644">
                  <c:v>-54385289543.786179</c:v>
                </c:pt>
                <c:pt idx="645">
                  <c:v>-54811883301.704224</c:v>
                </c:pt>
                <c:pt idx="646">
                  <c:v>-55193212288.876717</c:v>
                </c:pt>
                <c:pt idx="647">
                  <c:v>-55529661677.124237</c:v>
                </c:pt>
                <c:pt idx="648">
                  <c:v>-55821658135.385223</c:v>
                </c:pt>
                <c:pt idx="649">
                  <c:v>-56069667093.697083</c:v>
                </c:pt>
                <c:pt idx="650">
                  <c:v>-56274190042.279854</c:v>
                </c:pt>
                <c:pt idx="651">
                  <c:v>-56435761875.068069</c:v>
                </c:pt>
                <c:pt idx="652">
                  <c:v>-56554948286.105812</c:v>
                </c:pt>
                <c:pt idx="653">
                  <c:v>-56632343226.313622</c:v>
                </c:pt>
                <c:pt idx="654">
                  <c:v>-56668566427.246902</c:v>
                </c:pt>
                <c:pt idx="655">
                  <c:v>-56664260997.609383</c:v>
                </c:pt>
                <c:pt idx="656">
                  <c:v>-56620091097.460411</c:v>
                </c:pt>
                <c:pt idx="657">
                  <c:v>-56536739694.268166</c:v>
                </c:pt>
                <c:pt idx="658">
                  <c:v>-56414906404.215256</c:v>
                </c:pt>
                <c:pt idx="659">
                  <c:v>-56255305421.459427</c:v>
                </c:pt>
                <c:pt idx="660">
                  <c:v>-56058663537.393326</c:v>
                </c:pt>
                <c:pt idx="661">
                  <c:v>-55825718251.334572</c:v>
                </c:pt>
                <c:pt idx="662">
                  <c:v>-55557215973.509407</c:v>
                </c:pt>
                <c:pt idx="663">
                  <c:v>-55253910320.672707</c:v>
                </c:pt>
                <c:pt idx="664">
                  <c:v>-54916560504.231026</c:v>
                </c:pt>
                <c:pt idx="665">
                  <c:v>-54545929810.304626</c:v>
                </c:pt>
                <c:pt idx="666">
                  <c:v>-54142784170.777</c:v>
                </c:pt>
                <c:pt idx="667">
                  <c:v>-53707890824.034142</c:v>
                </c:pt>
                <c:pt idx="668">
                  <c:v>-53242017063.792542</c:v>
                </c:pt>
                <c:pt idx="669">
                  <c:v>-52745929074.145683</c:v>
                </c:pt>
                <c:pt idx="670">
                  <c:v>-52220390848.731941</c:v>
                </c:pt>
                <c:pt idx="671">
                  <c:v>-51666163191.727081</c:v>
                </c:pt>
                <c:pt idx="672">
                  <c:v>-51084002798.205681</c:v>
                </c:pt>
                <c:pt idx="673">
                  <c:v>-50474661411.277344</c:v>
                </c:pt>
                <c:pt idx="674">
                  <c:v>-49838885053.302444</c:v>
                </c:pt>
                <c:pt idx="675">
                  <c:v>-49177413328.409554</c:v>
                </c:pt>
                <c:pt idx="676">
                  <c:v>-48490978793.478462</c:v>
                </c:pt>
                <c:pt idx="677">
                  <c:v>-47780306394.723442</c:v>
                </c:pt>
                <c:pt idx="678">
                  <c:v>-47046112966.98748</c:v>
                </c:pt>
                <c:pt idx="679">
                  <c:v>-46289106792.867134</c:v>
                </c:pt>
                <c:pt idx="680">
                  <c:v>-45509987218.797997</c:v>
                </c:pt>
                <c:pt idx="681">
                  <c:v>-44709444325.267769</c:v>
                </c:pt>
                <c:pt idx="682">
                  <c:v>-43888158648.360275</c:v>
                </c:pt>
                <c:pt idx="683">
                  <c:v>-43046800949.892609</c:v>
                </c:pt>
                <c:pt idx="684">
                  <c:v>-42186032033.466377</c:v>
                </c:pt>
                <c:pt idx="685">
                  <c:v>-41306502603.823402</c:v>
                </c:pt>
                <c:pt idx="686">
                  <c:v>-40408853166.976654</c:v>
                </c:pt>
                <c:pt idx="687">
                  <c:v>-39493713968.662827</c:v>
                </c:pt>
                <c:pt idx="688">
                  <c:v>-38561704968.753502</c:v>
                </c:pt>
                <c:pt idx="689">
                  <c:v>-37613435849.346535</c:v>
                </c:pt>
                <c:pt idx="690">
                  <c:v>-36649506054.356316</c:v>
                </c:pt>
                <c:pt idx="691">
                  <c:v>-35670504858.504448</c:v>
                </c:pt>
                <c:pt idx="692">
                  <c:v>-34677011463.717522</c:v>
                </c:pt>
                <c:pt idx="693">
                  <c:v>-33669595121.021275</c:v>
                </c:pt>
                <c:pt idx="694">
                  <c:v>-32648815276.122875</c:v>
                </c:pt>
                <c:pt idx="695">
                  <c:v>-31615221736.956955</c:v>
                </c:pt>
                <c:pt idx="696">
                  <c:v>-30569354861.569153</c:v>
                </c:pt>
                <c:pt idx="697">
                  <c:v>-29511745764.79583</c:v>
                </c:pt>
                <c:pt idx="698">
                  <c:v>-28442916542.285042</c:v>
                </c:pt>
                <c:pt idx="699">
                  <c:v>-27363380510.495083</c:v>
                </c:pt>
                <c:pt idx="700">
                  <c:v>-26273642461.378048</c:v>
                </c:pt>
                <c:pt idx="701">
                  <c:v>-25174198930.549419</c:v>
                </c:pt>
                <c:pt idx="702">
                  <c:v>-24065538477.807083</c:v>
                </c:pt>
                <c:pt idx="703">
                  <c:v>-22948141978.94915</c:v>
                </c:pt>
                <c:pt idx="704">
                  <c:v>-21822482927.900158</c:v>
                </c:pt>
                <c:pt idx="705">
                  <c:v>-20689027748.230831</c:v>
                </c:pt>
                <c:pt idx="706">
                  <c:v>-19548236113.215443</c:v>
                </c:pt>
                <c:pt idx="707">
                  <c:v>-18400561273.631516</c:v>
                </c:pt>
                <c:pt idx="708">
                  <c:v>-17246450392.569122</c:v>
                </c:pt>
                <c:pt idx="709">
                  <c:v>-16086344886.562838</c:v>
                </c:pt>
                <c:pt idx="710">
                  <c:v>-14920680772.419462</c:v>
                </c:pt>
                <c:pt idx="711">
                  <c:v>-13749889019.15234</c:v>
                </c:pt>
                <c:pt idx="712">
                  <c:v>-12574395904.488102</c:v>
                </c:pt>
                <c:pt idx="713">
                  <c:v>-11394623375.439417</c:v>
                </c:pt>
                <c:pt idx="714">
                  <c:v>-10210989412.489506</c:v>
                </c:pt>
                <c:pt idx="715">
                  <c:v>-9023908396.9574318</c:v>
                </c:pt>
                <c:pt idx="716">
                  <c:v>-7833791481.1479692</c:v>
                </c:pt>
                <c:pt idx="717">
                  <c:v>-6641046960.9225292</c:v>
                </c:pt>
                <c:pt idx="718">
                  <c:v>-5446080650.3440294</c:v>
                </c:pt>
                <c:pt idx="719">
                  <c:v>-4249296258.0808024</c:v>
                </c:pt>
                <c:pt idx="720">
                  <c:v>-3051095765.2635121</c:v>
                </c:pt>
                <c:pt idx="721">
                  <c:v>-1851879804.5154889</c:v>
                </c:pt>
                <c:pt idx="722">
                  <c:v>-652048039.87977207</c:v>
                </c:pt>
                <c:pt idx="723">
                  <c:v>548000452.6133703</c:v>
                </c:pt>
                <c:pt idx="724">
                  <c:v>1747866803.9964187</c:v>
                </c:pt>
                <c:pt idx="725">
                  <c:v>2947151971.2798891</c:v>
                </c:pt>
                <c:pt idx="726">
                  <c:v>4145456356.4791675</c:v>
                </c:pt>
                <c:pt idx="727">
                  <c:v>5342379426.0061531</c:v>
                </c:pt>
                <c:pt idx="728">
                  <c:v>6537519330.6740837</c:v>
                </c:pt>
                <c:pt idx="729">
                  <c:v>7730472526.581234</c:v>
                </c:pt>
                <c:pt idx="730">
                  <c:v>8920833397.1388187</c:v>
                </c:pt>
                <c:pt idx="731">
                  <c:v>10108193876.53182</c:v>
                </c:pt>
                <c:pt idx="732">
                  <c:v>11292143074.906845</c:v>
                </c:pt>
                <c:pt idx="733">
                  <c:v>12472266905.610376</c:v>
                </c:pt>
                <c:pt idx="734">
                  <c:v>13648147714.813423</c:v>
                </c:pt>
                <c:pt idx="735">
                  <c:v>14819363913.889254</c:v>
                </c:pt>
                <c:pt idx="736">
                  <c:v>15985489614.939018</c:v>
                </c:pt>
                <c:pt idx="737">
                  <c:v>17146094269.884359</c:v>
                </c:pt>
                <c:pt idx="738">
                  <c:v>18300742313.59269</c:v>
                </c:pt>
                <c:pt idx="739">
                  <c:v>19448992811.522659</c:v>
                </c:pt>
                <c:pt idx="740">
                  <c:v>20590399112.433598</c:v>
                </c:pt>
                <c:pt idx="741">
                  <c:v>21724508506.733131</c:v>
                </c:pt>
                <c:pt idx="742">
                  <c:v>22850861891.095493</c:v>
                </c:pt>
                <c:pt idx="743">
                  <c:v>23968993440.024429</c:v>
                </c:pt>
                <c:pt idx="744">
                  <c:v>25078430285.093723</c:v>
                </c:pt>
                <c:pt idx="745">
                  <c:v>26178692202.655823</c:v>
                </c:pt>
                <c:pt idx="746">
                  <c:v>27269291310.86359</c:v>
                </c:pt>
                <c:pt idx="747">
                  <c:v>28349731776.922871</c:v>
                </c:pt>
                <c:pt idx="748">
                  <c:v>29419509535.550827</c:v>
                </c:pt>
                <c:pt idx="749">
                  <c:v>30478112019.694054</c:v>
                </c:pt>
                <c:pt idx="750">
                  <c:v>31525017904.627064</c:v>
                </c:pt>
                <c:pt idx="751">
                  <c:v>32559696866.632545</c:v>
                </c:pt>
                <c:pt idx="752">
                  <c:v>33581609357.540855</c:v>
                </c:pt>
                <c:pt idx="753">
                  <c:v>34590206396.490387</c:v>
                </c:pt>
                <c:pt idx="754">
                  <c:v>35584929380.355873</c:v>
                </c:pt>
                <c:pt idx="755">
                  <c:v>36565209914.373909</c:v>
                </c:pt>
                <c:pt idx="756">
                  <c:v>37530469664.591423</c:v>
                </c:pt>
                <c:pt idx="757">
                  <c:v>38480120233.845245</c:v>
                </c:pt>
                <c:pt idx="758">
                  <c:v>39413563063.08168</c:v>
                </c:pt>
                <c:pt idx="759">
                  <c:v>40330189359.909187</c:v>
                </c:pt>
                <c:pt idx="760">
                  <c:v>41229380056.379936</c:v>
                </c:pt>
                <c:pt idx="761">
                  <c:v>42110505798.080414</c:v>
                </c:pt>
                <c:pt idx="762">
                  <c:v>42972926966.711792</c:v>
                </c:pt>
                <c:pt idx="763">
                  <c:v>43815993738.427101</c:v>
                </c:pt>
                <c:pt idx="764">
                  <c:v>44639046180.281715</c:v>
                </c:pt>
                <c:pt idx="765">
                  <c:v>45441414387.243317</c:v>
                </c:pt>
                <c:pt idx="766">
                  <c:v>46222418662.283119</c:v>
                </c:pt>
                <c:pt idx="767">
                  <c:v>46981369742.153717</c:v>
                </c:pt>
                <c:pt idx="768">
                  <c:v>47717569071.522781</c:v>
                </c:pt>
                <c:pt idx="769">
                  <c:v>48430309128.200722</c:v>
                </c:pt>
                <c:pt idx="770">
                  <c:v>49118873802.249443</c:v>
                </c:pt>
                <c:pt idx="771">
                  <c:v>49782538831.805748</c:v>
                </c:pt>
                <c:pt idx="772">
                  <c:v>50420572298.485641</c:v>
                </c:pt>
                <c:pt idx="773">
                  <c:v>51032235185.249161</c:v>
                </c:pt>
                <c:pt idx="774">
                  <c:v>51616781999.61573</c:v>
                </c:pt>
                <c:pt idx="775">
                  <c:v>52173461465.097076</c:v>
                </c:pt>
                <c:pt idx="776">
                  <c:v>52701517283.689156</c:v>
                </c:pt>
                <c:pt idx="777">
                  <c:v>53200188972.203743</c:v>
                </c:pt>
                <c:pt idx="778">
                  <c:v>53668712775.146873</c:v>
                </c:pt>
                <c:pt idx="779">
                  <c:v>54106322656.744492</c:v>
                </c:pt>
                <c:pt idx="780">
                  <c:v>54512251374.58683</c:v>
                </c:pt>
                <c:pt idx="781">
                  <c:v>54885731637.202057</c:v>
                </c:pt>
                <c:pt idx="782">
                  <c:v>55225997347.675011</c:v>
                </c:pt>
                <c:pt idx="783">
                  <c:v>55532284935.202751</c:v>
                </c:pt>
                <c:pt idx="784">
                  <c:v>55803834776.212311</c:v>
                </c:pt>
                <c:pt idx="785">
                  <c:v>56039892706.367004</c:v>
                </c:pt>
                <c:pt idx="786">
                  <c:v>56239711624.443123</c:v>
                </c:pt>
                <c:pt idx="787">
                  <c:v>56402553188.6782</c:v>
                </c:pt>
                <c:pt idx="788">
                  <c:v>56527689605.761246</c:v>
                </c:pt>
                <c:pt idx="789">
                  <c:v>56614405512.167076</c:v>
                </c:pt>
                <c:pt idx="790">
                  <c:v>56661999947.017181</c:v>
                </c:pt>
                <c:pt idx="791">
                  <c:v>56669788415.087318</c:v>
                </c:pt>
                <c:pt idx="792">
                  <c:v>56637105037.973274</c:v>
                </c:pt>
                <c:pt idx="793">
                  <c:v>56563304790.770058</c:v>
                </c:pt>
                <c:pt idx="794">
                  <c:v>56447765820.921654</c:v>
                </c:pt>
                <c:pt idx="795">
                  <c:v>56289891845.155174</c:v>
                </c:pt>
                <c:pt idx="796">
                  <c:v>56089114619.630142</c:v>
                </c:pt>
                <c:pt idx="797">
                  <c:v>55844896477.612968</c:v>
                </c:pt>
                <c:pt idx="798">
                  <c:v>55556732928.13134</c:v>
                </c:pt>
                <c:pt idx="799">
                  <c:v>55224155308.179283</c:v>
                </c:pt>
                <c:pt idx="800">
                  <c:v>54846733480.135841</c:v>
                </c:pt>
                <c:pt idx="801">
                  <c:v>54424078565.134209</c:v>
                </c:pt>
                <c:pt idx="802">
                  <c:v>53955845702.1838</c:v>
                </c:pt>
                <c:pt idx="803">
                  <c:v>53441736821.908501</c:v>
                </c:pt>
                <c:pt idx="804">
                  <c:v>52881503422.836983</c:v>
                </c:pt>
                <c:pt idx="805">
                  <c:v>52274949337.264778</c:v>
                </c:pt>
                <c:pt idx="806">
                  <c:v>51621933472.82695</c:v>
                </c:pt>
                <c:pt idx="807">
                  <c:v>50922372515.071793</c:v>
                </c:pt>
                <c:pt idx="808">
                  <c:v>50176243575.536713</c:v>
                </c:pt>
                <c:pt idx="809">
                  <c:v>49383586769.098175</c:v>
                </c:pt>
                <c:pt idx="810">
                  <c:v>48544507703.717567</c:v>
                </c:pt>
                <c:pt idx="811">
                  <c:v>47659179865.152496</c:v>
                </c:pt>
                <c:pt idx="812">
                  <c:v>46727846878.743271</c:v>
                </c:pt>
                <c:pt idx="813">
                  <c:v>45750824630.063789</c:v>
                </c:pt>
                <c:pt idx="814">
                  <c:v>44728503226.014046</c:v>
                </c:pt>
                <c:pt idx="815">
                  <c:v>43661348777.890495</c:v>
                </c:pt>
                <c:pt idx="816">
                  <c:v>42549904988.060066</c:v>
                </c:pt>
                <c:pt idx="817">
                  <c:v>41394794522.147797</c:v>
                </c:pt>
                <c:pt idx="818">
                  <c:v>40196720149.08419</c:v>
                </c:pt>
                <c:pt idx="819">
                  <c:v>38956465632.002243</c:v>
                </c:pt>
                <c:pt idx="820">
                  <c:v>37674896353.78746</c:v>
                </c:pt>
                <c:pt idx="821">
                  <c:v>36352959662.111366</c:v>
                </c:pt>
                <c:pt idx="822">
                  <c:v>34991684919.986557</c:v>
                </c:pt>
                <c:pt idx="823">
                  <c:v>33592183249.28941</c:v>
                </c:pt>
                <c:pt idx="824">
                  <c:v>32155646956.296612</c:v>
                </c:pt>
                <c:pt idx="825">
                  <c:v>30683348630.056961</c:v>
                </c:pt>
                <c:pt idx="826">
                  <c:v>29176639906.377312</c:v>
                </c:pt>
                <c:pt idx="827">
                  <c:v>27636949892.303875</c:v>
                </c:pt>
                <c:pt idx="828">
                  <c:v>26065783248.244846</c:v>
                </c:pt>
                <c:pt idx="829">
                  <c:v>24464717927.244957</c:v>
                </c:pt>
                <c:pt idx="830">
                  <c:v>22835402573.41217</c:v>
                </c:pt>
                <c:pt idx="831">
                  <c:v>21179553584.045258</c:v>
                </c:pt>
                <c:pt idx="832">
                  <c:v>19498951842.615456</c:v>
                </c:pt>
                <c:pt idx="833">
                  <c:v>17795439132.39043</c:v>
                </c:pt>
                <c:pt idx="834">
                  <c:v>16070914243.093105</c:v>
                </c:pt>
                <c:pt idx="835">
                  <c:v>14327328785.581114</c:v>
                </c:pt>
                <c:pt idx="836">
                  <c:v>12566682732.018291</c:v>
                </c:pt>
                <c:pt idx="837">
                  <c:v>10791019701.433218</c:v>
                </c:pt>
                <c:pt idx="838">
                  <c:v>9002422012.8026352</c:v>
                </c:pt>
                <c:pt idx="839">
                  <c:v>7203005529.915472</c:v>
                </c:pt>
                <c:pt idx="840">
                  <c:v>5394914324.1688471</c:v>
                </c:pt>
                <c:pt idx="841">
                  <c:v>3580315183.1326513</c:v>
                </c:pt>
                <c:pt idx="842">
                  <c:v>1761391994.1687791</c:v>
                </c:pt>
                <c:pt idx="843">
                  <c:v>-59659966.446515523</c:v>
                </c:pt>
                <c:pt idx="844">
                  <c:v>-1880639807.5383158</c:v>
                </c:pt>
                <c:pt idx="845">
                  <c:v>-3699346828.2434454</c:v>
                </c:pt>
                <c:pt idx="846">
                  <c:v>-5513586322.1590786</c:v>
                </c:pt>
                <c:pt idx="847">
                  <c:v>-7321175348.1992388</c:v>
                </c:pt>
                <c:pt idx="848">
                  <c:v>-9119948436.2286358</c:v>
                </c:pt>
                <c:pt idx="849">
                  <c:v>-10907763196.184046</c:v>
                </c:pt>
                <c:pt idx="850">
                  <c:v>-12682505800.284567</c:v>
                </c:pt>
                <c:pt idx="851">
                  <c:v>-14442096309.143553</c:v>
                </c:pt>
                <c:pt idx="852">
                  <c:v>-16184493814.047205</c:v>
                </c:pt>
                <c:pt idx="853">
                  <c:v>-17907701369.358398</c:v>
                </c:pt>
                <c:pt idx="854">
                  <c:v>-19609770690.93676</c:v>
                </c:pt>
                <c:pt idx="855">
                  <c:v>-21288806598.562408</c:v>
                </c:pt>
                <c:pt idx="856">
                  <c:v>-22942971182.641441</c:v>
                </c:pt>
                <c:pt idx="857">
                  <c:v>-24570487677.864693</c:v>
                </c:pt>
                <c:pt idx="858">
                  <c:v>-26169644029.016941</c:v>
                </c:pt>
                <c:pt idx="859">
                  <c:v>-27738796136.701603</c:v>
                </c:pt>
                <c:pt idx="860">
                  <c:v>-29276370773.371761</c:v>
                </c:pt>
                <c:pt idx="861">
                  <c:v>-30780868162.688763</c:v>
                </c:pt>
                <c:pt idx="862">
                  <c:v>-32250864217.817345</c:v>
                </c:pt>
                <c:pt idx="863">
                  <c:v>-33685012436.836975</c:v>
                </c:pt>
                <c:pt idx="864">
                  <c:v>-35082045455.903633</c:v>
                </c:pt>
                <c:pt idx="865">
                  <c:v>-36440776263.18058</c:v>
                </c:pt>
                <c:pt idx="866">
                  <c:v>-37760099078.788376</c:v>
                </c:pt>
                <c:pt idx="867">
                  <c:v>-39038989908.137314</c:v>
                </c:pt>
                <c:pt idx="868">
                  <c:v>-40276506777.936073</c:v>
                </c:pt>
                <c:pt idx="869">
                  <c:v>-41471789665.944641</c:v>
                </c:pt>
                <c:pt idx="870">
                  <c:v>-42624060137.123917</c:v>
                </c:pt>
                <c:pt idx="871">
                  <c:v>-43732620700.223999</c:v>
                </c:pt>
                <c:pt idx="872">
                  <c:v>-44796853900.061378</c:v>
                </c:pt>
                <c:pt idx="873">
                  <c:v>-45816221161.733788</c:v>
                </c:pt>
                <c:pt idx="874">
                  <c:v>-46790261403.837151</c:v>
                </c:pt>
                <c:pt idx="875">
                  <c:v>-47718589438.365334</c:v>
                </c:pt>
                <c:pt idx="876">
                  <c:v>-48600894175.415817</c:v>
                </c:pt>
                <c:pt idx="877">
                  <c:v>-49436936651.076988</c:v>
                </c:pt>
                <c:pt idx="878">
                  <c:v>-50226547896.970093</c:v>
                </c:pt>
                <c:pt idx="879">
                  <c:v>-50969626669.854584</c:v>
                </c:pt>
                <c:pt idx="880">
                  <c:v>-51666137059.493141</c:v>
                </c:pt>
                <c:pt idx="881">
                  <c:v>-52316105992.638741</c:v>
                </c:pt>
                <c:pt idx="882">
                  <c:v>-52919620650.540993</c:v>
                </c:pt>
                <c:pt idx="883">
                  <c:v>-53476825816.811745</c:v>
                </c:pt>
                <c:pt idx="884">
                  <c:v>-53987921171.829155</c:v>
                </c:pt>
                <c:pt idx="885">
                  <c:v>-54453158549.133789</c:v>
                </c:pt>
                <c:pt idx="886">
                  <c:v>-54872839168.467674</c:v>
                </c:pt>
                <c:pt idx="887">
                  <c:v>-55247310859.263962</c:v>
                </c:pt>
                <c:pt idx="888">
                  <c:v>-55576965287.506943</c:v>
                </c:pt>
                <c:pt idx="889">
                  <c:v>-55862235197.966248</c:v>
                </c:pt>
                <c:pt idx="890">
                  <c:v>-56103591682.881096</c:v>
                </c:pt>
                <c:pt idx="891">
                  <c:v>-56301541487.229996</c:v>
                </c:pt>
                <c:pt idx="892">
                  <c:v>-56456624359.788719</c:v>
                </c:pt>
                <c:pt idx="893">
                  <c:v>-56569410458.252968</c:v>
                </c:pt>
                <c:pt idx="894">
                  <c:v>-56640497815.796822</c:v>
                </c:pt>
                <c:pt idx="895">
                  <c:v>-56670509875.554535</c:v>
                </c:pt>
                <c:pt idx="896">
                  <c:v>-56660093098.661575</c:v>
                </c:pt>
                <c:pt idx="897">
                  <c:v>-56609914650.671127</c:v>
                </c:pt>
                <c:pt idx="898">
                  <c:v>-56520660170.382301</c:v>
                </c:pt>
                <c:pt idx="899">
                  <c:v>-56393031624.376266</c:v>
                </c:pt>
                <c:pt idx="900">
                  <c:v>-56227745249.860123</c:v>
                </c:pt>
                <c:pt idx="901">
                  <c:v>-56025529587.765976</c:v>
                </c:pt>
                <c:pt idx="902">
                  <c:v>-55787123607.447388</c:v>
                </c:pt>
                <c:pt idx="903">
                  <c:v>-55513274923.753799</c:v>
                </c:pt>
                <c:pt idx="904">
                  <c:v>-55204738106.750816</c:v>
                </c:pt>
                <c:pt idx="905">
                  <c:v>-54862273083.884491</c:v>
                </c:pt>
                <c:pt idx="906">
                  <c:v>-54486643633.963158</c:v>
                </c:pt>
                <c:pt idx="907">
                  <c:v>-54078615971.951187</c:v>
                </c:pt>
                <c:pt idx="908">
                  <c:v>-53638957423.226868</c:v>
                </c:pt>
                <c:pt idx="909">
                  <c:v>-53168435185.661346</c:v>
                </c:pt>
                <c:pt idx="910">
                  <c:v>-52667815177.609901</c:v>
                </c:pt>
                <c:pt idx="911">
                  <c:v>-52137860969.687599</c:v>
                </c:pt>
                <c:pt idx="912">
                  <c:v>-51579332798.005104</c:v>
                </c:pt>
                <c:pt idx="913">
                  <c:v>-50992986656.386749</c:v>
                </c:pt>
                <c:pt idx="914">
                  <c:v>-50379573464.958992</c:v>
                </c:pt>
                <c:pt idx="915">
                  <c:v>-49739838312.400307</c:v>
                </c:pt>
                <c:pt idx="916">
                  <c:v>-49074519769.064003</c:v>
                </c:pt>
                <c:pt idx="917">
                  <c:v>-48384349268.132614</c:v>
                </c:pt>
                <c:pt idx="918">
                  <c:v>-47670050551.933052</c:v>
                </c:pt>
                <c:pt idx="919">
                  <c:v>-46932339180.523544</c:v>
                </c:pt>
                <c:pt idx="920">
                  <c:v>-46171922099.673523</c:v>
                </c:pt>
                <c:pt idx="921">
                  <c:v>-45389497265.369827</c:v>
                </c:pt>
                <c:pt idx="922">
                  <c:v>-44585753322.022873</c:v>
                </c:pt>
                <c:pt idx="923">
                  <c:v>-43761369331.581871</c:v>
                </c:pt>
                <c:pt idx="924">
                  <c:v>-42917014550.83242</c:v>
                </c:pt>
                <c:pt idx="925">
                  <c:v>-42053348254.205902</c:v>
                </c:pt>
                <c:pt idx="926">
                  <c:v>-41171019599.503006</c:v>
                </c:pt>
                <c:pt idx="927">
                  <c:v>-40270667534.01413</c:v>
                </c:pt>
                <c:pt idx="928">
                  <c:v>-39352920738.595306</c:v>
                </c:pt>
                <c:pt idx="929">
                  <c:v>-38418397607.351463</c:v>
                </c:pt>
                <c:pt idx="930">
                  <c:v>-37467706260.660736</c:v>
                </c:pt>
                <c:pt idx="931">
                  <c:v>-36501444589.372528</c:v>
                </c:pt>
                <c:pt idx="932">
                  <c:v>-35520200328.096909</c:v>
                </c:pt>
                <c:pt idx="933">
                  <c:v>-34524551155.603363</c:v>
                </c:pt>
                <c:pt idx="934">
                  <c:v>-33515064820.437008</c:v>
                </c:pt>
                <c:pt idx="935">
                  <c:v>-32492299289.950325</c:v>
                </c:pt>
                <c:pt idx="936">
                  <c:v>-31456802921.050156</c:v>
                </c:pt>
                <c:pt idx="937">
                  <c:v>-30409114651.03788</c:v>
                </c:pt>
                <c:pt idx="938">
                  <c:v>-29349764207.02142</c:v>
                </c:pt>
                <c:pt idx="939">
                  <c:v>-28279272332.453468</c:v>
                </c:pt>
                <c:pt idx="940">
                  <c:v>-27198151029.447189</c:v>
                </c:pt>
                <c:pt idx="941">
                  <c:v>-26106903815.588135</c:v>
                </c:pt>
                <c:pt idx="942">
                  <c:v>-25006025994.054703</c:v>
                </c:pt>
                <c:pt idx="943">
                  <c:v>-23896004935.923161</c:v>
                </c:pt>
                <c:pt idx="944">
                  <c:v>-22777320373.616772</c:v>
                </c:pt>
                <c:pt idx="945">
                  <c:v>-21650444704.519295</c:v>
                </c:pt>
                <c:pt idx="946">
                  <c:v>-20515843303.847698</c:v>
                </c:pt>
                <c:pt idx="947">
                  <c:v>-19373974845.938656</c:v>
                </c:pt>
                <c:pt idx="948">
                  <c:v>-18225291633.160065</c:v>
                </c:pt>
                <c:pt idx="949">
                  <c:v>-17070239931.726543</c:v>
                </c:pt>
                <c:pt idx="950">
                  <c:v>-15909260313.737284</c:v>
                </c:pt>
                <c:pt idx="951">
                  <c:v>-14742788004.818115</c:v>
                </c:pt>
                <c:pt idx="952">
                  <c:v>-13571253236.785244</c:v>
                </c:pt>
                <c:pt idx="953">
                  <c:v>-12395081604.802109</c:v>
                </c:pt>
                <c:pt idx="954">
                  <c:v>-11214694428.531261</c:v>
                </c:pt>
                <c:pt idx="955">
                  <c:v>-10030509116.82926</c:v>
                </c:pt>
                <c:pt idx="956">
                  <c:v>-8842939535.5609818</c:v>
                </c:pt>
                <c:pt idx="957">
                  <c:v>-7652396378.1406889</c:v>
                </c:pt>
                <c:pt idx="958">
                  <c:v>-6459287538.4403791</c:v>
                </c:pt>
                <c:pt idx="959">
                  <c:v>-5264018485.7227888</c:v>
                </c:pt>
                <c:pt idx="960">
                  <c:v>-4066992641.284884</c:v>
                </c:pt>
                <c:pt idx="961">
                  <c:v>-2868611756.5116515</c:v>
                </c:pt>
                <c:pt idx="962">
                  <c:v>-1669276292.0603936</c:v>
                </c:pt>
                <c:pt idx="963">
                  <c:v>-469385797.90169263</c:v>
                </c:pt>
                <c:pt idx="964">
                  <c:v>730660706.03900754</c:v>
                </c:pt>
                <c:pt idx="965">
                  <c:v>1930464348.8938801</c:v>
                </c:pt>
                <c:pt idx="966">
                  <c:v>3129626027.7698841</c:v>
                </c:pt>
                <c:pt idx="967">
                  <c:v>4327746026.8144493</c:v>
                </c:pt>
                <c:pt idx="968">
                  <c:v>5524423636.6843567</c:v>
                </c:pt>
                <c:pt idx="969">
                  <c:v>6719256774.6669168</c:v>
                </c:pt>
                <c:pt idx="970">
                  <c:v>7911841605.7206564</c:v>
                </c:pt>
                <c:pt idx="971">
                  <c:v>9101772164.7016354</c:v>
                </c:pt>
                <c:pt idx="972">
                  <c:v>10288639980.068783</c:v>
                </c:pt>
                <c:pt idx="973">
                  <c:v>11472033699.36178</c:v>
                </c:pt>
                <c:pt idx="974">
                  <c:v>12651538716.780453</c:v>
                </c:pt>
                <c:pt idx="975">
                  <c:v>13826736803.204264</c:v>
                </c:pt>
                <c:pt idx="976">
                  <c:v>14997205739.022854</c:v>
                </c:pt>
                <c:pt idx="977">
                  <c:v>16162518950.17675</c:v>
                </c:pt>
                <c:pt idx="978">
                  <c:v>17322245147.83337</c:v>
                </c:pt>
                <c:pt idx="979">
                  <c:v>18475947972.167053</c:v>
                </c:pt>
                <c:pt idx="980">
                  <c:v>19623185640.73983</c:v>
                </c:pt>
                <c:pt idx="981">
                  <c:v>20763510602.03072</c:v>
                </c:pt>
                <c:pt idx="982">
                  <c:v>21896469194.695866</c:v>
                </c:pt>
                <c:pt idx="983">
                  <c:v>23021601313.199226</c:v>
                </c:pt>
                <c:pt idx="984">
                  <c:v>24138440080.494934</c:v>
                </c:pt>
                <c:pt idx="985">
                  <c:v>25246511528.505211</c:v>
                </c:pt>
                <c:pt idx="986">
                  <c:v>26345334287.189907</c:v>
                </c:pt>
                <c:pt idx="987">
                  <c:v>27434419283.064899</c:v>
                </c:pt>
                <c:pt idx="988">
                  <c:v>28513269448.095699</c:v>
                </c:pt>
                <c:pt idx="989">
                  <c:v>29581379439.952076</c:v>
                </c:pt>
                <c:pt idx="990">
                  <c:v>30638235374.689167</c:v>
                </c:pt>
                <c:pt idx="991">
                  <c:v>31683314572.985283</c:v>
                </c:pt>
                <c:pt idx="992">
                  <c:v>32716085321.152355</c:v>
                </c:pt>
                <c:pt idx="993">
                  <c:v>33736006648.20668</c:v>
                </c:pt>
                <c:pt idx="994">
                  <c:v>34742528120.375221</c:v>
                </c:pt>
                <c:pt idx="995">
                  <c:v>35735089654.497635</c:v>
                </c:pt>
                <c:pt idx="996">
                  <c:v>36713121351.865898</c:v>
                </c:pt>
                <c:pt idx="997">
                  <c:v>37676043354.142891</c:v>
                </c:pt>
                <c:pt idx="998">
                  <c:v>38623265723.079559</c:v>
                </c:pt>
                <c:pt idx="999">
                  <c:v>39554188345.855469</c:v>
                </c:pt>
                <c:pt idx="1000">
                  <c:v>40468200867.949539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D8-4B37-987E-3D786122882E}"/>
            </c:ext>
          </c:extLst>
        </c:ser>
        <c:ser>
          <c:idx val="2"/>
          <c:order val="2"/>
          <c:tx>
            <c:v>Precesión Mercurio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Data!$O$13:$O$1013</c:f>
              <c:numCache>
                <c:formatCode>0.00E+00</c:formatCode>
                <c:ptCount val="1001"/>
                <c:pt idx="0">
                  <c:v>69001572968.304932</c:v>
                </c:pt>
                <c:pt idx="1">
                  <c:v>68981483492.490036</c:v>
                </c:pt>
                <c:pt idx="2">
                  <c:v>68921217247.08255</c:v>
                </c:pt>
                <c:pt idx="3">
                  <c:v>68820780788.724442</c:v>
                </c:pt>
                <c:pt idx="4">
                  <c:v>68680185080.262703</c:v>
                </c:pt>
                <c:pt idx="5">
                  <c:v>68499445543.445175</c:v>
                </c:pt>
                <c:pt idx="6">
                  <c:v>68278582132.755493</c:v>
                </c:pt>
                <c:pt idx="7">
                  <c:v>68017619430.447105</c:v>
                </c:pt>
                <c:pt idx="8">
                  <c:v>67716586762.85289</c:v>
                </c:pt>
                <c:pt idx="9">
                  <c:v>67375518338.063248</c:v>
                </c:pt>
                <c:pt idx="10">
                  <c:v>66994453405.079712</c:v>
                </c:pt>
                <c:pt idx="11">
                  <c:v>66573436434.567055</c:v>
                </c:pt>
                <c:pt idx="12">
                  <c:v>66112517321.339043</c:v>
                </c:pt>
                <c:pt idx="13">
                  <c:v>65611751608.725845</c:v>
                </c:pt>
                <c:pt idx="14">
                  <c:v>65071200734.983063</c:v>
                </c:pt>
                <c:pt idx="15">
                  <c:v>64490932301.910477</c:v>
                </c:pt>
                <c:pt idx="16">
                  <c:v>63871020365.858681</c:v>
                </c:pt>
                <c:pt idx="17">
                  <c:v>63211545751.307213</c:v>
                </c:pt>
                <c:pt idx="18">
                  <c:v>62512596387.202721</c:v>
                </c:pt>
                <c:pt idx="19">
                  <c:v>61774267666.248322</c:v>
                </c:pt>
                <c:pt idx="20">
                  <c:v>60996662827.336205</c:v>
                </c:pt>
                <c:pt idx="21">
                  <c:v>60179893361.31234</c:v>
                </c:pt>
                <c:pt idx="22">
                  <c:v>59324079440.258255</c:v>
                </c:pt>
                <c:pt idx="23">
                  <c:v>58429350370.467194</c:v>
                </c:pt>
                <c:pt idx="24">
                  <c:v>57495845069.280319</c:v>
                </c:pt>
                <c:pt idx="25">
                  <c:v>56523712565.935509</c:v>
                </c:pt>
                <c:pt idx="26">
                  <c:v>55513112526.56279</c:v>
                </c:pt>
                <c:pt idx="27">
                  <c:v>54464215803.439041</c:v>
                </c:pt>
                <c:pt idx="28">
                  <c:v>53377205008.588684</c:v>
                </c:pt>
                <c:pt idx="29">
                  <c:v>52252275111.786888</c:v>
                </c:pt>
                <c:pt idx="30">
                  <c:v>51089634062.986412</c:v>
                </c:pt>
                <c:pt idx="31">
                  <c:v>49889503439.149658</c:v>
                </c:pt>
                <c:pt idx="32">
                  <c:v>48652119115.421501</c:v>
                </c:pt>
                <c:pt idx="33">
                  <c:v>47377731960.527565</c:v>
                </c:pt>
                <c:pt idx="34">
                  <c:v>46066608556.225441</c:v>
                </c:pt>
                <c:pt idx="35">
                  <c:v>44719031940.572601</c:v>
                </c:pt>
                <c:pt idx="36">
                  <c:v>43335302374.704994</c:v>
                </c:pt>
                <c:pt idx="37">
                  <c:v>41915738132.742149</c:v>
                </c:pt>
                <c:pt idx="38">
                  <c:v>40460676314.351509</c:v>
                </c:pt>
                <c:pt idx="39">
                  <c:v>38970473679.410614</c:v>
                </c:pt>
                <c:pt idx="40">
                  <c:v>37445507504.106857</c:v>
                </c:pt>
                <c:pt idx="41">
                  <c:v>35886176457.705399</c:v>
                </c:pt>
                <c:pt idx="42">
                  <c:v>34292901499.09811</c:v>
                </c:pt>
                <c:pt idx="43">
                  <c:v>32666126792.121025</c:v>
                </c:pt>
                <c:pt idx="44">
                  <c:v>31006320638.491684</c:v>
                </c:pt>
                <c:pt idx="45">
                  <c:v>29313976427.073307</c:v>
                </c:pt>
                <c:pt idx="46">
                  <c:v>27589613598.018322</c:v>
                </c:pt>
                <c:pt idx="47">
                  <c:v>25833778620.179195</c:v>
                </c:pt>
                <c:pt idx="48">
                  <c:v>24047045980.001091</c:v>
                </c:pt>
                <c:pt idx="49">
                  <c:v>22230019179.926384</c:v>
                </c:pt>
                <c:pt idx="50">
                  <c:v>20383331744.147125</c:v>
                </c:pt>
                <c:pt idx="51">
                  <c:v>18507648229.338291</c:v>
                </c:pt>
                <c:pt idx="52">
                  <c:v>16603665237.790236</c:v>
                </c:pt>
                <c:pt idx="53">
                  <c:v>14672112430.136938</c:v>
                </c:pt>
                <c:pt idx="54">
                  <c:v>12713753534.643789</c:v>
                </c:pt>
                <c:pt idx="55">
                  <c:v>10729387349.778069</c:v>
                </c:pt>
                <c:pt idx="56">
                  <c:v>8719848736.537035</c:v>
                </c:pt>
                <c:pt idx="57">
                  <c:v>6686009596.7517567</c:v>
                </c:pt>
                <c:pt idx="58">
                  <c:v>4628779833.3224182</c:v>
                </c:pt>
                <c:pt idx="59">
                  <c:v>2549108288.0726547</c:v>
                </c:pt>
                <c:pt idx="60">
                  <c:v>447983652.63779318</c:v>
                </c:pt>
                <c:pt idx="61">
                  <c:v>-1673564652.4735169</c:v>
                </c:pt>
                <c:pt idx="62">
                  <c:v>-3814465635.7827115</c:v>
                </c:pt>
                <c:pt idx="63">
                  <c:v>-5973605935.1240778</c:v>
                </c:pt>
                <c:pt idx="64">
                  <c:v>-8149829065.9968128</c:v>
                </c:pt>
                <c:pt idx="65">
                  <c:v>-10341934723.947283</c:v>
                </c:pt>
                <c:pt idx="66">
                  <c:v>-12548678147.205458</c:v>
                </c:pt>
                <c:pt idx="67">
                  <c:v>-14768769546.055668</c:v>
                </c:pt>
                <c:pt idx="68">
                  <c:v>-17000873605.664694</c:v>
                </c:pt>
                <c:pt idx="69">
                  <c:v>-19243609069.318302</c:v>
                </c:pt>
                <c:pt idx="70">
                  <c:v>-21495548409.228168</c:v>
                </c:pt>
                <c:pt idx="71">
                  <c:v>-23755217592.25959</c:v>
                </c:pt>
                <c:pt idx="72">
                  <c:v>-26021095948.095192</c:v>
                </c:pt>
                <c:pt idx="73">
                  <c:v>-28291616147.482971</c:v>
                </c:pt>
                <c:pt idx="74">
                  <c:v>-30565164298.32151</c:v>
                </c:pt>
                <c:pt idx="75">
                  <c:v>-32840080167.398876</c:v>
                </c:pt>
                <c:pt idx="76">
                  <c:v>-35114657535.626419</c:v>
                </c:pt>
                <c:pt idx="77">
                  <c:v>-37387144694.587166</c:v>
                </c:pt>
                <c:pt idx="78">
                  <c:v>-39655745092.147804</c:v>
                </c:pt>
                <c:pt idx="79">
                  <c:v>-41918618134.757652</c:v>
                </c:pt>
                <c:pt idx="80">
                  <c:v>-44173880153.87429</c:v>
                </c:pt>
                <c:pt idx="81">
                  <c:v>-46419605543.70929</c:v>
                </c:pt>
                <c:pt idx="82">
                  <c:v>-48653828077.175247</c:v>
                </c:pt>
                <c:pt idx="83">
                  <c:v>-50874542406.529564</c:v>
                </c:pt>
                <c:pt idx="84">
                  <c:v>-53079705754.756447</c:v>
                </c:pt>
                <c:pt idx="85">
                  <c:v>-55267239803.190811</c:v>
                </c:pt>
                <c:pt idx="86">
                  <c:v>-57435032780.27552</c:v>
                </c:pt>
                <c:pt idx="87">
                  <c:v>-59580941755.647324</c:v>
                </c:pt>
                <c:pt idx="88">
                  <c:v>-61702795142.96608</c:v>
                </c:pt>
                <c:pt idx="89">
                  <c:v>-63798395414.04068</c:v>
                </c:pt>
                <c:pt idx="90">
                  <c:v>-65865522025.855782</c:v>
                </c:pt>
                <c:pt idx="91">
                  <c:v>-67901934561.074677</c:v>
                </c:pt>
                <c:pt idx="92">
                  <c:v>-69905376081.480804</c:v>
                </c:pt>
                <c:pt idx="93">
                  <c:v>-71873576692.631363</c:v>
                </c:pt>
                <c:pt idx="94">
                  <c:v>-73804257316.732819</c:v>
                </c:pt>
                <c:pt idx="95">
                  <c:v>-75695133669.413864</c:v>
                </c:pt>
                <c:pt idx="96">
                  <c:v>-77543920434.678009</c:v>
                </c:pt>
                <c:pt idx="97">
                  <c:v>-79348335630.86554</c:v>
                </c:pt>
                <c:pt idx="98">
                  <c:v>-81106105158.959274</c:v>
                </c:pt>
                <c:pt idx="99">
                  <c:v>-82814967523.037384</c:v>
                </c:pt>
                <c:pt idx="100">
                  <c:v>-84472678711.116867</c:v>
                </c:pt>
                <c:pt idx="101">
                  <c:v>-86077017223.066849</c:v>
                </c:pt>
                <c:pt idx="102">
                  <c:v>-87625789230.700806</c:v>
                </c:pt>
                <c:pt idx="103">
                  <c:v>-89116833853.608337</c:v>
                </c:pt>
                <c:pt idx="104">
                  <c:v>-90548028532.768646</c:v>
                </c:pt>
                <c:pt idx="105">
                  <c:v>-91917294482.518402</c:v>
                </c:pt>
                <c:pt idx="106">
                  <c:v>-93222602200.041611</c:v>
                </c:pt>
                <c:pt idx="107">
                  <c:v>-94461977010.228424</c:v>
                </c:pt>
                <c:pt idx="108">
                  <c:v>-95633504622.528717</c:v>
                </c:pt>
                <c:pt idx="109">
                  <c:v>-96735336675.320648</c:v>
                </c:pt>
                <c:pt idx="110">
                  <c:v>-97765696242.348358</c:v>
                </c:pt>
                <c:pt idx="111">
                  <c:v>-98722883274.963776</c:v>
                </c:pt>
                <c:pt idx="112">
                  <c:v>-99605279953.257797</c:v>
                </c:pt>
                <c:pt idx="113">
                  <c:v>-100411355918.69833</c:v>
                </c:pt>
                <c:pt idx="114">
                  <c:v>-101139673360.61942</c:v>
                </c:pt>
                <c:pt idx="115">
                  <c:v>-101788891928.83897</c:v>
                </c:pt>
                <c:pt idx="116">
                  <c:v>-102357773444.83357</c:v>
                </c:pt>
                <c:pt idx="117">
                  <c:v>-102845186384.27142</c:v>
                </c:pt>
                <c:pt idx="118">
                  <c:v>-103250110104.30911</c:v>
                </c:pt>
                <c:pt idx="119">
                  <c:v>-103571638789.8911</c:v>
                </c:pt>
                <c:pt idx="120">
                  <c:v>-103808985094.35738</c:v>
                </c:pt>
                <c:pt idx="121">
                  <c:v>-103961483450.95842</c:v>
                </c:pt>
                <c:pt idx="122">
                  <c:v>-104028593033.39484</c:v>
                </c:pt>
                <c:pt idx="123">
                  <c:v>-104009900345.22688</c:v>
                </c:pt>
                <c:pt idx="124">
                  <c:v>-103905121419.93408</c:v>
                </c:pt>
                <c:pt idx="125">
                  <c:v>-103714103615.52206</c:v>
                </c:pt>
                <c:pt idx="126">
                  <c:v>-103436826989.86559</c:v>
                </c:pt>
                <c:pt idx="127">
                  <c:v>-103073405245.41483</c:v>
                </c:pt>
                <c:pt idx="128">
                  <c:v>-102624086234.46141</c:v>
                </c:pt>
                <c:pt idx="129">
                  <c:v>-102089252018.8326</c:v>
                </c:pt>
                <c:pt idx="130">
                  <c:v>-101469418480.63373</c:v>
                </c:pt>
                <c:pt idx="131">
                  <c:v>-100765234483.46141</c:v>
                </c:pt>
                <c:pt idx="132">
                  <c:v>-99977480586.337631</c:v>
                </c:pt>
                <c:pt idx="133">
                  <c:v>-99107067315.436005</c:v>
                </c:pt>
                <c:pt idx="134">
                  <c:v>-98155033001.461121</c:v>
                </c:pt>
                <c:pt idx="135">
                  <c:v>-97122541193.269196</c:v>
                </c:pt>
                <c:pt idx="136">
                  <c:v>-96010877660.957245</c:v>
                </c:pt>
                <c:pt idx="137">
                  <c:v>-94821447004.1707</c:v>
                </c:pt>
                <c:pt idx="138">
                  <c:v>-93555768883.763702</c:v>
                </c:pt>
                <c:pt idx="139">
                  <c:v>-92215473897.16539</c:v>
                </c:pt>
                <c:pt idx="140">
                  <c:v>-90802299119.843353</c:v>
                </c:pt>
                <c:pt idx="141">
                  <c:v>-89318083337.088669</c:v>
                </c:pt>
                <c:pt idx="142">
                  <c:v>-87764761991.96344</c:v>
                </c:pt>
                <c:pt idx="143">
                  <c:v>-86144361876.640213</c:v>
                </c:pt>
                <c:pt idx="144">
                  <c:v>-84458995595.506088</c:v>
                </c:pt>
                <c:pt idx="145">
                  <c:v>-82710855829.306396</c:v>
                </c:pt>
                <c:pt idx="146">
                  <c:v>-80902209430.252853</c:v>
                </c:pt>
                <c:pt idx="147">
                  <c:v>-79035391378.419067</c:v>
                </c:pt>
                <c:pt idx="148">
                  <c:v>-77112798629.90155</c:v>
                </c:pt>
                <c:pt idx="149">
                  <c:v>-75136883887.131531</c:v>
                </c:pt>
                <c:pt idx="150">
                  <c:v>-73110149321.401749</c:v>
                </c:pt>
                <c:pt idx="151">
                  <c:v>-71035140277.125687</c:v>
                </c:pt>
                <c:pt idx="152">
                  <c:v>-68914438986.588531</c:v>
                </c:pt>
                <c:pt idx="153">
                  <c:v>-66750658323.000282</c:v>
                </c:pt>
                <c:pt idx="154">
                  <c:v>-64546435618.528435</c:v>
                </c:pt>
                <c:pt idx="155">
                  <c:v>-62304426572.69986</c:v>
                </c:pt>
                <c:pt idx="156">
                  <c:v>-60027299275.125786</c:v>
                </c:pt>
                <c:pt idx="157">
                  <c:v>-57717728364.952782</c:v>
                </c:pt>
                <c:pt idx="158">
                  <c:v>-55378389347.783768</c:v>
                </c:pt>
                <c:pt idx="159">
                  <c:v>-53011953089.076981</c:v>
                </c:pt>
                <c:pt idx="160">
                  <c:v>-50621080501.230461</c:v>
                </c:pt>
                <c:pt idx="161">
                  <c:v>-48208417439.720108</c:v>
                </c:pt>
                <c:pt idx="162">
                  <c:v>-45776589821.792328</c:v>
                </c:pt>
                <c:pt idx="163">
                  <c:v>-43328198979.348671</c:v>
                </c:pt>
                <c:pt idx="164">
                  <c:v>-40865817255.798653</c:v>
                </c:pt>
                <c:pt idx="165">
                  <c:v>-38391983854.831078</c:v>
                </c:pt>
                <c:pt idx="166">
                  <c:v>-35909200947.271194</c:v>
                </c:pt>
                <c:pt idx="167">
                  <c:v>-33419930040.457989</c:v>
                </c:pt>
                <c:pt idx="168">
                  <c:v>-30926588612.91748</c:v>
                </c:pt>
                <c:pt idx="169">
                  <c:v>-28431547015.522827</c:v>
                </c:pt>
                <c:pt idx="170">
                  <c:v>-25937125638.835232</c:v>
                </c:pt>
                <c:pt idx="171">
                  <c:v>-23445592344.914242</c:v>
                </c:pt>
                <c:pt idx="172">
                  <c:v>-20959160160.582924</c:v>
                </c:pt>
                <c:pt idx="173">
                  <c:v>-18479985227.930183</c:v>
                </c:pt>
                <c:pt idx="174">
                  <c:v>-16010165006.734972</c:v>
                </c:pt>
                <c:pt idx="175">
                  <c:v>-13551736722.510237</c:v>
                </c:pt>
                <c:pt idx="176">
                  <c:v>-11106676052.981955</c:v>
                </c:pt>
                <c:pt idx="177">
                  <c:v>-8676896045.0417557</c:v>
                </c:pt>
                <c:pt idx="178">
                  <c:v>-6264246253.5462103</c:v>
                </c:pt>
                <c:pt idx="179">
                  <c:v>-3870512092.7626266</c:v>
                </c:pt>
                <c:pt idx="180">
                  <c:v>-1497414390.7949274</c:v>
                </c:pt>
                <c:pt idx="181">
                  <c:v>853390863.05089033</c:v>
                </c:pt>
                <c:pt idx="182">
                  <c:v>3180312588.2891016</c:v>
                </c:pt>
                <c:pt idx="183">
                  <c:v>5481824511.1900482</c:v>
                </c:pt>
                <c:pt idx="184">
                  <c:v>7756464901.276145</c:v>
                </c:pt>
                <c:pt idx="185">
                  <c:v>10002836157.071024</c:v>
                </c:pt>
                <c:pt idx="186">
                  <c:v>12219604251.775263</c:v>
                </c:pt>
                <c:pt idx="187">
                  <c:v>14405498049.456999</c:v>
                </c:pt>
                <c:pt idx="188">
                  <c:v>16559308502.207418</c:v>
                </c:pt>
                <c:pt idx="189">
                  <c:v>18679887738.524597</c:v>
                </c:pt>
                <c:pt idx="190">
                  <c:v>20766148052.951</c:v>
                </c:pt>
                <c:pt idx="191">
                  <c:v>22817060806.721909</c:v>
                </c:pt>
                <c:pt idx="192">
                  <c:v>24831655248.874435</c:v>
                </c:pt>
                <c:pt idx="193">
                  <c:v>26809017266.933636</c:v>
                </c:pt>
                <c:pt idx="194">
                  <c:v>28748288075.934769</c:v>
                </c:pt>
                <c:pt idx="195">
                  <c:v>30648662854.166214</c:v>
                </c:pt>
                <c:pt idx="196">
                  <c:v>32509389333.625504</c:v>
                </c:pt>
                <c:pt idx="197">
                  <c:v>34329766352.781654</c:v>
                </c:pt>
                <c:pt idx="198">
                  <c:v>36109142378.829643</c:v>
                </c:pt>
                <c:pt idx="199">
                  <c:v>37846914006.212074</c:v>
                </c:pt>
                <c:pt idx="200">
                  <c:v>39542524437.770874</c:v>
                </c:pt>
                <c:pt idx="201">
                  <c:v>41195461954.48497</c:v>
                </c:pt>
                <c:pt idx="202">
                  <c:v>42805258379.344742</c:v>
                </c:pt>
                <c:pt idx="203">
                  <c:v>44371487540.517456</c:v>
                </c:pt>
                <c:pt idx="204">
                  <c:v>45893763738.569511</c:v>
                </c:pt>
                <c:pt idx="205">
                  <c:v>47371740222.134575</c:v>
                </c:pt>
                <c:pt idx="206">
                  <c:v>48805107676.04847</c:v>
                </c:pt>
                <c:pt idx="207">
                  <c:v>50193592725.620583</c:v>
                </c:pt>
                <c:pt idx="208">
                  <c:v>51536956460.372162</c:v>
                </c:pt>
                <c:pt idx="209">
                  <c:v>52834992980.245094</c:v>
                </c:pt>
                <c:pt idx="210">
                  <c:v>54087527966.976532</c:v>
                </c:pt>
                <c:pt idx="211">
                  <c:v>55294417283.040932</c:v>
                </c:pt>
                <c:pt idx="212">
                  <c:v>56455545600.279373</c:v>
                </c:pt>
                <c:pt idx="213">
                  <c:v>57570825060.076187</c:v>
                </c:pt>
                <c:pt idx="214">
                  <c:v>58640193966.69371</c:v>
                </c:pt>
                <c:pt idx="215">
                  <c:v>59663615515.143547</c:v>
                </c:pt>
                <c:pt idx="216">
                  <c:v>60641076554.757927</c:v>
                </c:pt>
                <c:pt idx="217">
                  <c:v>61572586389.421097</c:v>
                </c:pt>
                <c:pt idx="218">
                  <c:v>62458175615.235291</c:v>
                </c:pt>
                <c:pt idx="219">
                  <c:v>63297894996.221764</c:v>
                </c:pt>
                <c:pt idx="220">
                  <c:v>64091814378.499413</c:v>
                </c:pt>
                <c:pt idx="221">
                  <c:v>64840021643.236458</c:v>
                </c:pt>
                <c:pt idx="222">
                  <c:v>65542621698.538506</c:v>
                </c:pt>
                <c:pt idx="223">
                  <c:v>66199735510.314789</c:v>
                </c:pt>
                <c:pt idx="224">
                  <c:v>66811499172.054825</c:v>
                </c:pt>
                <c:pt idx="225">
                  <c:v>67378063013.349358</c:v>
                </c:pt>
                <c:pt idx="226">
                  <c:v>67899590746.901093</c:v>
                </c:pt>
                <c:pt idx="227">
                  <c:v>68376258653.693054</c:v>
                </c:pt>
                <c:pt idx="228">
                  <c:v>68808254805.911835</c:v>
                </c:pt>
                <c:pt idx="229">
                  <c:v>69195778327.164566</c:v>
                </c:pt>
                <c:pt idx="230">
                  <c:v>69539038689.473969</c:v>
                </c:pt>
                <c:pt idx="231">
                  <c:v>69838255046.49295</c:v>
                </c:pt>
                <c:pt idx="232">
                  <c:v>70093655602.3405</c:v>
                </c:pt>
                <c:pt idx="233">
                  <c:v>70305477015.431671</c:v>
                </c:pt>
                <c:pt idx="234">
                  <c:v>70473963836.646622</c:v>
                </c:pt>
                <c:pt idx="235">
                  <c:v>70599367981.166382</c:v>
                </c:pt>
                <c:pt idx="236">
                  <c:v>70681948233.286896</c:v>
                </c:pt>
                <c:pt idx="237">
                  <c:v>70721969783.51329</c:v>
                </c:pt>
                <c:pt idx="238">
                  <c:v>70719703797.231613</c:v>
                </c:pt>
                <c:pt idx="239">
                  <c:v>70675427014.252151</c:v>
                </c:pt>
                <c:pt idx="240">
                  <c:v>70589421378.521088</c:v>
                </c:pt>
                <c:pt idx="241">
                  <c:v>70461973697.3022</c:v>
                </c:pt>
                <c:pt idx="242">
                  <c:v>70293375329.137344</c:v>
                </c:pt>
                <c:pt idx="243">
                  <c:v>70083921899.905838</c:v>
                </c:pt>
                <c:pt idx="244">
                  <c:v>69833913046.314148</c:v>
                </c:pt>
                <c:pt idx="245">
                  <c:v>69543652186.16275</c:v>
                </c:pt>
                <c:pt idx="246">
                  <c:v>69213446314.752808</c:v>
                </c:pt>
                <c:pt idx="247">
                  <c:v>68843605826.812866</c:v>
                </c:pt>
                <c:pt idx="248">
                  <c:v>68434444363.344772</c:v>
                </c:pt>
                <c:pt idx="249">
                  <c:v>67986278682.807777</c:v>
                </c:pt>
                <c:pt idx="250">
                  <c:v>67499428556.081306</c:v>
                </c:pt>
                <c:pt idx="251">
                  <c:v>66974216684.666512</c:v>
                </c:pt>
                <c:pt idx="252">
                  <c:v>66410968641.610771</c:v>
                </c:pt>
                <c:pt idx="253">
                  <c:v>65810012834.659607</c:v>
                </c:pt>
                <c:pt idx="254">
                  <c:v>65171680491.16394</c:v>
                </c:pt>
                <c:pt idx="255">
                  <c:v>64496305664.292557</c:v>
                </c:pt>
                <c:pt idx="256">
                  <c:v>63784225260.121765</c:v>
                </c:pt>
                <c:pt idx="257">
                  <c:v>63035779085.196243</c:v>
                </c:pt>
                <c:pt idx="258">
                  <c:v>62251309914.176758</c:v>
                </c:pt>
                <c:pt idx="259">
                  <c:v>61431163577.211746</c:v>
                </c:pt>
                <c:pt idx="260">
                  <c:v>60575689066.68911</c:v>
                </c:pt>
                <c:pt idx="261">
                  <c:v>59685238663.045876</c:v>
                </c:pt>
                <c:pt idx="262">
                  <c:v>58760168079.33149</c:v>
                </c:pt>
                <c:pt idx="263">
                  <c:v>57800836624.237617</c:v>
                </c:pt>
                <c:pt idx="264">
                  <c:v>56807607383.326553</c:v>
                </c:pt>
                <c:pt idx="265">
                  <c:v>55780847418.203873</c:v>
                </c:pt>
                <c:pt idx="266">
                  <c:v>54720927983.396484</c:v>
                </c:pt>
                <c:pt idx="267">
                  <c:v>53628224760.710983</c:v>
                </c:pt>
                <c:pt idx="268">
                  <c:v>52503118110.857872</c:v>
                </c:pt>
                <c:pt idx="269">
                  <c:v>51345993342.138847</c:v>
                </c:pt>
                <c:pt idx="270">
                  <c:v>50157240996.000984</c:v>
                </c:pt>
                <c:pt idx="271">
                  <c:v>48937257149.270981</c:v>
                </c:pt>
                <c:pt idx="272">
                  <c:v>47686443732.885391</c:v>
                </c:pt>
                <c:pt idx="273">
                  <c:v>46405208866.937012</c:v>
                </c:pt>
                <c:pt idx="274">
                  <c:v>45093967211.858032</c:v>
                </c:pt>
                <c:pt idx="275">
                  <c:v>43753140335.559456</c:v>
                </c:pt>
                <c:pt idx="276">
                  <c:v>42383157096.341904</c:v>
                </c:pt>
                <c:pt idx="277">
                  <c:v>40984454041.387749</c:v>
                </c:pt>
                <c:pt idx="278">
                  <c:v>39557475820.63549</c:v>
                </c:pt>
                <c:pt idx="279">
                  <c:v>38102675615.824188</c:v>
                </c:pt>
                <c:pt idx="280">
                  <c:v>36620515584.483917</c:v>
                </c:pt>
                <c:pt idx="281">
                  <c:v>35111467318.628815</c:v>
                </c:pt>
                <c:pt idx="282">
                  <c:v>33576012317.888393</c:v>
                </c:pt>
                <c:pt idx="283">
                  <c:v>32014642476.790424</c:v>
                </c:pt>
                <c:pt idx="284">
                  <c:v>30427860585.87952</c:v>
                </c:pt>
                <c:pt idx="285">
                  <c:v>28816180846.324177</c:v>
                </c:pt>
                <c:pt idx="286">
                  <c:v>27180129397.630947</c:v>
                </c:pt>
                <c:pt idx="287">
                  <c:v>25520244858.044609</c:v>
                </c:pt>
                <c:pt idx="288">
                  <c:v>23837078877.168472</c:v>
                </c:pt>
                <c:pt idx="289">
                  <c:v>22131196700.294243</c:v>
                </c:pt>
                <c:pt idx="290">
                  <c:v>20403177743.874756</c:v>
                </c:pt>
                <c:pt idx="291">
                  <c:v>18653616181.51791</c:v>
                </c:pt>
                <c:pt idx="292">
                  <c:v>16883121539.818146</c:v>
                </c:pt>
                <c:pt idx="293">
                  <c:v>15092319303.273287</c:v>
                </c:pt>
                <c:pt idx="294">
                  <c:v>13281851527.463331</c:v>
                </c:pt>
                <c:pt idx="295">
                  <c:v>11452377459.589296</c:v>
                </c:pt>
                <c:pt idx="296">
                  <c:v>9604574165.3875484</c:v>
                </c:pt>
                <c:pt idx="297">
                  <c:v>7739137161.3445988</c:v>
                </c:pt>
                <c:pt idx="298">
                  <c:v>5856781051.0443869</c:v>
                </c:pt>
                <c:pt idx="299">
                  <c:v>3958240164.3783469</c:v>
                </c:pt>
                <c:pt idx="300">
                  <c:v>2044269198.2415156</c:v>
                </c:pt>
                <c:pt idx="301">
                  <c:v>115643857.22563149</c:v>
                </c:pt>
                <c:pt idx="302">
                  <c:v>-1826838507.2979455</c:v>
                </c:pt>
                <c:pt idx="303">
                  <c:v>-3782358261.4374313</c:v>
                </c:pt>
                <c:pt idx="304">
                  <c:v>-5750072858.2468958</c:v>
                </c:pt>
                <c:pt idx="305">
                  <c:v>-7729116214.3970604</c:v>
                </c:pt>
                <c:pt idx="306">
                  <c:v>-9718598096.193327</c:v>
                </c:pt>
                <c:pt idx="307">
                  <c:v>-11717603517.231674</c:v>
                </c:pt>
                <c:pt idx="308">
                  <c:v>-13725192150.132307</c:v>
                </c:pt>
                <c:pt idx="309">
                  <c:v>-15740397754.954908</c:v>
                </c:pt>
                <c:pt idx="310">
                  <c:v>-17762227627.055775</c:v>
                </c:pt>
                <c:pt idx="311">
                  <c:v>-19789662067.317722</c:v>
                </c:pt>
                <c:pt idx="312">
                  <c:v>-21821653877.851772</c:v>
                </c:pt>
                <c:pt idx="313">
                  <c:v>-23857127886.443001</c:v>
                </c:pt>
                <c:pt idx="314">
                  <c:v>-25894980503.187592</c:v>
                </c:pt>
                <c:pt idx="315">
                  <c:v>-27934079312.944546</c:v>
                </c:pt>
                <c:pt idx="316">
                  <c:v>-29973262707.401474</c:v>
                </c:pt>
                <c:pt idx="317">
                  <c:v>-32011339560.729675</c:v>
                </c:pt>
                <c:pt idx="318">
                  <c:v>-34047088952.977016</c:v>
                </c:pt>
                <c:pt idx="319">
                  <c:v>-36079259945.517288</c:v>
                </c:pt>
                <c:pt idx="320">
                  <c:v>-38106571413.038925</c:v>
                </c:pt>
                <c:pt idx="321">
                  <c:v>-40127711936.717232</c:v>
                </c:pt>
                <c:pt idx="322">
                  <c:v>-42141339763.360207</c:v>
                </c:pt>
                <c:pt idx="323">
                  <c:v>-44146082835.463104</c:v>
                </c:pt>
                <c:pt idx="324">
                  <c:v>-46140538897.229912</c:v>
                </c:pt>
                <c:pt idx="325">
                  <c:v>-48123275681.738586</c:v>
                </c:pt>
                <c:pt idx="326">
                  <c:v>-50092831184.518089</c:v>
                </c:pt>
                <c:pt idx="327">
                  <c:v>-52047714028.888184</c:v>
                </c:pt>
                <c:pt idx="328">
                  <c:v>-53986403928.463219</c:v>
                </c:pt>
                <c:pt idx="329">
                  <c:v>-55907352252.256508</c:v>
                </c:pt>
                <c:pt idx="330">
                  <c:v>-57808982697.823029</c:v>
                </c:pt>
                <c:pt idx="331">
                  <c:v>-59689692077.852707</c:v>
                </c:pt>
                <c:pt idx="332">
                  <c:v>-61547851225.564812</c:v>
                </c:pt>
                <c:pt idx="333">
                  <c:v>-63381806024.161903</c:v>
                </c:pt>
                <c:pt idx="334">
                  <c:v>-65189878565.458374</c:v>
                </c:pt>
                <c:pt idx="335">
                  <c:v>-66970368442.629715</c:v>
                </c:pt>
                <c:pt idx="336">
                  <c:v>-68721554181.797241</c:v>
                </c:pt>
                <c:pt idx="337">
                  <c:v>-70441694816.895859</c:v>
                </c:pt>
                <c:pt idx="338">
                  <c:v>-72129031611.945175</c:v>
                </c:pt>
                <c:pt idx="339">
                  <c:v>-73781789934.472763</c:v>
                </c:pt>
                <c:pt idx="340">
                  <c:v>-75398181283.397232</c:v>
                </c:pt>
                <c:pt idx="341">
                  <c:v>-76976405474.194565</c:v>
                </c:pt>
                <c:pt idx="342">
                  <c:v>-78514652983.614426</c:v>
                </c:pt>
                <c:pt idx="343">
                  <c:v>-80011107455.599915</c:v>
                </c:pt>
                <c:pt idx="344">
                  <c:v>-81463948369.39035</c:v>
                </c:pt>
                <c:pt idx="345">
                  <c:v>-82871353870.045105</c:v>
                </c:pt>
                <c:pt idx="346">
                  <c:v>-84231503760.822678</c:v>
                </c:pt>
                <c:pt idx="347">
                  <c:v>-85542582655.988754</c:v>
                </c:pt>
                <c:pt idx="348">
                  <c:v>-86802783291.697922</c:v>
                </c:pt>
                <c:pt idx="349">
                  <c:v>-88010309991.610336</c:v>
                </c:pt>
                <c:pt idx="350">
                  <c:v>-89163382282.867065</c:v>
                </c:pt>
                <c:pt idx="351">
                  <c:v>-90260238656.954712</c:v>
                </c:pt>
                <c:pt idx="352">
                  <c:v>-91299140468.853256</c:v>
                </c:pt>
                <c:pt idx="353">
                  <c:v>-92278375966.682632</c:v>
                </c:pt>
                <c:pt idx="354">
                  <c:v>-93196264442.850037</c:v>
                </c:pt>
                <c:pt idx="355">
                  <c:v>-94051160496.462585</c:v>
                </c:pt>
                <c:pt idx="356">
                  <c:v>-94841458395.510895</c:v>
                </c:pt>
                <c:pt idx="357">
                  <c:v>-95565596526.066971</c:v>
                </c:pt>
                <c:pt idx="358">
                  <c:v>-96222061914.47612</c:v>
                </c:pt>
                <c:pt idx="359">
                  <c:v>-96809394807.276474</c:v>
                </c:pt>
                <c:pt idx="360">
                  <c:v>-97326193292.357193</c:v>
                </c:pt>
                <c:pt idx="361">
                  <c:v>-97771117943.687225</c:v>
                </c:pt>
                <c:pt idx="362">
                  <c:v>-98142896470.816376</c:v>
                </c:pt>
                <c:pt idx="363">
                  <c:v>-98440328353.292068</c:v>
                </c:pt>
                <c:pt idx="364">
                  <c:v>-98662289439.15535</c:v>
                </c:pt>
                <c:pt idx="365">
                  <c:v>-98807736485.799515</c:v>
                </c:pt>
                <c:pt idx="366">
                  <c:v>-98875711620.702942</c:v>
                </c:pt>
                <c:pt idx="367">
                  <c:v>-98865346698.904678</c:v>
                </c:pt>
                <c:pt idx="368">
                  <c:v>-98775867533.584915</c:v>
                </c:pt>
                <c:pt idx="369">
                  <c:v>-98606597975.762161</c:v>
                </c:pt>
                <c:pt idx="370">
                  <c:v>-98356963818.930389</c:v>
                </c:pt>
                <c:pt idx="371">
                  <c:v>-98026496504.450882</c:v>
                </c:pt>
                <c:pt idx="372">
                  <c:v>-97614836603.688004</c:v>
                </c:pt>
                <c:pt idx="373">
                  <c:v>-97121737053.250122</c:v>
                </c:pt>
                <c:pt idx="374">
                  <c:v>-96547066120.266617</c:v>
                </c:pt>
                <c:pt idx="375">
                  <c:v>-95890810075.409271</c:v>
                </c:pt>
                <c:pt idx="376">
                  <c:v>-95153075552.349319</c:v>
                </c:pt>
                <c:pt idx="377">
                  <c:v>-94334091573.531693</c:v>
                </c:pt>
                <c:pt idx="378">
                  <c:v>-93434211223.542313</c:v>
                </c:pt>
                <c:pt idx="379">
                  <c:v>-92453912952.936569</c:v>
                </c:pt>
                <c:pt idx="380">
                  <c:v>-91393801497.180542</c:v>
                </c:pt>
                <c:pt idx="381">
                  <c:v>-90254608397.318848</c:v>
                </c:pt>
                <c:pt idx="382">
                  <c:v>-89037192111.112228</c:v>
                </c:pt>
                <c:pt idx="383">
                  <c:v>-87742537705.666931</c:v>
                </c:pt>
                <c:pt idx="384">
                  <c:v>-86371756124.989807</c:v>
                </c:pt>
                <c:pt idx="385">
                  <c:v>-84926083028.425156</c:v>
                </c:pt>
                <c:pt idx="386">
                  <c:v>-83406877198.542068</c:v>
                </c:pt>
                <c:pt idx="387">
                  <c:v>-81815618519.718018</c:v>
                </c:pt>
                <c:pt idx="388">
                  <c:v>-80153905531.378265</c:v>
                </c:pt>
                <c:pt idx="389">
                  <c:v>-78423452562.583267</c:v>
                </c:pt>
                <c:pt idx="390">
                  <c:v>-76626086457.365509</c:v>
                </c:pt>
                <c:pt idx="391">
                  <c:v>-74763742902.892776</c:v>
                </c:pt>
                <c:pt idx="392">
                  <c:v>-72838462375.131851</c:v>
                </c:pt>
                <c:pt idx="393">
                  <c:v>-70852385719.194305</c:v>
                </c:pt>
                <c:pt idx="394">
                  <c:v>-68807749383.925781</c:v>
                </c:pt>
                <c:pt idx="395">
                  <c:v>-66706880332.530975</c:v>
                </c:pt>
                <c:pt idx="396">
                  <c:v>-64552190653.09285</c:v>
                </c:pt>
                <c:pt idx="397">
                  <c:v>-62346171894.709541</c:v>
                </c:pt>
                <c:pt idx="398">
                  <c:v>-60091389156.634125</c:v>
                </c:pt>
                <c:pt idx="399">
                  <c:v>-57790474959.232948</c:v>
                </c:pt>
                <c:pt idx="400">
                  <c:v>-55446122926.770317</c:v>
                </c:pt>
                <c:pt idx="401">
                  <c:v>-53061081312.968529</c:v>
                </c:pt>
                <c:pt idx="402">
                  <c:v>-50638146400.976448</c:v>
                </c:pt>
                <c:pt idx="403">
                  <c:v>-48180155809.802505</c:v>
                </c:pt>
                <c:pt idx="404">
                  <c:v>-45689981739.429893</c:v>
                </c:pt>
                <c:pt idx="405">
                  <c:v>-43170524186.733551</c:v>
                </c:pt>
                <c:pt idx="406">
                  <c:v>-40624704163.969193</c:v>
                </c:pt>
                <c:pt idx="407">
                  <c:v>-38055456951.005913</c:v>
                </c:pt>
                <c:pt idx="408">
                  <c:v>-35465725411.650101</c:v>
                </c:pt>
                <c:pt idx="409">
                  <c:v>-32858453403.358772</c:v>
                </c:pt>
                <c:pt idx="410">
                  <c:v>-30236579308.386982</c:v>
                </c:pt>
                <c:pt idx="411">
                  <c:v>-27603029712.982216</c:v>
                </c:pt>
                <c:pt idx="412">
                  <c:v>-24960713259.638916</c:v>
                </c:pt>
                <c:pt idx="413">
                  <c:v>-22312514695.672279</c:v>
                </c:pt>
                <c:pt idx="414">
                  <c:v>-19661289139.514755</c:v>
                </c:pt>
                <c:pt idx="415">
                  <c:v>-17009856584.160786</c:v>
                </c:pt>
                <c:pt idx="416">
                  <c:v>-14360996655.144558</c:v>
                </c:pt>
                <c:pt idx="417">
                  <c:v>-11717443638.3337</c:v>
                </c:pt>
                <c:pt idx="418">
                  <c:v>-9081881790.6900558</c:v>
                </c:pt>
                <c:pt idx="419">
                  <c:v>-6456940945.0003281</c:v>
                </c:pt>
                <c:pt idx="420">
                  <c:v>-3845192417.4495368</c:v>
                </c:pt>
                <c:pt idx="421">
                  <c:v>-1249145224.8007715</c:v>
                </c:pt>
                <c:pt idx="422">
                  <c:v>1328757384.1177423</c:v>
                </c:pt>
                <c:pt idx="423">
                  <c:v>3886141079.9091763</c:v>
                </c:pt>
                <c:pt idx="424">
                  <c:v>6420703286.3020525</c:v>
                </c:pt>
                <c:pt idx="425">
                  <c:v>8930215697.0810738</c:v>
                </c:pt>
                <c:pt idx="426">
                  <c:v>11412526479.023977</c:v>
                </c:pt>
                <c:pt idx="427">
                  <c:v>13865562165.221657</c:v>
                </c:pt>
                <c:pt idx="428">
                  <c:v>16287329244.659765</c:v>
                </c:pt>
                <c:pt idx="429">
                  <c:v>18675915455.305882</c:v>
                </c:pt>
                <c:pt idx="430">
                  <c:v>21029490789.18927</c:v>
                </c:pt>
                <c:pt idx="431">
                  <c:v>23346308219.064281</c:v>
                </c:pt>
                <c:pt idx="432">
                  <c:v>25624704157.233685</c:v>
                </c:pt>
                <c:pt idx="433">
                  <c:v>27863098657.94109</c:v>
                </c:pt>
                <c:pt idx="434">
                  <c:v>30059995375.46452</c:v>
                </c:pt>
                <c:pt idx="435">
                  <c:v>32213981290.625965</c:v>
                </c:pt>
                <c:pt idx="436">
                  <c:v>34323726218.896839</c:v>
                </c:pt>
                <c:pt idx="437">
                  <c:v>36387982113.625069</c:v>
                </c:pt>
                <c:pt idx="438">
                  <c:v>38405582178.145943</c:v>
                </c:pt>
                <c:pt idx="439">
                  <c:v>40375439800.664406</c:v>
                </c:pt>
                <c:pt idx="440">
                  <c:v>42296547325.828369</c:v>
                </c:pt>
                <c:pt idx="441">
                  <c:v>44167974676.854164</c:v>
                </c:pt>
                <c:pt idx="442">
                  <c:v>45988867841.916573</c:v>
                </c:pt>
                <c:pt idx="443">
                  <c:v>47758447238.298927</c:v>
                </c:pt>
                <c:pt idx="444">
                  <c:v>49476005967.510704</c:v>
                </c:pt>
                <c:pt idx="445">
                  <c:v>51140907974.229904</c:v>
                </c:pt>
                <c:pt idx="446">
                  <c:v>52752586121.529243</c:v>
                </c:pt>
                <c:pt idx="447">
                  <c:v>54310540194.397888</c:v>
                </c:pt>
                <c:pt idx="448">
                  <c:v>55814334843.088455</c:v>
                </c:pt>
                <c:pt idx="449">
                  <c:v>57263597477.300522</c:v>
                </c:pt>
                <c:pt idx="450">
                  <c:v>58658016121.679222</c:v>
                </c:pt>
                <c:pt idx="451">
                  <c:v>59997337242.541283</c:v>
                </c:pt>
                <c:pt idx="452">
                  <c:v>61281363555.177376</c:v>
                </c:pt>
                <c:pt idx="453">
                  <c:v>62509951820.496407</c:v>
                </c:pt>
                <c:pt idx="454">
                  <c:v>63683010639.199188</c:v>
                </c:pt>
                <c:pt idx="455">
                  <c:v>64800498251.086838</c:v>
                </c:pt>
                <c:pt idx="456">
                  <c:v>65862420346.53804</c:v>
                </c:pt>
                <c:pt idx="457">
                  <c:v>66868827896.62001</c:v>
                </c:pt>
                <c:pt idx="458">
                  <c:v>67819815007.749306</c:v>
                </c:pt>
                <c:pt idx="459">
                  <c:v>68715516806.275475</c:v>
                </c:pt>
                <c:pt idx="460">
                  <c:v>69556107357.842331</c:v>
                </c:pt>
                <c:pt idx="461">
                  <c:v>70341797625.876938</c:v>
                </c:pt>
                <c:pt idx="462">
                  <c:v>71072833473.072998</c:v>
                </c:pt>
                <c:pt idx="463">
                  <c:v>71749493709.276642</c:v>
                </c:pt>
                <c:pt idx="464">
                  <c:v>72372088188.74118</c:v>
                </c:pt>
                <c:pt idx="465">
                  <c:v>72940955959.304062</c:v>
                </c:pt>
                <c:pt idx="466">
                  <c:v>73456463465.646149</c:v>
                </c:pt>
                <c:pt idx="467">
                  <c:v>73919002808.42598</c:v>
                </c:pt>
                <c:pt idx="468">
                  <c:v>74328990060.736023</c:v>
                </c:pt>
                <c:pt idx="469">
                  <c:v>74686863643.009567</c:v>
                </c:pt>
                <c:pt idx="470">
                  <c:v>74993082757.205551</c:v>
                </c:pt>
                <c:pt idx="471">
                  <c:v>75248125880.827637</c:v>
                </c:pt>
                <c:pt idx="472">
                  <c:v>75452489321.077637</c:v>
                </c:pt>
                <c:pt idx="473">
                  <c:v>75606685829.214981</c:v>
                </c:pt>
                <c:pt idx="474">
                  <c:v>75711243274.980667</c:v>
                </c:pt>
                <c:pt idx="475">
                  <c:v>75766703380.755951</c:v>
                </c:pt>
                <c:pt idx="476">
                  <c:v>75773620514.952209</c:v>
                </c:pt>
                <c:pt idx="477">
                  <c:v>75732560543.975922</c:v>
                </c:pt>
                <c:pt idx="478">
                  <c:v>75644099741.976486</c:v>
                </c:pt>
                <c:pt idx="479">
                  <c:v>75508823757.462799</c:v>
                </c:pt>
                <c:pt idx="480">
                  <c:v>75327326635.772247</c:v>
                </c:pt>
                <c:pt idx="481">
                  <c:v>75100209896.281601</c:v>
                </c:pt>
                <c:pt idx="482">
                  <c:v>74828081663.175308</c:v>
                </c:pt>
                <c:pt idx="483">
                  <c:v>74511555848.519684</c:v>
                </c:pt>
                <c:pt idx="484">
                  <c:v>74151251386.338882</c:v>
                </c:pt>
                <c:pt idx="485">
                  <c:v>73747791516.345901</c:v>
                </c:pt>
                <c:pt idx="486">
                  <c:v>73301803115.949066</c:v>
                </c:pt>
                <c:pt idx="487">
                  <c:v>72813916079.130005</c:v>
                </c:pt>
                <c:pt idx="488">
                  <c:v>72284762740.774246</c:v>
                </c:pt>
                <c:pt idx="489">
                  <c:v>71714977345.027252</c:v>
                </c:pt>
                <c:pt idx="490">
                  <c:v>71105195556.24614</c:v>
                </c:pt>
                <c:pt idx="491">
                  <c:v>70456054011.124069</c:v>
                </c:pt>
                <c:pt idx="492">
                  <c:v>69768189910.572006</c:v>
                </c:pt>
                <c:pt idx="493">
                  <c:v>69042240649.959671</c:v>
                </c:pt>
                <c:pt idx="494">
                  <c:v>68278843486.334435</c:v>
                </c:pt>
                <c:pt idx="495">
                  <c:v>67478635241.262169</c:v>
                </c:pt>
                <c:pt idx="496">
                  <c:v>66642252037.958344</c:v>
                </c:pt>
                <c:pt idx="497">
                  <c:v>65770329071.407303</c:v>
                </c:pt>
                <c:pt idx="498">
                  <c:v>64863500410.19957</c:v>
                </c:pt>
                <c:pt idx="499">
                  <c:v>63922398828.849319</c:v>
                </c:pt>
                <c:pt idx="500">
                  <c:v>62947655669.388908</c:v>
                </c:pt>
                <c:pt idx="501">
                  <c:v>61939900731.075462</c:v>
                </c:pt>
                <c:pt idx="502">
                  <c:v>60899762187.07859</c:v>
                </c:pt>
                <c:pt idx="503">
                  <c:v>59827866527.058807</c:v>
                </c:pt>
                <c:pt idx="504">
                  <c:v>58724838524.58226</c:v>
                </c:pt>
                <c:pt idx="505">
                  <c:v>57591301228.357719</c:v>
                </c:pt>
                <c:pt idx="506">
                  <c:v>56427875976.317017</c:v>
                </c:pt>
                <c:pt idx="507">
                  <c:v>55235182431.602623</c:v>
                </c:pt>
                <c:pt idx="508">
                  <c:v>54013838639.55864</c:v>
                </c:pt>
                <c:pt idx="509">
                  <c:v>52764461104.861946</c:v>
                </c:pt>
                <c:pt idx="510">
                  <c:v>51487664887.964821</c:v>
                </c:pt>
                <c:pt idx="511">
                  <c:v>50184063720.056824</c:v>
                </c:pt>
                <c:pt idx="512">
                  <c:v>48854270135.785439</c:v>
                </c:pt>
                <c:pt idx="513">
                  <c:v>47498895623.012169</c:v>
                </c:pt>
                <c:pt idx="514">
                  <c:v>46118550788.908936</c:v>
                </c:pt>
                <c:pt idx="515">
                  <c:v>44713845541.731445</c:v>
                </c:pt>
                <c:pt idx="516">
                  <c:v>43285389287.637306</c:v>
                </c:pt>
                <c:pt idx="517">
                  <c:v>41833791141.940567</c:v>
                </c:pt>
                <c:pt idx="518">
                  <c:v>40359660154.223068</c:v>
                </c:pt>
                <c:pt idx="519">
                  <c:v>38863605546.747574</c:v>
                </c:pt>
                <c:pt idx="520">
                  <c:v>37346236965.638634</c:v>
                </c:pt>
                <c:pt idx="521">
                  <c:v>35808164744.319267</c:v>
                </c:pt>
                <c:pt idx="522">
                  <c:v>34250000178.710533</c:v>
                </c:pt>
                <c:pt idx="523">
                  <c:v>32672355813.718414</c:v>
                </c:pt>
                <c:pt idx="524">
                  <c:v>31075845740.546452</c:v>
                </c:pt>
                <c:pt idx="525">
                  <c:v>29461085904.388031</c:v>
                </c:pt>
                <c:pt idx="526">
                  <c:v>27828694422.062435</c:v>
                </c:pt>
                <c:pt idx="527">
                  <c:v>26179291909.166439</c:v>
                </c:pt>
                <c:pt idx="528">
                  <c:v>24513501816.32272</c:v>
                </c:pt>
                <c:pt idx="529">
                  <c:v>22831950774.110271</c:v>
                </c:pt>
                <c:pt idx="530">
                  <c:v>21135268946.262356</c:v>
                </c:pt>
                <c:pt idx="531">
                  <c:v>19424090390.722015</c:v>
                </c:pt>
                <c:pt idx="532">
                  <c:v>17699053428.138638</c:v>
                </c:pt>
                <c:pt idx="533">
                  <c:v>15960801017.387037</c:v>
                </c:pt>
                <c:pt idx="534">
                  <c:v>14209981137.681778</c:v>
                </c:pt>
                <c:pt idx="535">
                  <c:v>12447247176.851995</c:v>
                </c:pt>
                <c:pt idx="536">
                  <c:v>10673258325.326395</c:v>
                </c:pt>
                <c:pt idx="537">
                  <c:v>8888679975.3646946</c:v>
                </c:pt>
                <c:pt idx="538">
                  <c:v>7094184125.0553913</c:v>
                </c:pt>
                <c:pt idx="539">
                  <c:v>5290449786.5758209</c:v>
                </c:pt>
                <c:pt idx="540">
                  <c:v>3478163398.1891479</c:v>
                </c:pt>
                <c:pt idx="541">
                  <c:v>1658019239.4253621</c:v>
                </c:pt>
                <c:pt idx="542">
                  <c:v>-169280151.13530922</c:v>
                </c:pt>
                <c:pt idx="543">
                  <c:v>-2003023556.0943334</c:v>
                </c:pt>
                <c:pt idx="544">
                  <c:v>-3842490658.1290989</c:v>
                </c:pt>
                <c:pt idx="545">
                  <c:v>-5686951618.2442951</c:v>
                </c:pt>
                <c:pt idx="546">
                  <c:v>-7535666654.1109991</c:v>
                </c:pt>
                <c:pt idx="547">
                  <c:v>-9387885619.2736092</c:v>
                </c:pt>
                <c:pt idx="548">
                  <c:v>-11242847584.052345</c:v>
                </c:pt>
                <c:pt idx="549">
                  <c:v>-13099780419.024752</c:v>
                </c:pt>
                <c:pt idx="550">
                  <c:v>-14957900382.021656</c:v>
                </c:pt>
                <c:pt idx="551">
                  <c:v>-16816411709.637533</c:v>
                </c:pt>
                <c:pt idx="552">
                  <c:v>-18674506214.316017</c:v>
                </c:pt>
                <c:pt idx="553">
                  <c:v>-20531362888.140354</c:v>
                </c:pt>
                <c:pt idx="554">
                  <c:v>-22386147514.525848</c:v>
                </c:pt>
                <c:pt idx="555">
                  <c:v>-24238012289.092529</c:v>
                </c:pt>
                <c:pt idx="556">
                  <c:v>-26086095451.065578</c:v>
                </c:pt>
                <c:pt idx="557">
                  <c:v>-27929520926.638996</c:v>
                </c:pt>
                <c:pt idx="558">
                  <c:v>-29767397985.819637</c:v>
                </c:pt>
                <c:pt idx="559">
                  <c:v>-31598820914.357136</c:v>
                </c:pt>
                <c:pt idx="560">
                  <c:v>-33422868702.455868</c:v>
                </c:pt>
                <c:pt idx="561">
                  <c:v>-35238604752.060875</c:v>
                </c:pt>
                <c:pt idx="562">
                  <c:v>-37045076604.603172</c:v>
                </c:pt>
                <c:pt idx="563">
                  <c:v>-38841315691.1903</c:v>
                </c:pt>
                <c:pt idx="564">
                  <c:v>-40626337107.331657</c:v>
                </c:pt>
                <c:pt idx="565">
                  <c:v>-42399139414.385193</c:v>
                </c:pt>
                <c:pt idx="566">
                  <c:v>-44158704470.023338</c:v>
                </c:pt>
                <c:pt idx="567">
                  <c:v>-45903997290.113777</c:v>
                </c:pt>
                <c:pt idx="568">
                  <c:v>-47633965944.52449</c:v>
                </c:pt>
                <c:pt idx="569">
                  <c:v>-49347541489.45961</c:v>
                </c:pt>
                <c:pt idx="570">
                  <c:v>-51043637939.043243</c:v>
                </c:pt>
                <c:pt idx="571">
                  <c:v>-52721152278.96888</c:v>
                </c:pt>
                <c:pt idx="572">
                  <c:v>-54378964525.132416</c:v>
                </c:pt>
                <c:pt idx="573">
                  <c:v>-56015937830.264999</c:v>
                </c:pt>
                <c:pt idx="574">
                  <c:v>-57630918641.675591</c:v>
                </c:pt>
                <c:pt idx="575">
                  <c:v>-59222736913.299118</c:v>
                </c:pt>
                <c:pt idx="576">
                  <c:v>-60790206375.328697</c:v>
                </c:pt>
                <c:pt idx="577">
                  <c:v>-62332124864.785904</c:v>
                </c:pt>
                <c:pt idx="578">
                  <c:v>-63847274720.445473</c:v>
                </c:pt>
                <c:pt idx="579">
                  <c:v>-65334423245.585815</c:v>
                </c:pt>
                <c:pt idx="580">
                  <c:v>-66792323242.083023</c:v>
                </c:pt>
                <c:pt idx="581">
                  <c:v>-68219713619.389519</c:v>
                </c:pt>
                <c:pt idx="582">
                  <c:v>-69615320081.958694</c:v>
                </c:pt>
                <c:pt idx="583">
                  <c:v>-70977855898.670334</c:v>
                </c:pt>
                <c:pt idx="584">
                  <c:v>-72306022757.79274</c:v>
                </c:pt>
                <c:pt idx="585">
                  <c:v>-73598511710.974457</c:v>
                </c:pt>
                <c:pt idx="586">
                  <c:v>-74854004209.694916</c:v>
                </c:pt>
                <c:pt idx="587">
                  <c:v>-76071173237.513565</c:v>
                </c:pt>
                <c:pt idx="588">
                  <c:v>-77248684541.343369</c:v>
                </c:pt>
                <c:pt idx="589">
                  <c:v>-78385197964.82782</c:v>
                </c:pt>
                <c:pt idx="590">
                  <c:v>-79479368886.728699</c:v>
                </c:pt>
                <c:pt idx="591">
                  <c:v>-80529849767.021164</c:v>
                </c:pt>
                <c:pt idx="592">
                  <c:v>-81535291803.153793</c:v>
                </c:pt>
                <c:pt idx="593">
                  <c:v>-82494346698.648376</c:v>
                </c:pt>
                <c:pt idx="594">
                  <c:v>-83405668545.900208</c:v>
                </c:pt>
                <c:pt idx="595">
                  <c:v>-84267915824.678589</c:v>
                </c:pt>
                <c:pt idx="596">
                  <c:v>-85079753517.430389</c:v>
                </c:pt>
                <c:pt idx="597">
                  <c:v>-85839855342.045319</c:v>
                </c:pt>
                <c:pt idx="598">
                  <c:v>-86546906102.253677</c:v>
                </c:pt>
                <c:pt idx="599">
                  <c:v>-87199604155.299393</c:v>
                </c:pt>
                <c:pt idx="600">
                  <c:v>-87796663995.94812</c:v>
                </c:pt>
                <c:pt idx="601">
                  <c:v>-88336818955.272675</c:v>
                </c:pt>
                <c:pt idx="602">
                  <c:v>-88818824011.986267</c:v>
                </c:pt>
                <c:pt idx="603">
                  <c:v>-89241458713.384277</c:v>
                </c:pt>
                <c:pt idx="604">
                  <c:v>-89603530202.19577</c:v>
                </c:pt>
                <c:pt idx="605">
                  <c:v>-89903876344.854492</c:v>
                </c:pt>
                <c:pt idx="606">
                  <c:v>-90141368955.857376</c:v>
                </c:pt>
                <c:pt idx="607">
                  <c:v>-90314917112.01149</c:v>
                </c:pt>
                <c:pt idx="608">
                  <c:v>-90423470549.464661</c:v>
                </c:pt>
                <c:pt idx="609">
                  <c:v>-90466023135.48436</c:v>
                </c:pt>
                <c:pt idx="610">
                  <c:v>-90441616405.99704</c:v>
                </c:pt>
                <c:pt idx="611">
                  <c:v>-90349343158.929428</c:v>
                </c:pt>
                <c:pt idx="612">
                  <c:v>-90188351092.415146</c:v>
                </c:pt>
                <c:pt idx="613">
                  <c:v>-89957846475.948044</c:v>
                </c:pt>
                <c:pt idx="614">
                  <c:v>-89657097841.589447</c:v>
                </c:pt>
                <c:pt idx="615">
                  <c:v>-89285439681.375107</c:v>
                </c:pt>
                <c:pt idx="616">
                  <c:v>-88842276136.133591</c:v>
                </c:pt>
                <c:pt idx="617">
                  <c:v>-88327084660.02594</c:v>
                </c:pt>
                <c:pt idx="618">
                  <c:v>-87739419644.261642</c:v>
                </c:pt>
                <c:pt idx="619">
                  <c:v>-87078915982.648743</c:v>
                </c:pt>
                <c:pt idx="620">
                  <c:v>-86345292560.903168</c:v>
                </c:pt>
                <c:pt idx="621">
                  <c:v>-85538355650.995239</c:v>
                </c:pt>
                <c:pt idx="622">
                  <c:v>-84658002191.252075</c:v>
                </c:pt>
                <c:pt idx="623">
                  <c:v>-83704222932.4814</c:v>
                </c:pt>
                <c:pt idx="624">
                  <c:v>-82677105430.04126</c:v>
                </c:pt>
                <c:pt idx="625">
                  <c:v>-81576836861.574234</c:v>
                </c:pt>
                <c:pt idx="626">
                  <c:v>-80403706650.043579</c:v>
                </c:pt>
                <c:pt idx="627">
                  <c:v>-79158108871.78743</c:v>
                </c:pt>
                <c:pt idx="628">
                  <c:v>-77840544429.536301</c:v>
                </c:pt>
                <c:pt idx="629">
                  <c:v>-76451622970.728653</c:v>
                </c:pt>
                <c:pt idx="630">
                  <c:v>-74992064532.031906</c:v>
                </c:pt>
                <c:pt idx="631">
                  <c:v>-73462700891.706818</c:v>
                </c:pt>
                <c:pt idx="632">
                  <c:v>-71864476612.382278</c:v>
                </c:pt>
                <c:pt idx="633">
                  <c:v>-70198449757.895706</c:v>
                </c:pt>
                <c:pt idx="634">
                  <c:v>-68465792269.142647</c:v>
                </c:pt>
                <c:pt idx="635">
                  <c:v>-66667789985.32206</c:v>
                </c:pt>
                <c:pt idx="636">
                  <c:v>-64805842298.600769</c:v>
                </c:pt>
                <c:pt idx="637">
                  <c:v>-62881461431.994911</c:v>
                </c:pt>
                <c:pt idx="638">
                  <c:v>-60896271332.222122</c:v>
                </c:pt>
                <c:pt idx="639">
                  <c:v>-58852006171.347519</c:v>
                </c:pt>
                <c:pt idx="640">
                  <c:v>-56750508453.263382</c:v>
                </c:pt>
                <c:pt idx="641">
                  <c:v>-54593726723.362251</c:v>
                </c:pt>
                <c:pt idx="642">
                  <c:v>-52383712882.162292</c:v>
                </c:pt>
                <c:pt idx="643">
                  <c:v>-50122619106.139709</c:v>
                </c:pt>
                <c:pt idx="644">
                  <c:v>-47812694381.531952</c:v>
                </c:pt>
                <c:pt idx="645">
                  <c:v>-45456280659.443909</c:v>
                </c:pt>
                <c:pt idx="646">
                  <c:v>-43055808643.129219</c:v>
                </c:pt>
                <c:pt idx="647">
                  <c:v>-40613793220.841682</c:v>
                </c:pt>
                <c:pt idx="648">
                  <c:v>-38132828560.13546</c:v>
                </c:pt>
                <c:pt idx="649">
                  <c:v>-35615582881.865112</c:v>
                </c:pt>
                <c:pt idx="650">
                  <c:v>-33064792934.4487</c:v>
                </c:pt>
                <c:pt idx="651">
                  <c:v>-30483258191.085308</c:v>
                </c:pt>
                <c:pt idx="652">
                  <c:v>-27873834794.657047</c:v>
                </c:pt>
                <c:pt idx="653">
                  <c:v>-25239429276.83968</c:v>
                </c:pt>
                <c:pt idx="654">
                  <c:v>-22582992079.603863</c:v>
                </c:pt>
                <c:pt idx="655">
                  <c:v>-19907510908.690475</c:v>
                </c:pt>
                <c:pt idx="656">
                  <c:v>-17216003949.828335</c:v>
                </c:pt>
                <c:pt idx="657">
                  <c:v>-14511512979.415701</c:v>
                </c:pt>
                <c:pt idx="658">
                  <c:v>-11797096402.052134</c:v>
                </c:pt>
                <c:pt idx="659">
                  <c:v>-9075822247.7542648</c:v>
                </c:pt>
                <c:pt idx="660">
                  <c:v>-6350761161.8233852</c:v>
                </c:pt>
                <c:pt idx="661">
                  <c:v>-3624979420.2477379</c:v>
                </c:pt>
                <c:pt idx="662">
                  <c:v>-901532003.12929857</c:v>
                </c:pt>
                <c:pt idx="663">
                  <c:v>1816544241.9893205</c:v>
                </c:pt>
                <c:pt idx="664">
                  <c:v>4526237315.9113827</c:v>
                </c:pt>
                <c:pt idx="665">
                  <c:v>7224566632.8077002</c:v>
                </c:pt>
                <c:pt idx="666">
                  <c:v>9908589405.9388237</c:v>
                </c:pt>
                <c:pt idx="667">
                  <c:v>12575406827.08939</c:v>
                </c:pt>
                <c:pt idx="668">
                  <c:v>15222170014.443216</c:v>
                </c:pt>
                <c:pt idx="669">
                  <c:v>17846085705.543377</c:v>
                </c:pt>
                <c:pt idx="670">
                  <c:v>20444421673.996559</c:v>
                </c:pt>
                <c:pt idx="671">
                  <c:v>23014511850.761154</c:v>
                </c:pt>
                <c:pt idx="672">
                  <c:v>25553761133.087452</c:v>
                </c:pt>
                <c:pt idx="673">
                  <c:v>28059649866.52232</c:v>
                </c:pt>
                <c:pt idx="674">
                  <c:v>30529737987.738899</c:v>
                </c:pt>
                <c:pt idx="675">
                  <c:v>32961668818.349388</c:v>
                </c:pt>
                <c:pt idx="676">
                  <c:v>35353172502.251564</c:v>
                </c:pt>
                <c:pt idx="677">
                  <c:v>37702069081.395721</c:v>
                </c:pt>
                <c:pt idx="678">
                  <c:v>40006271207.202644</c:v>
                </c:pt>
                <c:pt idx="679">
                  <c:v>42263786487.080742</c:v>
                </c:pt>
                <c:pt idx="680">
                  <c:v>44472719467.674736</c:v>
                </c:pt>
                <c:pt idx="681">
                  <c:v>46631273258.517174</c:v>
                </c:pt>
                <c:pt idx="682">
                  <c:v>48737750801.716675</c:v>
                </c:pt>
                <c:pt idx="683">
                  <c:v>50790555795.114006</c:v>
                </c:pt>
                <c:pt idx="684">
                  <c:v>52788193278.025238</c:v>
                </c:pt>
                <c:pt idx="685">
                  <c:v>54729269890.21936</c:v>
                </c:pt>
                <c:pt idx="686">
                  <c:v>56612493816.145218</c:v>
                </c:pt>
                <c:pt idx="687">
                  <c:v>58436674427.657318</c:v>
                </c:pt>
                <c:pt idx="688">
                  <c:v>60200721639.537819</c:v>
                </c:pt>
                <c:pt idx="689">
                  <c:v>61903644993.025307</c:v>
                </c:pt>
                <c:pt idx="690">
                  <c:v>63544552483.293381</c:v>
                </c:pt>
                <c:pt idx="691">
                  <c:v>65122649147.431801</c:v>
                </c:pt>
                <c:pt idx="692">
                  <c:v>66637235429.90255</c:v>
                </c:pt>
                <c:pt idx="693">
                  <c:v>68087705342.760384</c:v>
                </c:pt>
                <c:pt idx="694">
                  <c:v>69473544438.073074</c:v>
                </c:pt>
                <c:pt idx="695">
                  <c:v>70794327610.022644</c:v>
                </c:pt>
                <c:pt idx="696">
                  <c:v>72049716744.067429</c:v>
                </c:pt>
                <c:pt idx="697">
                  <c:v>73239458230.356247</c:v>
                </c:pt>
                <c:pt idx="698">
                  <c:v>74363380358.281311</c:v>
                </c:pt>
                <c:pt idx="699">
                  <c:v>75421390608.660416</c:v>
                </c:pt>
                <c:pt idx="700">
                  <c:v>76413472859.57605</c:v>
                </c:pt>
                <c:pt idx="701">
                  <c:v>77339684521.338791</c:v>
                </c:pt>
                <c:pt idx="702">
                  <c:v>78200153615.450134</c:v>
                </c:pt>
                <c:pt idx="703">
                  <c:v>78995075811.768661</c:v>
                </c:pt>
                <c:pt idx="704">
                  <c:v>79724711437.390945</c:v>
                </c:pt>
                <c:pt idx="705">
                  <c:v>80389382470.014786</c:v>
                </c:pt>
                <c:pt idx="706">
                  <c:v>80989469527.796814</c:v>
                </c:pt>
                <c:pt idx="707">
                  <c:v>81525408866.935974</c:v>
                </c:pt>
                <c:pt idx="708">
                  <c:v>81997689397.423615</c:v>
                </c:pt>
                <c:pt idx="709">
                  <c:v>82406849726.614044</c:v>
                </c:pt>
                <c:pt idx="710">
                  <c:v>82753475239.473511</c:v>
                </c:pt>
                <c:pt idx="711">
                  <c:v>83038195223.592636</c:v>
                </c:pt>
                <c:pt idx="712">
                  <c:v>83261680046.274094</c:v>
                </c:pt>
                <c:pt idx="713">
                  <c:v>83424638390.264236</c:v>
                </c:pt>
                <c:pt idx="714">
                  <c:v>83527814553.965622</c:v>
                </c:pt>
                <c:pt idx="715">
                  <c:v>83571985821.269501</c:v>
                </c:pt>
                <c:pt idx="716">
                  <c:v>83557959905.471252</c:v>
                </c:pt>
                <c:pt idx="717">
                  <c:v>83486572471.090164</c:v>
                </c:pt>
                <c:pt idx="718">
                  <c:v>83358684736.800064</c:v>
                </c:pt>
                <c:pt idx="719">
                  <c:v>83175181162.102219</c:v>
                </c:pt>
                <c:pt idx="720">
                  <c:v>82936967219.824188</c:v>
                </c:pt>
                <c:pt idx="721">
                  <c:v>82644967256.021423</c:v>
                </c:pt>
                <c:pt idx="722">
                  <c:v>82300122438.37941</c:v>
                </c:pt>
                <c:pt idx="723">
                  <c:v>81903388793.777969</c:v>
                </c:pt>
                <c:pt idx="724">
                  <c:v>81455735335.269104</c:v>
                </c:pt>
                <c:pt idx="725">
                  <c:v>80958142278.350403</c:v>
                </c:pt>
                <c:pt idx="726">
                  <c:v>80411599346.074722</c:v>
                </c:pt>
                <c:pt idx="727">
                  <c:v>79817104162.228714</c:v>
                </c:pt>
                <c:pt idx="728">
                  <c:v>79175660731.538727</c:v>
                </c:pt>
                <c:pt idx="729">
                  <c:v>78488278005.60997</c:v>
                </c:pt>
                <c:pt idx="730">
                  <c:v>77755968533.093216</c:v>
                </c:pt>
                <c:pt idx="731">
                  <c:v>76979747192.371826</c:v>
                </c:pt>
                <c:pt idx="732">
                  <c:v>76160630004.903976</c:v>
                </c:pt>
                <c:pt idx="733">
                  <c:v>75299633027.203766</c:v>
                </c:pt>
                <c:pt idx="734">
                  <c:v>74397771319.331375</c:v>
                </c:pt>
                <c:pt idx="735">
                  <c:v>73456057987.656677</c:v>
                </c:pt>
                <c:pt idx="736">
                  <c:v>72475503299.582779</c:v>
                </c:pt>
                <c:pt idx="737">
                  <c:v>71457113867.855743</c:v>
                </c:pt>
                <c:pt idx="738">
                  <c:v>70401891902.033905</c:v>
                </c:pt>
                <c:pt idx="739">
                  <c:v>69310834524.668945</c:v>
                </c:pt>
                <c:pt idx="740">
                  <c:v>68184933149.723366</c:v>
                </c:pt>
                <c:pt idx="741">
                  <c:v>67025172920.754082</c:v>
                </c:pt>
                <c:pt idx="742">
                  <c:v>65832532206.389885</c:v>
                </c:pt>
                <c:pt idx="743">
                  <c:v>64607982150.654198</c:v>
                </c:pt>
                <c:pt idx="744">
                  <c:v>63352486275.706825</c:v>
                </c:pt>
                <c:pt idx="745">
                  <c:v>62067000134.610146</c:v>
                </c:pt>
                <c:pt idx="746">
                  <c:v>60752471011.772552</c:v>
                </c:pt>
                <c:pt idx="747">
                  <c:v>59409837668.75943</c:v>
                </c:pt>
                <c:pt idx="748">
                  <c:v>58040030133.223129</c:v>
                </c:pt>
                <c:pt idx="749">
                  <c:v>56643969528.750801</c:v>
                </c:pt>
                <c:pt idx="750">
                  <c:v>55222567943.495689</c:v>
                </c:pt>
                <c:pt idx="751">
                  <c:v>53776728335.515541</c:v>
                </c:pt>
                <c:pt idx="752">
                  <c:v>52307344472.809799</c:v>
                </c:pt>
                <c:pt idx="753">
                  <c:v>50815300906.112709</c:v>
                </c:pt>
                <c:pt idx="754">
                  <c:v>49301472972.564621</c:v>
                </c:pt>
                <c:pt idx="755">
                  <c:v>47766726828.460457</c:v>
                </c:pt>
                <c:pt idx="756">
                  <c:v>46211919509.331795</c:v>
                </c:pt>
                <c:pt idx="757">
                  <c:v>44637899015.700363</c:v>
                </c:pt>
                <c:pt idx="758">
                  <c:v>43045504422.89666</c:v>
                </c:pt>
                <c:pt idx="759">
                  <c:v>41435566013.417671</c:v>
                </c:pt>
                <c:pt idx="760">
                  <c:v>39808905430.351563</c:v>
                </c:pt>
                <c:pt idx="761">
                  <c:v>38166335850.475357</c:v>
                </c:pt>
                <c:pt idx="762">
                  <c:v>36508662175.683815</c:v>
                </c:pt>
                <c:pt idx="763">
                  <c:v>34836681241.477592</c:v>
                </c:pt>
                <c:pt idx="764">
                  <c:v>33151182041.298809</c:v>
                </c:pt>
                <c:pt idx="765">
                  <c:v>31452945965.553192</c:v>
                </c:pt>
                <c:pt idx="766">
                  <c:v>29742747054.226479</c:v>
                </c:pt>
                <c:pt idx="767">
                  <c:v>28021352262.042614</c:v>
                </c:pt>
                <c:pt idx="768">
                  <c:v>26289521735.1782</c:v>
                </c:pt>
                <c:pt idx="769">
                  <c:v>24548009098.581661</c:v>
                </c:pt>
                <c:pt idx="770">
                  <c:v>22797561753.006649</c:v>
                </c:pt>
                <c:pt idx="771">
                  <c:v>21038921180.9049</c:v>
                </c:pt>
                <c:pt idx="772">
                  <c:v>19272823260.365921</c:v>
                </c:pt>
                <c:pt idx="773">
                  <c:v>17499998586.34053</c:v>
                </c:pt>
                <c:pt idx="774">
                  <c:v>15721172798.403503</c:v>
                </c:pt>
                <c:pt idx="775">
                  <c:v>13937066914.369282</c:v>
                </c:pt>
                <c:pt idx="776">
                  <c:v>12148397669.082098</c:v>
                </c:pt>
                <c:pt idx="777">
                  <c:v>10355877857.752512</c:v>
                </c:pt>
                <c:pt idx="778">
                  <c:v>8560216683.2216663</c:v>
                </c:pt>
                <c:pt idx="779">
                  <c:v>6762120106.5731983</c:v>
                </c:pt>
                <c:pt idx="780">
                  <c:v>4962291200.5257559</c:v>
                </c:pt>
                <c:pt idx="781">
                  <c:v>3161430505.0584955</c:v>
                </c:pt>
                <c:pt idx="782">
                  <c:v>1360236384.7471855</c:v>
                </c:pt>
                <c:pt idx="783">
                  <c:v>-440594612.71087235</c:v>
                </c:pt>
                <c:pt idx="784">
                  <c:v>-2240367397.2776637</c:v>
                </c:pt>
                <c:pt idx="785">
                  <c:v>-4038387977.1622119</c:v>
                </c:pt>
                <c:pt idx="786">
                  <c:v>-5833963099.6922226</c:v>
                </c:pt>
                <c:pt idx="787">
                  <c:v>-7626399892.962986</c:v>
                </c:pt>
                <c:pt idx="788">
                  <c:v>-9415005508.7307625</c:v>
                </c:pt>
                <c:pt idx="789">
                  <c:v>-11199086767.042316</c:v>
                </c:pt>
                <c:pt idx="790">
                  <c:v>-12977949803.076338</c:v>
                </c:pt>
                <c:pt idx="791">
                  <c:v>-14750899716.688208</c:v>
                </c:pt>
                <c:pt idx="792">
                  <c:v>-16517240225.156897</c:v>
                </c:pt>
                <c:pt idx="793">
                  <c:v>-18276273319.63456</c:v>
                </c:pt>
                <c:pt idx="794">
                  <c:v>-20027298925.825562</c:v>
                </c:pt>
                <c:pt idx="795">
                  <c:v>-21769614569.421288</c:v>
                </c:pt>
                <c:pt idx="796">
                  <c:v>-23502515046.84996</c:v>
                </c:pt>
                <c:pt idx="797">
                  <c:v>-25225292101.905357</c:v>
                </c:pt>
                <c:pt idx="798">
                  <c:v>-26937234108.85358</c:v>
                </c:pt>
                <c:pt idx="799">
                  <c:v>-28637625762.633648</c:v>
                </c:pt>
                <c:pt idx="800">
                  <c:v>-30325747776.794006</c:v>
                </c:pt>
                <c:pt idx="801">
                  <c:v>-32000876589.844917</c:v>
                </c:pt>
                <c:pt idx="802">
                  <c:v>-33662284080.724979</c:v>
                </c:pt>
                <c:pt idx="803">
                  <c:v>-35309237294.128288</c:v>
                </c:pt>
                <c:pt idx="804">
                  <c:v>-36940998176.460617</c:v>
                </c:pt>
                <c:pt idx="805">
                  <c:v>-38556823323.24543</c:v>
                </c:pt>
                <c:pt idx="806">
                  <c:v>-40155963738.827133</c:v>
                </c:pt>
                <c:pt idx="807">
                  <c:v>-41737664609.275284</c:v>
                </c:pt>
                <c:pt idx="808">
                  <c:v>-43301165089.426575</c:v>
                </c:pt>
                <c:pt idx="809">
                  <c:v>-44845698105.055389</c:v>
                </c:pt>
                <c:pt idx="810">
                  <c:v>-46370490171.213074</c:v>
                </c:pt>
                <c:pt idx="811">
                  <c:v>-47874761227.817459</c:v>
                </c:pt>
                <c:pt idx="812">
                  <c:v>-49357724493.643646</c:v>
                </c:pt>
                <c:pt idx="813">
                  <c:v>-50818586339.899216</c:v>
                </c:pt>
                <c:pt idx="814">
                  <c:v>-52256546184.645592</c:v>
                </c:pt>
                <c:pt idx="815">
                  <c:v>-53670796409.361969</c:v>
                </c:pt>
                <c:pt idx="816">
                  <c:v>-55060522299.027313</c:v>
                </c:pt>
                <c:pt idx="817">
                  <c:v>-56424902007.135551</c:v>
                </c:pt>
                <c:pt idx="818">
                  <c:v>-57763106547.134483</c:v>
                </c:pt>
                <c:pt idx="819">
                  <c:v>-59074299811.825844</c:v>
                </c:pt>
                <c:pt idx="820">
                  <c:v>-60357638622.33532</c:v>
                </c:pt>
                <c:pt idx="821">
                  <c:v>-61612272808.31144</c:v>
                </c:pt>
                <c:pt idx="822">
                  <c:v>-62837345321.077141</c:v>
                </c:pt>
                <c:pt idx="823">
                  <c:v>-64031992381.515442</c:v>
                </c:pt>
                <c:pt idx="824">
                  <c:v>-65195343664.523552</c:v>
                </c:pt>
                <c:pt idx="825">
                  <c:v>-66326522521.929306</c:v>
                </c:pt>
                <c:pt idx="826">
                  <c:v>-67424646245.810432</c:v>
                </c:pt>
                <c:pt idx="827">
                  <c:v>-68488826374.213097</c:v>
                </c:pt>
                <c:pt idx="828">
                  <c:v>-69518169041.302261</c:v>
                </c:pt>
                <c:pt idx="829">
                  <c:v>-70511775374.027298</c:v>
                </c:pt>
                <c:pt idx="830">
                  <c:v>-71468741937.41272</c:v>
                </c:pt>
                <c:pt idx="831">
                  <c:v>-72388161230.619064</c:v>
                </c:pt>
                <c:pt idx="832">
                  <c:v>-73269122235.941315</c:v>
                </c:pt>
                <c:pt idx="833">
                  <c:v>-74110711022.923096</c:v>
                </c:pt>
                <c:pt idx="834">
                  <c:v>-74912011409.777725</c:v>
                </c:pt>
                <c:pt idx="835">
                  <c:v>-75672105684.296188</c:v>
                </c:pt>
                <c:pt idx="836">
                  <c:v>-76390075386.417343</c:v>
                </c:pt>
                <c:pt idx="837">
                  <c:v>-77065002154.597763</c:v>
                </c:pt>
                <c:pt idx="838">
                  <c:v>-77695968638.091858</c:v>
                </c:pt>
                <c:pt idx="839">
                  <c:v>-78282059477.189392</c:v>
                </c:pt>
                <c:pt idx="840">
                  <c:v>-78822362353.394623</c:v>
                </c:pt>
                <c:pt idx="841">
                  <c:v>-79315969111.442947</c:v>
                </c:pt>
                <c:pt idx="842">
                  <c:v>-79761976954.946854</c:v>
                </c:pt>
                <c:pt idx="843">
                  <c:v>-80159489717.340866</c:v>
                </c:pt>
                <c:pt idx="844">
                  <c:v>-80507619209.648651</c:v>
                </c:pt>
                <c:pt idx="845">
                  <c:v>-80805486646.431747</c:v>
                </c:pt>
                <c:pt idx="846">
                  <c:v>-81052224151.085098</c:v>
                </c:pt>
                <c:pt idx="847">
                  <c:v>-81246976341.435165</c:v>
                </c:pt>
                <c:pt idx="848">
                  <c:v>-81388901996.349625</c:v>
                </c:pt>
                <c:pt idx="849">
                  <c:v>-81477175803.804153</c:v>
                </c:pt>
                <c:pt idx="850">
                  <c:v>-81510990190.551208</c:v>
                </c:pt>
                <c:pt idx="851">
                  <c:v>-81489557233.213242</c:v>
                </c:pt>
                <c:pt idx="852">
                  <c:v>-81412110650.263901</c:v>
                </c:pt>
                <c:pt idx="853">
                  <c:v>-81277907873.974945</c:v>
                </c:pt>
                <c:pt idx="854">
                  <c:v>-81086232200.986801</c:v>
                </c:pt>
                <c:pt idx="855">
                  <c:v>-80836395019.71254</c:v>
                </c:pt>
                <c:pt idx="856">
                  <c:v>-80527738112.299545</c:v>
                </c:pt>
                <c:pt idx="857">
                  <c:v>-80159636028.362946</c:v>
                </c:pt>
                <c:pt idx="858">
                  <c:v>-79731498527.155884</c:v>
                </c:pt>
                <c:pt idx="859">
                  <c:v>-79242773084.270859</c:v>
                </c:pt>
                <c:pt idx="860">
                  <c:v>-78692947458.359131</c:v>
                </c:pt>
                <c:pt idx="861">
                  <c:v>-78081552312.72316</c:v>
                </c:pt>
                <c:pt idx="862">
                  <c:v>-77408163885.984848</c:v>
                </c:pt>
                <c:pt idx="863">
                  <c:v>-76672406705.345154</c:v>
                </c:pt>
                <c:pt idx="864">
                  <c:v>-75873956335.259979</c:v>
                </c:pt>
                <c:pt idx="865">
                  <c:v>-75012542153.633209</c:v>
                </c:pt>
                <c:pt idx="866">
                  <c:v>-74087950146.908234</c:v>
                </c:pt>
                <c:pt idx="867">
                  <c:v>-73100025714.696136</c:v>
                </c:pt>
                <c:pt idx="868">
                  <c:v>-72048676473.849136</c:v>
                </c:pt>
                <c:pt idx="869">
                  <c:v>-70933875051.149017</c:v>
                </c:pt>
                <c:pt idx="870">
                  <c:v>-69755661853.056122</c:v>
                </c:pt>
                <c:pt idx="871">
                  <c:v>-68514147800.262642</c:v>
                </c:pt>
                <c:pt idx="872">
                  <c:v>-67209517014.102303</c:v>
                </c:pt>
                <c:pt idx="873">
                  <c:v>-65842029441.225677</c:v>
                </c:pt>
                <c:pt idx="874">
                  <c:v>-64412023402.332664</c:v>
                </c:pt>
                <c:pt idx="875">
                  <c:v>-62919918050.197456</c:v>
                </c:pt>
                <c:pt idx="876">
                  <c:v>-61366215721.710587</c:v>
                </c:pt>
                <c:pt idx="877">
                  <c:v>-59751504168.233398</c:v>
                </c:pt>
                <c:pt idx="878">
                  <c:v>-58076458648.19532</c:v>
                </c:pt>
                <c:pt idx="879">
                  <c:v>-56341843865.589394</c:v>
                </c:pt>
                <c:pt idx="880">
                  <c:v>-54548515737.850433</c:v>
                </c:pt>
                <c:pt idx="881">
                  <c:v>-52697422976.515236</c:v>
                </c:pt>
                <c:pt idx="882">
                  <c:v>-50789608464.117142</c:v>
                </c:pt>
                <c:pt idx="883">
                  <c:v>-48826210410.914322</c:v>
                </c:pt>
                <c:pt idx="884">
                  <c:v>-46808463275.358612</c:v>
                </c:pt>
                <c:pt idx="885">
                  <c:v>-44737698432.618958</c:v>
                </c:pt>
                <c:pt idx="886">
                  <c:v>-42615344576.06485</c:v>
                </c:pt>
                <c:pt idx="887">
                  <c:v>-40442927837.314629</c:v>
                </c:pt>
                <c:pt idx="888">
                  <c:v>-38222071611.323425</c:v>
                </c:pt>
                <c:pt idx="889">
                  <c:v>-35954496074.013893</c:v>
                </c:pt>
                <c:pt idx="890">
                  <c:v>-33642017381.106617</c:v>
                </c:pt>
                <c:pt idx="891">
                  <c:v>-31286546538.148533</c:v>
                </c:pt>
                <c:pt idx="892">
                  <c:v>-28890087933.187893</c:v>
                </c:pt>
                <c:pt idx="893">
                  <c:v>-26454737525.176376</c:v>
                </c:pt>
                <c:pt idx="894">
                  <c:v>-23982680682.907703</c:v>
                </c:pt>
                <c:pt idx="895">
                  <c:v>-21476189671.192974</c:v>
                </c:pt>
                <c:pt idx="896">
                  <c:v>-18937620782.951145</c:v>
                </c:pt>
                <c:pt idx="897">
                  <c:v>-16369411117.984919</c:v>
                </c:pt>
                <c:pt idx="898">
                  <c:v>-13774075011.394014</c:v>
                </c:pt>
                <c:pt idx="899">
                  <c:v>-11154200116.815893</c:v>
                </c:pt>
                <c:pt idx="900">
                  <c:v>-8512443151.9898024</c:v>
                </c:pt>
                <c:pt idx="901">
                  <c:v>-5851525316.4499655</c:v>
                </c:pt>
                <c:pt idx="902">
                  <c:v>-3174227393.5078511</c:v>
                </c:pt>
                <c:pt idx="903">
                  <c:v>-483384550.97948831</c:v>
                </c:pt>
                <c:pt idx="904">
                  <c:v>2218119142.5856791</c:v>
                </c:pt>
                <c:pt idx="905">
                  <c:v>4927356467.2131186</c:v>
                </c:pt>
                <c:pt idx="906">
                  <c:v>7641363045.2569437</c:v>
                </c:pt>
                <c:pt idx="907">
                  <c:v>10357143556.474714</c:v>
                </c:pt>
                <c:pt idx="908">
                  <c:v>13071678149.434914</c:v>
                </c:pt>
                <c:pt idx="909">
                  <c:v>15781929022.514894</c:v>
                </c:pt>
                <c:pt idx="910">
                  <c:v>18484847146.228897</c:v>
                </c:pt>
                <c:pt idx="911">
                  <c:v>21177379097.237995</c:v>
                </c:pt>
                <c:pt idx="912">
                  <c:v>23856473973.294601</c:v>
                </c:pt>
                <c:pt idx="913">
                  <c:v>26519090357.438774</c:v>
                </c:pt>
                <c:pt idx="914">
                  <c:v>29162203299.129135</c:v>
                </c:pt>
                <c:pt idx="915">
                  <c:v>31782811279.564274</c:v>
                </c:pt>
                <c:pt idx="916">
                  <c:v>34377943128.318764</c:v>
                </c:pt>
                <c:pt idx="917">
                  <c:v>36944664858.538071</c:v>
                </c:pt>
                <c:pt idx="918">
                  <c:v>39480086388.310364</c:v>
                </c:pt>
                <c:pt idx="919">
                  <c:v>41981368116.502342</c:v>
                </c:pt>
                <c:pt idx="920">
                  <c:v>44445727322.230759</c:v>
                </c:pt>
                <c:pt idx="921">
                  <c:v>46870444358.31855</c:v>
                </c:pt>
                <c:pt idx="922">
                  <c:v>49252868610.45089</c:v>
                </c:pt>
                <c:pt idx="923">
                  <c:v>51590424195.387146</c:v>
                </c:pt>
                <c:pt idx="924">
                  <c:v>53880615373.369316</c:v>
                </c:pt>
                <c:pt idx="925">
                  <c:v>56121031651.890289</c:v>
                </c:pt>
                <c:pt idx="926">
                  <c:v>58309352560.137962</c:v>
                </c:pt>
                <c:pt idx="927">
                  <c:v>60443352075.722</c:v>
                </c:pt>
                <c:pt idx="928">
                  <c:v>62520902687.717476</c:v>
                </c:pt>
                <c:pt idx="929">
                  <c:v>64539979082.539291</c:v>
                </c:pt>
                <c:pt idx="930">
                  <c:v>66498661441.739136</c:v>
                </c:pt>
                <c:pt idx="931">
                  <c:v>68395138343.39106</c:v>
                </c:pt>
                <c:pt idx="932">
                  <c:v>70227709261.349869</c:v>
                </c:pt>
                <c:pt idx="933">
                  <c:v>71994786659.234344</c:v>
                </c:pt>
                <c:pt idx="934">
                  <c:v>73694897678.534378</c:v>
                </c:pt>
                <c:pt idx="935">
                  <c:v>75326685422.71991</c:v>
                </c:pt>
                <c:pt idx="936">
                  <c:v>76888909841.598175</c:v>
                </c:pt>
                <c:pt idx="937">
                  <c:v>78380448222.464859</c:v>
                </c:pt>
                <c:pt idx="938">
                  <c:v>79800295296.726837</c:v>
                </c:pt>
                <c:pt idx="939">
                  <c:v>81147562972.701096</c:v>
                </c:pt>
                <c:pt idx="940">
                  <c:v>82421479707.131317</c:v>
                </c:pt>
                <c:pt idx="941">
                  <c:v>83621389529.670532</c:v>
                </c:pt>
                <c:pt idx="942">
                  <c:v>84746750736.074081</c:v>
                </c:pt>
                <c:pt idx="943">
                  <c:v>85797134267.193161</c:v>
                </c:pt>
                <c:pt idx="944">
                  <c:v>86772221791.995789</c:v>
                </c:pt>
                <c:pt idx="945">
                  <c:v>87671803513.81105</c:v>
                </c:pt>
                <c:pt idx="946">
                  <c:v>88495775719.76033</c:v>
                </c:pt>
                <c:pt idx="947">
                  <c:v>89244138093.934464</c:v>
                </c:pt>
                <c:pt idx="948">
                  <c:v>89916990815.290604</c:v>
                </c:pt>
                <c:pt idx="949">
                  <c:v>90514531461.475143</c:v>
                </c:pt>
                <c:pt idx="950">
                  <c:v>91037051739.864838</c:v>
                </c:pt>
                <c:pt idx="951">
                  <c:v>91484934067.030212</c:v>
                </c:pt>
                <c:pt idx="952">
                  <c:v>91858648017.605759</c:v>
                </c:pt>
                <c:pt idx="953">
                  <c:v>92158746663.188354</c:v>
                </c:pt>
                <c:pt idx="954">
                  <c:v>92385862821.40419</c:v>
                </c:pt>
                <c:pt idx="955">
                  <c:v>92540705234.691513</c:v>
                </c:pt>
                <c:pt idx="956">
                  <c:v>92624054697.654739</c:v>
                </c:pt>
                <c:pt idx="957">
                  <c:v>92636760151.07019</c:v>
                </c:pt>
                <c:pt idx="958">
                  <c:v>92579734759.770859</c:v>
                </c:pt>
                <c:pt idx="959">
                  <c:v>92453951990.730606</c:v>
                </c:pt>
                <c:pt idx="960">
                  <c:v>92260441706.70517</c:v>
                </c:pt>
                <c:pt idx="961">
                  <c:v>92000286289.793594</c:v>
                </c:pt>
                <c:pt idx="962">
                  <c:v>91674616808.257004</c:v>
                </c:pt>
                <c:pt idx="963">
                  <c:v>91284609238.894623</c:v>
                </c:pt>
                <c:pt idx="964">
                  <c:v>90831480756.229538</c:v>
                </c:pt>
                <c:pt idx="965">
                  <c:v>90316486098.713303</c:v>
                </c:pt>
                <c:pt idx="966">
                  <c:v>89740914021.124481</c:v>
                </c:pt>
                <c:pt idx="967">
                  <c:v>89106083841.321396</c:v>
                </c:pt>
                <c:pt idx="968">
                  <c:v>88413342088.515778</c:v>
                </c:pt>
                <c:pt idx="969">
                  <c:v>87664059259.274963</c:v>
                </c:pt>
                <c:pt idx="970">
                  <c:v>86859626686.529251</c:v>
                </c:pt>
                <c:pt idx="971">
                  <c:v>86001453525.977234</c:v>
                </c:pt>
                <c:pt idx="972">
                  <c:v>85090963863.428131</c:v>
                </c:pt>
                <c:pt idx="973">
                  <c:v>84129593945.828598</c:v>
                </c:pt>
                <c:pt idx="974">
                  <c:v>83118789537.956421</c:v>
                </c:pt>
                <c:pt idx="975">
                  <c:v>82060003406.064041</c:v>
                </c:pt>
                <c:pt idx="976">
                  <c:v>80954692929.094391</c:v>
                </c:pt>
                <c:pt idx="977">
                  <c:v>79804317837.4823</c:v>
                </c:pt>
                <c:pt idx="978">
                  <c:v>78610338079.000336</c:v>
                </c:pt>
                <c:pt idx="979">
                  <c:v>77374211810.59169</c:v>
                </c:pt>
                <c:pt idx="980">
                  <c:v>76097393514.677475</c:v>
                </c:pt>
                <c:pt idx="981">
                  <c:v>74781332238.002609</c:v>
                </c:pt>
                <c:pt idx="982">
                  <c:v>73427469950.723145</c:v>
                </c:pt>
                <c:pt idx="983">
                  <c:v>72037240023.101456</c:v>
                </c:pt>
                <c:pt idx="984">
                  <c:v>70612065816.900238</c:v>
                </c:pt>
                <c:pt idx="985">
                  <c:v>69153359388.312119</c:v>
                </c:pt>
                <c:pt idx="986">
                  <c:v>67662520299.058594</c:v>
                </c:pt>
                <c:pt idx="987">
                  <c:v>66140934532.121056</c:v>
                </c:pt>
                <c:pt idx="988">
                  <c:v>64589973508.417992</c:v>
                </c:pt>
                <c:pt idx="989">
                  <c:v>63010993200.646378</c:v>
                </c:pt>
                <c:pt idx="990">
                  <c:v>61405333340.410301</c:v>
                </c:pt>
                <c:pt idx="991">
                  <c:v>59774316714.720329</c:v>
                </c:pt>
                <c:pt idx="992">
                  <c:v>58119248547.901756</c:v>
                </c:pt>
                <c:pt idx="993">
                  <c:v>56441415964.95443</c:v>
                </c:pt>
                <c:pt idx="994">
                  <c:v>54742087532.410164</c:v>
                </c:pt>
                <c:pt idx="995">
                  <c:v>53022512872.761787</c:v>
                </c:pt>
                <c:pt idx="996">
                  <c:v>51283922348.593254</c:v>
                </c:pt>
                <c:pt idx="997">
                  <c:v>49527526812.57962</c:v>
                </c:pt>
                <c:pt idx="998">
                  <c:v>47754517419.620918</c:v>
                </c:pt>
                <c:pt idx="999">
                  <c:v>45966065497.431244</c:v>
                </c:pt>
                <c:pt idx="1000">
                  <c:v>44163322472.015717</c:v>
                </c:pt>
              </c:numCache>
            </c:numRef>
          </c:xVal>
          <c:yVal>
            <c:numRef>
              <c:f>Data!$P$13:$P$1013</c:f>
              <c:numCache>
                <c:formatCode>0.00E+00</c:formatCode>
                <c:ptCount val="1001"/>
                <c:pt idx="0">
                  <c:v>0</c:v>
                </c:pt>
                <c:pt idx="1">
                  <c:v>1799982495.6943724</c:v>
                </c:pt>
                <c:pt idx="2">
                  <c:v>3599270528.6478705</c:v>
                </c:pt>
                <c:pt idx="3">
                  <c:v>5397169277.9722652</c:v>
                </c:pt>
                <c:pt idx="4">
                  <c:v>7192983206.9660511</c:v>
                </c:pt>
                <c:pt idx="5">
                  <c:v>8986015706.4137974</c:v>
                </c:pt>
                <c:pt idx="6">
                  <c:v>10775568739.339542</c:v>
                </c:pt>
                <c:pt idx="7">
                  <c:v>12560942487.710238</c:v>
                </c:pt>
                <c:pt idx="8">
                  <c:v>14341435001.595037</c:v>
                </c:pt>
                <c:pt idx="9">
                  <c:v>16116341851.298466</c:v>
                </c:pt>
                <c:pt idx="10">
                  <c:v>17884955782.999985</c:v>
                </c:pt>
                <c:pt idx="11">
                  <c:v>19646566378.449738</c:v>
                </c:pt>
                <c:pt idx="12">
                  <c:v>21400459719.289764</c:v>
                </c:pt>
                <c:pt idx="13">
                  <c:v>23145918056.591724</c:v>
                </c:pt>
                <c:pt idx="14">
                  <c:v>24882219486.227093</c:v>
                </c:pt>
                <c:pt idx="15">
                  <c:v>26608637630.712128</c:v>
                </c:pt>
                <c:pt idx="16">
                  <c:v>28324441328.199711</c:v>
                </c:pt>
                <c:pt idx="17">
                  <c:v>30028894329.321751</c:v>
                </c:pt>
                <c:pt idx="18">
                  <c:v>31721255002.620018</c:v>
                </c:pt>
                <c:pt idx="19">
                  <c:v>33400776049.33997</c:v>
                </c:pt>
                <c:pt idx="20">
                  <c:v>35066704228.401253</c:v>
                </c:pt>
                <c:pt idx="21">
                  <c:v>36718280092.399742</c:v>
                </c:pt>
                <c:pt idx="22">
                  <c:v>38354737735.539886</c:v>
                </c:pt>
                <c:pt idx="23">
                  <c:v>39975304554.441956</c:v>
                </c:pt>
                <c:pt idx="24">
                  <c:v>41579201022.817162</c:v>
                </c:pt>
                <c:pt idx="25">
                  <c:v>43165640481.053894</c:v>
                </c:pt>
                <c:pt idx="26">
                  <c:v>44733828941.81076</c:v>
                </c:pt>
                <c:pt idx="27">
                  <c:v>46282964912.766609</c:v>
                </c:pt>
                <c:pt idx="28">
                  <c:v>47812239237.733742</c:v>
                </c:pt>
                <c:pt idx="29">
                  <c:v>49320834957.399124</c:v>
                </c:pt>
                <c:pt idx="30">
                  <c:v>50807927191.017021</c:v>
                </c:pt>
                <c:pt idx="31">
                  <c:v>52272683040.43853</c:v>
                </c:pt>
                <c:pt idx="32">
                  <c:v>53714261517.924614</c:v>
                </c:pt>
                <c:pt idx="33">
                  <c:v>55131813499.253166</c:v>
                </c:pt>
                <c:pt idx="34">
                  <c:v>56524481703.694077</c:v>
                </c:pt>
                <c:pt idx="35">
                  <c:v>57891400702.490501</c:v>
                </c:pt>
                <c:pt idx="36">
                  <c:v>59231696957.548882</c:v>
                </c:pt>
                <c:pt idx="37">
                  <c:v>60544488892.104568</c:v>
                </c:pt>
                <c:pt idx="38">
                  <c:v>61828886995.192764</c:v>
                </c:pt>
                <c:pt idx="39">
                  <c:v>63083993961.817429</c:v>
                </c:pt>
                <c:pt idx="40">
                  <c:v>64308904870.77063</c:v>
                </c:pt>
                <c:pt idx="41">
                  <c:v>65502707402.114365</c:v>
                </c:pt>
                <c:pt idx="42">
                  <c:v>66664482096.391563</c:v>
                </c:pt>
                <c:pt idx="43">
                  <c:v>67793302657.686363</c:v>
                </c:pt>
                <c:pt idx="44">
                  <c:v>68888236302.701523</c:v>
                </c:pt>
                <c:pt idx="45">
                  <c:v>69948344158.06488</c:v>
                </c:pt>
                <c:pt idx="46">
                  <c:v>70972681708.114655</c:v>
                </c:pt>
                <c:pt idx="47">
                  <c:v>71960299295.444519</c:v>
                </c:pt>
                <c:pt idx="48">
                  <c:v>72910242676.514877</c:v>
                </c:pt>
                <c:pt idx="49">
                  <c:v>73821553634.651123</c:v>
                </c:pt>
                <c:pt idx="50">
                  <c:v>74693270652.757156</c:v>
                </c:pt>
                <c:pt idx="51">
                  <c:v>75524429648.06868</c:v>
                </c:pt>
                <c:pt idx="52">
                  <c:v>76314064771.254379</c:v>
                </c:pt>
                <c:pt idx="53">
                  <c:v>77061209272.145691</c:v>
                </c:pt>
                <c:pt idx="54">
                  <c:v>77764896434.332977</c:v>
                </c:pt>
                <c:pt idx="55">
                  <c:v>78424160580.808197</c:v>
                </c:pt>
                <c:pt idx="56">
                  <c:v>79038038152.760101</c:v>
                </c:pt>
                <c:pt idx="57">
                  <c:v>79605568863.53476</c:v>
                </c:pt>
                <c:pt idx="58">
                  <c:v>80125796929.663101</c:v>
                </c:pt>
                <c:pt idx="59">
                  <c:v>80597772380.723328</c:v>
                </c:pt>
                <c:pt idx="60">
                  <c:v>81020552449.651871</c:v>
                </c:pt>
                <c:pt idx="61">
                  <c:v>81393203044.936554</c:v>
                </c:pt>
                <c:pt idx="62">
                  <c:v>81714800305.922302</c:v>
                </c:pt>
                <c:pt idx="63">
                  <c:v>81984432242.229416</c:v>
                </c:pt>
                <c:pt idx="64">
                  <c:v>82201200458.024948</c:v>
                </c:pt>
                <c:pt idx="65">
                  <c:v>82364221961.601791</c:v>
                </c:pt>
                <c:pt idx="66">
                  <c:v>82472631060.402451</c:v>
                </c:pt>
                <c:pt idx="67">
                  <c:v>82525581341.274704</c:v>
                </c:pt>
                <c:pt idx="68">
                  <c:v>82522247735.368042</c:v>
                </c:pt>
                <c:pt idx="69">
                  <c:v>82461828666.665024</c:v>
                </c:pt>
                <c:pt idx="70">
                  <c:v>82343548282.696655</c:v>
                </c:pt>
                <c:pt idx="71">
                  <c:v>82166658765.511063</c:v>
                </c:pt>
                <c:pt idx="72">
                  <c:v>81930442720.452271</c:v>
                </c:pt>
                <c:pt idx="73">
                  <c:v>81634215639.760651</c:v>
                </c:pt>
                <c:pt idx="74">
                  <c:v>81277328437.428772</c:v>
                </c:pt>
                <c:pt idx="75">
                  <c:v>80859170051.138</c:v>
                </c:pt>
                <c:pt idx="76">
                  <c:v>80379170106.462509</c:v>
                </c:pt>
                <c:pt idx="77">
                  <c:v>79836801637.861496</c:v>
                </c:pt>
                <c:pt idx="78">
                  <c:v>79231583860.289719</c:v>
                </c:pt>
                <c:pt idx="79">
                  <c:v>78563084984.541336</c:v>
                </c:pt>
                <c:pt idx="80">
                  <c:v>77830925068.710663</c:v>
                </c:pt>
                <c:pt idx="81">
                  <c:v>77034778897.405045</c:v>
                </c:pt>
                <c:pt idx="82">
                  <c:v>76174378879.586517</c:v>
                </c:pt>
                <c:pt idx="83">
                  <c:v>75249517955.156036</c:v>
                </c:pt>
                <c:pt idx="84">
                  <c:v>74260052499.629272</c:v>
                </c:pt>
                <c:pt idx="85">
                  <c:v>73205905215.497787</c:v>
                </c:pt>
                <c:pt idx="86">
                  <c:v>72087067998.124756</c:v>
                </c:pt>
                <c:pt idx="87">
                  <c:v>70903604763.301727</c:v>
                </c:pt>
                <c:pt idx="88">
                  <c:v>69655654222.900665</c:v>
                </c:pt>
                <c:pt idx="89">
                  <c:v>68343432594.396057</c:v>
                </c:pt>
                <c:pt idx="90">
                  <c:v>66967236229.424011</c:v>
                </c:pt>
                <c:pt idx="91">
                  <c:v>65527444145.987122</c:v>
                </c:pt>
                <c:pt idx="92">
                  <c:v>64024520448.424744</c:v>
                </c:pt>
                <c:pt idx="93">
                  <c:v>62459016618.850449</c:v>
                </c:pt>
                <c:pt idx="94">
                  <c:v>60831573663.425339</c:v>
                </c:pt>
                <c:pt idx="95">
                  <c:v>59142924096.598564</c:v>
                </c:pt>
                <c:pt idx="96">
                  <c:v>57393893746.307419</c:v>
                </c:pt>
                <c:pt idx="97">
                  <c:v>55585403363.108734</c:v>
                </c:pt>
                <c:pt idx="98">
                  <c:v>53718470016.308838</c:v>
                </c:pt>
                <c:pt idx="99">
                  <c:v>51794208260.386726</c:v>
                </c:pt>
                <c:pt idx="100">
                  <c:v>49813831055.369041</c:v>
                </c:pt>
                <c:pt idx="101">
                  <c:v>47778650425.320518</c:v>
                </c:pt>
                <c:pt idx="102">
                  <c:v>45690077839.769974</c:v>
                </c:pt>
                <c:pt idx="103">
                  <c:v>43549624303.69706</c:v>
                </c:pt>
                <c:pt idx="104">
                  <c:v>41358900142.66861</c:v>
                </c:pt>
                <c:pt idx="105">
                  <c:v>39119614470.829453</c:v>
                </c:pt>
                <c:pt idx="106">
                  <c:v>36833574330.726082</c:v>
                </c:pt>
                <c:pt idx="107">
                  <c:v>34502683495.36644</c:v>
                </c:pt>
                <c:pt idx="108">
                  <c:v>32128940924.491009</c:v>
                </c:pt>
                <c:pt idx="109">
                  <c:v>29714438868.745514</c:v>
                </c:pt>
                <c:pt idx="110">
                  <c:v>27261360617.290894</c:v>
                </c:pt>
                <c:pt idx="111">
                  <c:v>24771977886.353729</c:v>
                </c:pt>
                <c:pt idx="112">
                  <c:v>22248647848.299389</c:v>
                </c:pt>
                <c:pt idx="113">
                  <c:v>19693809802.976986</c:v>
                </c:pt>
                <c:pt idx="114">
                  <c:v>17109981495.336992</c:v>
                </c:pt>
                <c:pt idx="115">
                  <c:v>14499755085.626123</c:v>
                </c:pt>
                <c:pt idx="116">
                  <c:v>11865792780.808798</c:v>
                </c:pt>
                <c:pt idx="117">
                  <c:v>9210822138.2282238</c:v>
                </c:pt>
                <c:pt idx="118">
                  <c:v>6537631054.8714323</c:v>
                </c:pt>
                <c:pt idx="119">
                  <c:v>3849062457.9316416</c:v>
                </c:pt>
                <c:pt idx="120">
                  <c:v>1148008714.6312699</c:v>
                </c:pt>
                <c:pt idx="121">
                  <c:v>-1562594218.5395808</c:v>
                </c:pt>
                <c:pt idx="122">
                  <c:v>-4279772884.9215794</c:v>
                </c:pt>
                <c:pt idx="123">
                  <c:v>-7000522630.9136686</c:v>
                </c:pt>
                <c:pt idx="124">
                  <c:v>-9721814097.307169</c:v>
                </c:pt>
                <c:pt idx="125">
                  <c:v>-12440599871.064831</c:v>
                </c:pt>
                <c:pt idx="126">
                  <c:v>-15153821268.431761</c:v>
                </c:pt>
                <c:pt idx="127">
                  <c:v>-17858415219.031143</c:v>
                </c:pt>
                <c:pt idx="128">
                  <c:v>-20551321219.584263</c:v>
                </c:pt>
                <c:pt idx="129">
                  <c:v>-23229488325.124096</c:v>
                </c:pt>
                <c:pt idx="130">
                  <c:v>-25889882145.056786</c:v>
                </c:pt>
                <c:pt idx="131">
                  <c:v>-28529491811.162548</c:v>
                </c:pt>
                <c:pt idx="132">
                  <c:v>-31145336884.637157</c:v>
                </c:pt>
                <c:pt idx="133">
                  <c:v>-33734474169.545296</c:v>
                </c:pt>
                <c:pt idx="134">
                  <c:v>-36294004400.596024</c:v>
                </c:pt>
                <c:pt idx="135">
                  <c:v>-38821078773.945251</c:v>
                </c:pt>
                <c:pt idx="136">
                  <c:v>-41312905290.780548</c:v>
                </c:pt>
                <c:pt idx="137">
                  <c:v>-43766754884.731171</c:v>
                </c:pt>
                <c:pt idx="138">
                  <c:v>-46179967305.661453</c:v>
                </c:pt>
                <c:pt idx="139">
                  <c:v>-48549956734.131752</c:v>
                </c:pt>
                <c:pt idx="140">
                  <c:v>-50874217102.723198</c:v>
                </c:pt>
                <c:pt idx="141">
                  <c:v>-53150327102.510269</c:v>
                </c:pt>
                <c:pt idx="142">
                  <c:v>-55375954855.19249</c:v>
                </c:pt>
                <c:pt idx="143">
                  <c:v>-57548862233.747612</c:v>
                </c:pt>
                <c:pt idx="144">
                  <c:v>-59666908816.918594</c:v>
                </c:pt>
                <c:pt idx="145">
                  <c:v>-61728055465.361359</c:v>
                </c:pt>
                <c:pt idx="146">
                  <c:v>-63730367509.84037</c:v>
                </c:pt>
                <c:pt idx="147">
                  <c:v>-65672017544.43956</c:v>
                </c:pt>
                <c:pt idx="148">
                  <c:v>-67551287820.321709</c:v>
                </c:pt>
                <c:pt idx="149">
                  <c:v>-69366572238.107285</c:v>
                </c:pt>
                <c:pt idx="150">
                  <c:v>-71116377939.422501</c:v>
                </c:pt>
                <c:pt idx="151">
                  <c:v>-72799326500.564194</c:v>
                </c:pt>
                <c:pt idx="152">
                  <c:v>-74414154733.531799</c:v>
                </c:pt>
                <c:pt idx="153">
                  <c:v>-75959715101.857101</c:v>
                </c:pt>
                <c:pt idx="154">
                  <c:v>-77434975760.710678</c:v>
                </c:pt>
                <c:pt idx="155">
                  <c:v>-78839020232.665329</c:v>
                </c:pt>
                <c:pt idx="156">
                  <c:v>-80171046732.234528</c:v>
                </c:pt>
                <c:pt idx="157">
                  <c:v>-81430367153.875992</c:v>
                </c:pt>
                <c:pt idx="158">
                  <c:v>-82616405739.544662</c:v>
                </c:pt>
                <c:pt idx="159">
                  <c:v>-83728697443.093399</c:v>
                </c:pt>
                <c:pt idx="160">
                  <c:v>-84766886009.850143</c:v>
                </c:pt>
                <c:pt idx="161">
                  <c:v>-85730721790.54895</c:v>
                </c:pt>
                <c:pt idx="162">
                  <c:v>-86620059309.459137</c:v>
                </c:pt>
                <c:pt idx="163">
                  <c:v>-87434854607.04509</c:v>
                </c:pt>
                <c:pt idx="164">
                  <c:v>-88175162377.809738</c:v>
                </c:pt>
                <c:pt idx="165">
                  <c:v>-88841132924.125839</c:v>
                </c:pt>
                <c:pt idx="166">
                  <c:v>-89433008946.857834</c:v>
                </c:pt>
                <c:pt idx="167">
                  <c:v>-89951122193.427444</c:v>
                </c:pt>
                <c:pt idx="168">
                  <c:v>-90395889983.690536</c:v>
                </c:pt>
                <c:pt idx="169">
                  <c:v>-90767811633.583252</c:v>
                </c:pt>
                <c:pt idx="170">
                  <c:v>-91067464795.971039</c:v>
                </c:pt>
                <c:pt idx="171">
                  <c:v>-91295501737.510178</c:v>
                </c:pt>
                <c:pt idx="172">
                  <c:v>-91452645569.617599</c:v>
                </c:pt>
                <c:pt idx="173">
                  <c:v>-91539686450.854736</c:v>
                </c:pt>
                <c:pt idx="174">
                  <c:v>-91557477777.176132</c:v>
                </c:pt>
                <c:pt idx="175">
                  <c:v>-91506932375.585266</c:v>
                </c:pt>
                <c:pt idx="176">
                  <c:v>-91389018715.791595</c:v>
                </c:pt>
                <c:pt idx="177">
                  <c:v>-91204757153.481659</c:v>
                </c:pt>
                <c:pt idx="178">
                  <c:v>-90955216217.817337</c:v>
                </c:pt>
                <c:pt idx="179">
                  <c:v>-90641508954.762527</c:v>
                </c:pt>
                <c:pt idx="180">
                  <c:v>-90264789336.826614</c:v>
                </c:pt>
                <c:pt idx="181">
                  <c:v>-89826248748.80545</c:v>
                </c:pt>
                <c:pt idx="182">
                  <c:v>-89327112558.107407</c:v>
                </c:pt>
                <c:pt idx="183">
                  <c:v>-88768636777.279099</c:v>
                </c:pt>
                <c:pt idx="184">
                  <c:v>-88152104825.396927</c:v>
                </c:pt>
                <c:pt idx="185">
                  <c:v>-87478824394.075516</c:v>
                </c:pt>
                <c:pt idx="186">
                  <c:v>-86750124422.962387</c:v>
                </c:pt>
                <c:pt idx="187">
                  <c:v>-85967352188.746429</c:v>
                </c:pt>
                <c:pt idx="188">
                  <c:v>-85131870510.907837</c:v>
                </c:pt>
                <c:pt idx="189">
                  <c:v>-84245055076.680313</c:v>
                </c:pt>
                <c:pt idx="190">
                  <c:v>-83308291886.986633</c:v>
                </c:pt>
                <c:pt idx="191">
                  <c:v>-82322974824.44487</c:v>
                </c:pt>
                <c:pt idx="192">
                  <c:v>-81290503343.925873</c:v>
                </c:pt>
                <c:pt idx="193">
                  <c:v>-80212280285.574203</c:v>
                </c:pt>
                <c:pt idx="194">
                  <c:v>-79089709809.68335</c:v>
                </c:pt>
                <c:pt idx="195">
                  <c:v>-77924195452.339432</c:v>
                </c:pt>
                <c:pt idx="196">
                  <c:v>-76717138300.319763</c:v>
                </c:pt>
                <c:pt idx="197">
                  <c:v>-75469935283.346039</c:v>
                </c:pt>
                <c:pt idx="198">
                  <c:v>-74183977581.448669</c:v>
                </c:pt>
                <c:pt idx="199">
                  <c:v>-72860649144.897583</c:v>
                </c:pt>
                <c:pt idx="200">
                  <c:v>-71501325323.891922</c:v>
                </c:pt>
                <c:pt idx="201">
                  <c:v>-70107371604.975052</c:v>
                </c:pt>
                <c:pt idx="202">
                  <c:v>-68680142450.950775</c:v>
                </c:pt>
                <c:pt idx="203">
                  <c:v>-67220980240.918922</c:v>
                </c:pt>
                <c:pt idx="204">
                  <c:v>-65731214306.922127</c:v>
                </c:pt>
                <c:pt idx="205">
                  <c:v>-64212160063.595284</c:v>
                </c:pt>
                <c:pt idx="206">
                  <c:v>-62665118227.140686</c:v>
                </c:pt>
                <c:pt idx="207">
                  <c:v>-61091374119.900673</c:v>
                </c:pt>
                <c:pt idx="208">
                  <c:v>-59492197056.775833</c:v>
                </c:pt>
                <c:pt idx="209">
                  <c:v>-57868839809.732407</c:v>
                </c:pt>
                <c:pt idx="210">
                  <c:v>-56222538146.653923</c:v>
                </c:pt>
                <c:pt idx="211">
                  <c:v>-54554510440.821793</c:v>
                </c:pt>
                <c:pt idx="212">
                  <c:v>-52865957347.355255</c:v>
                </c:pt>
                <c:pt idx="213">
                  <c:v>-51158061542.995308</c:v>
                </c:pt>
                <c:pt idx="214">
                  <c:v>-49431987525.686508</c:v>
                </c:pt>
                <c:pt idx="215">
                  <c:v>-47688881470.488937</c:v>
                </c:pt>
                <c:pt idx="216">
                  <c:v>-45929871138.437569</c:v>
                </c:pt>
                <c:pt idx="217">
                  <c:v>-44156065835.059433</c:v>
                </c:pt>
                <c:pt idx="218">
                  <c:v>-42368556415.358536</c:v>
                </c:pt>
                <c:pt idx="219">
                  <c:v>-40568415332.181343</c:v>
                </c:pt>
                <c:pt idx="220">
                  <c:v>-38756696724.981598</c:v>
                </c:pt>
                <c:pt idx="221">
                  <c:v>-36934436546.116127</c:v>
                </c:pt>
                <c:pt idx="222">
                  <c:v>-35102652721.910522</c:v>
                </c:pt>
                <c:pt idx="223">
                  <c:v>-33262345345.848316</c:v>
                </c:pt>
                <c:pt idx="224">
                  <c:v>-31414496901.350536</c:v>
                </c:pt>
                <c:pt idx="225">
                  <c:v>-29560072511.722622</c:v>
                </c:pt>
                <c:pt idx="226">
                  <c:v>-27700020214.958622</c:v>
                </c:pt>
                <c:pt idx="227">
                  <c:v>-25835271261.202202</c:v>
                </c:pt>
                <c:pt idx="228">
                  <c:v>-23966740430.771873</c:v>
                </c:pt>
                <c:pt idx="229">
                  <c:v>-22095326370.763199</c:v>
                </c:pt>
                <c:pt idx="230">
                  <c:v>-20221911948.345211</c:v>
                </c:pt>
                <c:pt idx="231">
                  <c:v>-18347364618.967957</c:v>
                </c:pt>
                <c:pt idx="232">
                  <c:v>-16472536807.794765</c:v>
                </c:pt>
                <c:pt idx="233">
                  <c:v>-14598266302.767658</c:v>
                </c:pt>
                <c:pt idx="234">
                  <c:v>-12725376657.804884</c:v>
                </c:pt>
                <c:pt idx="235">
                  <c:v>-10854677604.7171</c:v>
                </c:pt>
                <c:pt idx="236">
                  <c:v>-8986965472.5089149</c:v>
                </c:pt>
                <c:pt idx="237">
                  <c:v>-7123023612.8175764</c:v>
                </c:pt>
                <c:pt idx="238">
                  <c:v>-5263622830.3111286</c:v>
                </c:pt>
                <c:pt idx="239">
                  <c:v>-3409521816.9429584</c:v>
                </c:pt>
                <c:pt idx="240">
                  <c:v>-1561467589.0277987</c:v>
                </c:pt>
                <c:pt idx="241">
                  <c:v>279804073.83131623</c:v>
                </c:pt>
                <c:pt idx="242">
                  <c:v>2113568188.8773415</c:v>
                </c:pt>
                <c:pt idx="243">
                  <c:v>3939110130.2461705</c:v>
                </c:pt>
                <c:pt idx="244">
                  <c:v>5755725189.7274666</c:v>
                </c:pt>
                <c:pt idx="245">
                  <c:v>7562718138.9910421</c:v>
                </c:pt>
                <c:pt idx="246">
                  <c:v>9359402793.9815807</c:v>
                </c:pt>
                <c:pt idx="247">
                  <c:v>11145101582.145937</c:v>
                </c:pt>
                <c:pt idx="248">
                  <c:v>12919145113.115915</c:v>
                </c:pt>
                <c:pt idx="249">
                  <c:v>14680871753.433924</c:v>
                </c:pt>
                <c:pt idx="250">
                  <c:v>16429627205.876431</c:v>
                </c:pt>
                <c:pt idx="251">
                  <c:v>18164764093.903141</c:v>
                </c:pt>
                <c:pt idx="252">
                  <c:v>19885641551.729996</c:v>
                </c:pt>
                <c:pt idx="253">
                  <c:v>21591624820.503838</c:v>
                </c:pt>
                <c:pt idx="254">
                  <c:v>23282084851.036724</c:v>
                </c:pt>
                <c:pt idx="255">
                  <c:v>24956397913.53746</c:v>
                </c:pt>
                <c:pt idx="256">
                  <c:v>26613945214.767624</c:v>
                </c:pt>
                <c:pt idx="257">
                  <c:v>28254112523.035194</c:v>
                </c:pt>
                <c:pt idx="258">
                  <c:v>29876289801.430054</c:v>
                </c:pt>
                <c:pt idx="259">
                  <c:v>31479870849.699078</c:v>
                </c:pt>
                <c:pt idx="260">
                  <c:v>33064252955.156487</c:v>
                </c:pt>
                <c:pt idx="261">
                  <c:v>34628836553.020187</c:v>
                </c:pt>
                <c:pt idx="262">
                  <c:v>36173024896.5681</c:v>
                </c:pt>
                <c:pt idx="263">
                  <c:v>37696223737.511574</c:v>
                </c:pt>
                <c:pt idx="264">
                  <c:v>39197841016.985764</c:v>
                </c:pt>
                <c:pt idx="265">
                  <c:v>40677286567.567673</c:v>
                </c:pt>
                <c:pt idx="266">
                  <c:v>42133971826.739906</c:v>
                </c:pt>
                <c:pt idx="267">
                  <c:v>43567309562.229927</c:v>
                </c:pt>
                <c:pt idx="268">
                  <c:v>44976713609.669395</c:v>
                </c:pt>
                <c:pt idx="269">
                  <c:v>46361598623.03154</c:v>
                </c:pt>
                <c:pt idx="270">
                  <c:v>47721379838.324951</c:v>
                </c:pt>
                <c:pt idx="271">
                  <c:v>49055472851.037605</c:v>
                </c:pt>
                <c:pt idx="272">
                  <c:v>50363293407.848648</c:v>
                </c:pt>
                <c:pt idx="273">
                  <c:v>51644257213.146706</c:v>
                </c:pt>
                <c:pt idx="274">
                  <c:v>52897779750.917778</c:v>
                </c:pt>
                <c:pt idx="275">
                  <c:v>54123276122.591042</c:v>
                </c:pt>
                <c:pt idx="276">
                  <c:v>55320160901.459137</c:v>
                </c:pt>
                <c:pt idx="277">
                  <c:v>56487848004.316307</c:v>
                </c:pt>
                <c:pt idx="278">
                  <c:v>57625750580.987968</c:v>
                </c:pt>
                <c:pt idx="279">
                  <c:v>58733280922.457764</c:v>
                </c:pt>
                <c:pt idx="280">
                  <c:v>59809850388.32711</c:v>
                </c:pt>
                <c:pt idx="281">
                  <c:v>60854869354.377563</c:v>
                </c:pt>
                <c:pt idx="282">
                  <c:v>61867747181.039597</c:v>
                </c:pt>
                <c:pt idx="283">
                  <c:v>62847892203.604263</c:v>
                </c:pt>
                <c:pt idx="284">
                  <c:v>63794711745.051842</c:v>
                </c:pt>
                <c:pt idx="285">
                  <c:v>64707612152.404724</c:v>
                </c:pt>
                <c:pt idx="286">
                  <c:v>65585998857.548813</c:v>
                </c:pt>
                <c:pt idx="287">
                  <c:v>66429276463.502472</c:v>
                </c:pt>
                <c:pt idx="288">
                  <c:v>67236848857.148834</c:v>
                </c:pt>
                <c:pt idx="289">
                  <c:v>68008119349.48069</c:v>
                </c:pt>
                <c:pt idx="290">
                  <c:v>68742490844.44342</c:v>
                </c:pt>
                <c:pt idx="291">
                  <c:v>69439366037.494278</c:v>
                </c:pt>
                <c:pt idx="292">
                  <c:v>70098147645.028259</c:v>
                </c:pt>
                <c:pt idx="293">
                  <c:v>70718238665.852692</c:v>
                </c:pt>
                <c:pt idx="294">
                  <c:v>71299042675.921188</c:v>
                </c:pt>
                <c:pt idx="295">
                  <c:v>71839964157.564301</c:v>
                </c:pt>
                <c:pt idx="296">
                  <c:v>72340408864.478912</c:v>
                </c:pt>
                <c:pt idx="297">
                  <c:v>72799784223.759354</c:v>
                </c:pt>
                <c:pt idx="298">
                  <c:v>73217499776.270462</c:v>
                </c:pt>
                <c:pt idx="299">
                  <c:v>73592967656.677231</c:v>
                </c:pt>
                <c:pt idx="300">
                  <c:v>73925603114.4543</c:v>
                </c:pt>
                <c:pt idx="301">
                  <c:v>74214825077.202774</c:v>
                </c:pt>
                <c:pt idx="302">
                  <c:v>74460056757.600052</c:v>
                </c:pt>
                <c:pt idx="303">
                  <c:v>74660726305.300751</c:v>
                </c:pt>
                <c:pt idx="304">
                  <c:v>74816267505.091202</c:v>
                </c:pt>
                <c:pt idx="305">
                  <c:v>74926120522.578918</c:v>
                </c:pt>
                <c:pt idx="306">
                  <c:v>74989732698.664749</c:v>
                </c:pt>
                <c:pt idx="307">
                  <c:v>75006559394.00885</c:v>
                </c:pt>
                <c:pt idx="308">
                  <c:v>74976064884.648102</c:v>
                </c:pt>
                <c:pt idx="309">
                  <c:v>74897723309.863968</c:v>
                </c:pt>
                <c:pt idx="310">
                  <c:v>74771019673.326523</c:v>
                </c:pt>
                <c:pt idx="311">
                  <c:v>74595450898.455109</c:v>
                </c:pt>
                <c:pt idx="312">
                  <c:v>74370526938.838303</c:v>
                </c:pt>
                <c:pt idx="313">
                  <c:v>74095771944.44281</c:v>
                </c:pt>
                <c:pt idx="314">
                  <c:v>73770725484.213135</c:v>
                </c:pt>
                <c:pt idx="315">
                  <c:v>73394943825.520477</c:v>
                </c:pt>
                <c:pt idx="316">
                  <c:v>72968001270.757629</c:v>
                </c:pt>
                <c:pt idx="317">
                  <c:v>72489491551.198502</c:v>
                </c:pt>
                <c:pt idx="318">
                  <c:v>71959029278.043747</c:v>
                </c:pt>
                <c:pt idx="319">
                  <c:v>71376251450.356583</c:v>
                </c:pt>
                <c:pt idx="320">
                  <c:v>70740819019.356354</c:v>
                </c:pt>
                <c:pt idx="321">
                  <c:v>70052418508.278687</c:v>
                </c:pt>
                <c:pt idx="322">
                  <c:v>69310763686.733398</c:v>
                </c:pt>
                <c:pt idx="323">
                  <c:v>68515597298.187256</c:v>
                </c:pt>
                <c:pt idx="324">
                  <c:v>67666692838.878105</c:v>
                </c:pt>
                <c:pt idx="325">
                  <c:v>66763856386.117477</c:v>
                </c:pt>
                <c:pt idx="326">
                  <c:v>65806928473.572456</c:v>
                </c:pt>
                <c:pt idx="327">
                  <c:v>64795786010.723732</c:v>
                </c:pt>
                <c:pt idx="328">
                  <c:v>63730344243.285583</c:v>
                </c:pt>
                <c:pt idx="329">
                  <c:v>62610558750.935318</c:v>
                </c:pt>
                <c:pt idx="330">
                  <c:v>61436427478.245308</c:v>
                </c:pt>
                <c:pt idx="331">
                  <c:v>60207992794.233322</c:v>
                </c:pt>
                <c:pt idx="332">
                  <c:v>58925343575.453072</c:v>
                </c:pt>
                <c:pt idx="333">
                  <c:v>57588617307.032532</c:v>
                </c:pt>
                <c:pt idx="334">
                  <c:v>56198002195.545876</c:v>
                </c:pt>
                <c:pt idx="335">
                  <c:v>54753739287.059853</c:v>
                </c:pt>
                <c:pt idx="336">
                  <c:v>53256124583.15062</c:v>
                </c:pt>
                <c:pt idx="337">
                  <c:v>51705511147.130463</c:v>
                </c:pt>
                <c:pt idx="338">
                  <c:v>50102311192.164604</c:v>
                </c:pt>
                <c:pt idx="339">
                  <c:v>48446998142.400505</c:v>
                </c:pt>
                <c:pt idx="340">
                  <c:v>46740108657.681335</c:v>
                </c:pt>
                <c:pt idx="341">
                  <c:v>44982244611.871155</c:v>
                </c:pt>
                <c:pt idx="342">
                  <c:v>43174075014.292557</c:v>
                </c:pt>
                <c:pt idx="343">
                  <c:v>41316337863.274216</c:v>
                </c:pt>
                <c:pt idx="344">
                  <c:v>39409841920.323845</c:v>
                </c:pt>
                <c:pt idx="345">
                  <c:v>37455468392.996956</c:v>
                </c:pt>
                <c:pt idx="346">
                  <c:v>35454172514.132675</c:v>
                </c:pt>
                <c:pt idx="347">
                  <c:v>33406985004.761158</c:v>
                </c:pt>
                <c:pt idx="348">
                  <c:v>31315013407.692303</c:v>
                </c:pt>
                <c:pt idx="349">
                  <c:v>29179443278.549805</c:v>
                </c:pt>
                <c:pt idx="350">
                  <c:v>27001539220.846878</c:v>
                </c:pt>
                <c:pt idx="351">
                  <c:v>24782645751.601299</c:v>
                </c:pt>
                <c:pt idx="352">
                  <c:v>22524187983.984585</c:v>
                </c:pt>
                <c:pt idx="353">
                  <c:v>20227672113.575867</c:v>
                </c:pt>
                <c:pt idx="354">
                  <c:v>17894685694.979557</c:v>
                </c:pt>
                <c:pt idx="355">
                  <c:v>15526897695.846388</c:v>
                </c:pt>
                <c:pt idx="356">
                  <c:v>13126058315.742079</c:v>
                </c:pt>
                <c:pt idx="357">
                  <c:v>10693998557.821909</c:v>
                </c:pt>
                <c:pt idx="358">
                  <c:v>8232629541.9047184</c:v>
                </c:pt>
                <c:pt idx="359">
                  <c:v>5743941548.3089418</c:v>
                </c:pt>
                <c:pt idx="360">
                  <c:v>3230002782.6983433</c:v>
                </c:pt>
                <c:pt idx="361">
                  <c:v>692957853.20925391</c:v>
                </c:pt>
                <c:pt idx="362">
                  <c:v>-1864974047.720458</c:v>
                </c:pt>
                <c:pt idx="363">
                  <c:v>-4441501263.1224117</c:v>
                </c:pt>
                <c:pt idx="364">
                  <c:v>-7034262097.7678728</c:v>
                </c:pt>
                <c:pt idx="365">
                  <c:v>-9640827554.3131275</c:v>
                </c:pt>
                <c:pt idx="366">
                  <c:v>-12258704381.05908</c:v>
                </c:pt>
                <c:pt idx="367">
                  <c:v>-14885338431.321224</c:v>
                </c:pt>
                <c:pt idx="368">
                  <c:v>-17518118332.56728</c:v>
                </c:pt>
                <c:pt idx="369">
                  <c:v>-20154379461.55537</c:v>
                </c:pt>
                <c:pt idx="370">
                  <c:v>-22791408219.715107</c:v>
                </c:pt>
                <c:pt idx="371">
                  <c:v>-25426446600.957829</c:v>
                </c:pt>
                <c:pt idx="372">
                  <c:v>-28056697042.020576</c:v>
                </c:pt>
                <c:pt idx="373">
                  <c:v>-30679327543.331261</c:v>
                </c:pt>
                <c:pt idx="374">
                  <c:v>-33291477046.279198</c:v>
                </c:pt>
                <c:pt idx="375">
                  <c:v>-35890261050.675034</c:v>
                </c:pt>
                <c:pt idx="376">
                  <c:v>-38472777454.140915</c:v>
                </c:pt>
                <c:pt idx="377">
                  <c:v>-41036112593.174934</c:v>
                </c:pt>
                <c:pt idx="378">
                  <c:v>-43577347463.737167</c:v>
                </c:pt>
                <c:pt idx="379">
                  <c:v>-46093564097.403961</c:v>
                </c:pt>
                <c:pt idx="380">
                  <c:v>-48581852067.471855</c:v>
                </c:pt>
                <c:pt idx="381">
                  <c:v>-51039315097.875732</c:v>
                </c:pt>
                <c:pt idx="382">
                  <c:v>-53463077746.440781</c:v>
                </c:pt>
                <c:pt idx="383">
                  <c:v>-55850292132.832764</c:v>
                </c:pt>
                <c:pt idx="384">
                  <c:v>-58198144680.623863</c:v>
                </c:pt>
                <c:pt idx="385">
                  <c:v>-60503862842.166191</c:v>
                </c:pt>
                <c:pt idx="386">
                  <c:v>-62764721774.477356</c:v>
                </c:pt>
                <c:pt idx="387">
                  <c:v>-64978050934.098679</c:v>
                </c:pt>
                <c:pt idx="388">
                  <c:v>-67141240558.902306</c:v>
                </c:pt>
                <c:pt idx="389">
                  <c:v>-69251748005.089401</c:v>
                </c:pt>
                <c:pt idx="390">
                  <c:v>-71307103908.15979</c:v>
                </c:pt>
                <c:pt idx="391">
                  <c:v>-73304918137.418793</c:v>
                </c:pt>
                <c:pt idx="392">
                  <c:v>-75242885514.639038</c:v>
                </c:pt>
                <c:pt idx="393">
                  <c:v>-77118791268.782349</c:v>
                </c:pt>
                <c:pt idx="394">
                  <c:v>-78930516200.217697</c:v>
                </c:pt>
                <c:pt idx="395">
                  <c:v>-80676041529.62175</c:v>
                </c:pt>
                <c:pt idx="396">
                  <c:v>-82353453408.699585</c:v>
                </c:pt>
                <c:pt idx="397">
                  <c:v>-83960947072.006317</c:v>
                </c:pt>
                <c:pt idx="398">
                  <c:v>-85496830611.451279</c:v>
                </c:pt>
                <c:pt idx="399">
                  <c:v>-86959528357.51004</c:v>
                </c:pt>
                <c:pt idx="400">
                  <c:v>-88347583853.726822</c:v>
                </c:pt>
                <c:pt idx="401">
                  <c:v>-89659662413.734924</c:v>
                </c:pt>
                <c:pt idx="402">
                  <c:v>-90894553252.72908</c:v>
                </c:pt>
                <c:pt idx="403">
                  <c:v>-92051171188.061798</c:v>
                </c:pt>
                <c:pt idx="404">
                  <c:v>-93128557906.380432</c:v>
                </c:pt>
                <c:pt idx="405">
                  <c:v>-94125882797.442139</c:v>
                </c:pt>
                <c:pt idx="406">
                  <c:v>-95042443357.416992</c:v>
                </c:pt>
                <c:pt idx="407">
                  <c:v>-95877665167.088135</c:v>
                </c:pt>
                <c:pt idx="408">
                  <c:v>-96631101452.857025</c:v>
                </c:pt>
                <c:pt idx="409">
                  <c:v>-97302432240.841568</c:v>
                </c:pt>
                <c:pt idx="410">
                  <c:v>-97891463116.5952</c:v>
                </c:pt>
                <c:pt idx="411">
                  <c:v>-98398123605.054993</c:v>
                </c:pt>
                <c:pt idx="412">
                  <c:v>-98822465187.234039</c:v>
                </c:pt>
                <c:pt idx="413">
                  <c:v>-99164658971.897308</c:v>
                </c:pt>
                <c:pt idx="414">
                  <c:v>-99424993041.9814</c:v>
                </c:pt>
                <c:pt idx="415">
                  <c:v>-99603869496.844269</c:v>
                </c:pt>
                <c:pt idx="416">
                  <c:v>-99701801212.541306</c:v>
                </c:pt>
                <c:pt idx="417">
                  <c:v>-99719408343.228592</c:v>
                </c:pt>
                <c:pt idx="418">
                  <c:v>-99657414587.487854</c:v>
                </c:pt>
                <c:pt idx="419">
                  <c:v>-99516643243.851486</c:v>
                </c:pt>
                <c:pt idx="420">
                  <c:v>-99298013080.093002</c:v>
                </c:pt>
                <c:pt idx="421">
                  <c:v>-99002534040.935577</c:v>
                </c:pt>
                <c:pt idx="422">
                  <c:v>-98631302818.735535</c:v>
                </c:pt>
                <c:pt idx="423">
                  <c:v>-98185498311.425293</c:v>
                </c:pt>
                <c:pt idx="424">
                  <c:v>-97666376991.56488</c:v>
                </c:pt>
                <c:pt idx="425">
                  <c:v>-97075268209.764221</c:v>
                </c:pt>
                <c:pt idx="426">
                  <c:v>-96413569455.015427</c:v>
                </c:pt>
                <c:pt idx="427">
                  <c:v>-95682741593.62851</c:v>
                </c:pt>
                <c:pt idx="428">
                  <c:v>-94884304107.511261</c:v>
                </c:pt>
                <c:pt idx="429">
                  <c:v>-94019830351.486725</c:v>
                </c:pt>
                <c:pt idx="430">
                  <c:v>-93090942848.219711</c:v>
                </c:pt>
                <c:pt idx="431">
                  <c:v>-92099308638.136948</c:v>
                </c:pt>
                <c:pt idx="432">
                  <c:v>-91046634700.488937</c:v>
                </c:pt>
                <c:pt idx="433">
                  <c:v>-89934663460.435135</c:v>
                </c:pt>
                <c:pt idx="434">
                  <c:v>-88765168395.739517</c:v>
                </c:pt>
                <c:pt idx="435">
                  <c:v>-87539949755.365753</c:v>
                </c:pt>
                <c:pt idx="436">
                  <c:v>-86260830400.960815</c:v>
                </c:pt>
                <c:pt idx="437">
                  <c:v>-84929651780.933792</c:v>
                </c:pt>
                <c:pt idx="438">
                  <c:v>-83548270045.569611</c:v>
                </c:pt>
                <c:pt idx="439">
                  <c:v>-82118552310.390518</c:v>
                </c:pt>
                <c:pt idx="440">
                  <c:v>-80642373073.782455</c:v>
                </c:pt>
                <c:pt idx="441">
                  <c:v>-79121610793.755814</c:v>
                </c:pt>
                <c:pt idx="442">
                  <c:v>-77558144627.614243</c:v>
                </c:pt>
                <c:pt idx="443">
                  <c:v>-75953851337.264862</c:v>
                </c:pt>
                <c:pt idx="444">
                  <c:v>-74310602361.916336</c:v>
                </c:pt>
                <c:pt idx="445">
                  <c:v>-72630261058.997803</c:v>
                </c:pt>
                <c:pt idx="446">
                  <c:v>-70914680113.268478</c:v>
                </c:pt>
                <c:pt idx="447">
                  <c:v>-69165699113.299881</c:v>
                </c:pt>
                <c:pt idx="448">
                  <c:v>-67385142293.785004</c:v>
                </c:pt>
                <c:pt idx="449">
                  <c:v>-65574816441.469849</c:v>
                </c:pt>
                <c:pt idx="450">
                  <c:v>-63736508961.901772</c:v>
                </c:pt>
                <c:pt idx="451">
                  <c:v>-61871986103.662392</c:v>
                </c:pt>
                <c:pt idx="452">
                  <c:v>-59982991336.27697</c:v>
                </c:pt>
                <c:pt idx="453">
                  <c:v>-58071243877.581375</c:v>
                </c:pt>
                <c:pt idx="454">
                  <c:v>-56138437365.974281</c:v>
                </c:pt>
                <c:pt idx="455">
                  <c:v>-54186238672.68161</c:v>
                </c:pt>
                <c:pt idx="456">
                  <c:v>-52216286848.910027</c:v>
                </c:pt>
                <c:pt idx="457">
                  <c:v>-50230192202.570618</c:v>
                </c:pt>
                <c:pt idx="458">
                  <c:v>-48229535499.095215</c:v>
                </c:pt>
                <c:pt idx="459">
                  <c:v>-46215867280.760437</c:v>
                </c:pt>
                <c:pt idx="460">
                  <c:v>-44190707298.857231</c:v>
                </c:pt>
                <c:pt idx="461">
                  <c:v>-42155544053.011978</c:v>
                </c:pt>
                <c:pt idx="462">
                  <c:v>-40111834431.958778</c:v>
                </c:pt>
                <c:pt idx="463">
                  <c:v>-38061003450.087662</c:v>
                </c:pt>
                <c:pt idx="464">
                  <c:v>-36004444074.150436</c:v>
                </c:pt>
                <c:pt idx="465">
                  <c:v>-33943517134.577988</c:v>
                </c:pt>
                <c:pt idx="466">
                  <c:v>-31879551315.963314</c:v>
                </c:pt>
                <c:pt idx="467">
                  <c:v>-29813843221.37928</c:v>
                </c:pt>
                <c:pt idx="468">
                  <c:v>-27747657505.335316</c:v>
                </c:pt>
                <c:pt idx="469">
                  <c:v>-25682227070.316151</c:v>
                </c:pt>
                <c:pt idx="470">
                  <c:v>-23618753322.010422</c:v>
                </c:pt>
                <c:pt idx="471">
                  <c:v>-21558406478.499313</c:v>
                </c:pt>
                <c:pt idx="472">
                  <c:v>-19502325928.846703</c:v>
                </c:pt>
                <c:pt idx="473">
                  <c:v>-17451620636.716236</c:v>
                </c:pt>
                <c:pt idx="474">
                  <c:v>-15407369584.820854</c:v>
                </c:pt>
                <c:pt idx="475">
                  <c:v>-13370622256.194815</c:v>
                </c:pt>
                <c:pt idx="476">
                  <c:v>-11342399148.469023</c:v>
                </c:pt>
                <c:pt idx="477">
                  <c:v>-9323692317.5127258</c:v>
                </c:pt>
                <c:pt idx="478">
                  <c:v>-7315465946.9922924</c:v>
                </c:pt>
                <c:pt idx="479">
                  <c:v>-5318656940.5827885</c:v>
                </c:pt>
                <c:pt idx="480">
                  <c:v>-3334175533.7454271</c:v>
                </c:pt>
                <c:pt idx="481">
                  <c:v>-1362905922.1627414</c:v>
                </c:pt>
                <c:pt idx="482">
                  <c:v>594293095.90166867</c:v>
                </c:pt>
                <c:pt idx="483">
                  <c:v>2536587465.8877068</c:v>
                </c:pt>
                <c:pt idx="484">
                  <c:v>4463167214.2707529</c:v>
                </c:pt>
                <c:pt idx="485">
                  <c:v>6373245779.1877604</c:v>
                </c:pt>
                <c:pt idx="486">
                  <c:v>8266059336.451499</c:v>
                </c:pt>
                <c:pt idx="487">
                  <c:v>10140866122.903936</c:v>
                </c:pt>
                <c:pt idx="488">
                  <c:v>11996945758.916735</c:v>
                </c:pt>
                <c:pt idx="489">
                  <c:v>13833598571.715654</c:v>
                </c:pt>
                <c:pt idx="490">
                  <c:v>15650144921.080652</c:v>
                </c:pt>
                <c:pt idx="491">
                  <c:v>17445924528.849766</c:v>
                </c:pt>
                <c:pt idx="492">
                  <c:v>19220295813.543533</c:v>
                </c:pt>
                <c:pt idx="493">
                  <c:v>20972635231.317566</c:v>
                </c:pt>
                <c:pt idx="494">
                  <c:v>22702336624.352192</c:v>
                </c:pt>
                <c:pt idx="495">
                  <c:v>24408810577.688896</c:v>
                </c:pt>
                <c:pt idx="496">
                  <c:v>26091483785.438194</c:v>
                </c:pt>
                <c:pt idx="497">
                  <c:v>27749798427.198833</c:v>
                </c:pt>
                <c:pt idx="498">
                  <c:v>29383211555.449261</c:v>
                </c:pt>
                <c:pt idx="499">
                  <c:v>30991194494.603722</c:v>
                </c:pt>
                <c:pt idx="500">
                  <c:v>32573232252.357006</c:v>
                </c:pt>
                <c:pt idx="501">
                  <c:v>34128822943.87962</c:v>
                </c:pt>
                <c:pt idx="502">
                  <c:v>35657477229.371452</c:v>
                </c:pt>
                <c:pt idx="503">
                  <c:v>37158717765.429298</c:v>
                </c:pt>
                <c:pt idx="504">
                  <c:v>38632078670.636772</c:v>
                </c:pt>
                <c:pt idx="505">
                  <c:v>40077105005.743286</c:v>
                </c:pt>
                <c:pt idx="506">
                  <c:v>41493352268.762367</c:v>
                </c:pt>
                <c:pt idx="507">
                  <c:v>42880385905.281036</c:v>
                </c:pt>
                <c:pt idx="508">
                  <c:v>44237780834.248764</c:v>
                </c:pt>
                <c:pt idx="509">
                  <c:v>45565120989.482368</c:v>
                </c:pt>
                <c:pt idx="510">
                  <c:v>46861998877.103844</c:v>
                </c:pt>
                <c:pt idx="511">
                  <c:v>48128015149.10717</c:v>
                </c:pt>
                <c:pt idx="512">
                  <c:v>49362778193.235641</c:v>
                </c:pt>
                <c:pt idx="513">
                  <c:v>50565903739.335701</c:v>
                </c:pt>
                <c:pt idx="514">
                  <c:v>51737014482.345459</c:v>
                </c:pt>
                <c:pt idx="515">
                  <c:v>52875739722.067123</c:v>
                </c:pt>
                <c:pt idx="516">
                  <c:v>53981715019.867538</c:v>
                </c:pt>
                <c:pt idx="517">
                  <c:v>55054581872.449303</c:v>
                </c:pt>
                <c:pt idx="518">
                  <c:v>56093987402.834724</c:v>
                </c:pt>
                <c:pt idx="519">
                  <c:v>57099584068.704956</c:v>
                </c:pt>
                <c:pt idx="520">
                  <c:v>58071029388.243065</c:v>
                </c:pt>
                <c:pt idx="521">
                  <c:v>59007985683.634018</c:v>
                </c:pt>
                <c:pt idx="522">
                  <c:v>59910119842.382851</c:v>
                </c:pt>
                <c:pt idx="523">
                  <c:v>60777103096.620758</c:v>
                </c:pt>
                <c:pt idx="524">
                  <c:v>61608610820.581535</c:v>
                </c:pt>
                <c:pt idx="525">
                  <c:v>62404322346.440666</c:v>
                </c:pt>
                <c:pt idx="526">
                  <c:v>63163920798.724289</c:v>
                </c:pt>
                <c:pt idx="527">
                  <c:v>63887092947.510994</c:v>
                </c:pt>
                <c:pt idx="528">
                  <c:v>64573529080.66333</c:v>
                </c:pt>
                <c:pt idx="529">
                  <c:v>65222922895.344536</c:v>
                </c:pt>
                <c:pt idx="530">
                  <c:v>65834971409.093361</c:v>
                </c:pt>
                <c:pt idx="531">
                  <c:v>66409374890.748436</c:v>
                </c:pt>
                <c:pt idx="532">
                  <c:v>66945836811.533318</c:v>
                </c:pt>
                <c:pt idx="533">
                  <c:v>67444063816.633286</c:v>
                </c:pt>
                <c:pt idx="534">
                  <c:v>67903765717.615677</c:v>
                </c:pt>
                <c:pt idx="535">
                  <c:v>68324655506.065689</c:v>
                </c:pt>
                <c:pt idx="536">
                  <c:v>68706449388.831413</c:v>
                </c:pt>
                <c:pt idx="537">
                  <c:v>69048866845.293411</c:v>
                </c:pt>
                <c:pt idx="538">
                  <c:v>69351630707.093567</c:v>
                </c:pt>
                <c:pt idx="539">
                  <c:v>69614467260.781113</c:v>
                </c:pt>
                <c:pt idx="540">
                  <c:v>69837106373.853012</c:v>
                </c:pt>
                <c:pt idx="541">
                  <c:v>70019281644.686935</c:v>
                </c:pt>
                <c:pt idx="542">
                  <c:v>70160730576.883774</c:v>
                </c:pt>
                <c:pt idx="543">
                  <c:v>70261194778.556931</c:v>
                </c:pt>
                <c:pt idx="544">
                  <c:v>70320420187.121521</c:v>
                </c:pt>
                <c:pt idx="545">
                  <c:v>70338157320.155121</c:v>
                </c:pt>
                <c:pt idx="546">
                  <c:v>70314161552.915771</c:v>
                </c:pt>
                <c:pt idx="547">
                  <c:v>70248193423.116806</c:v>
                </c:pt>
                <c:pt idx="548">
                  <c:v>70140018963.570068</c:v>
                </c:pt>
                <c:pt idx="549">
                  <c:v>69989410063.31839</c:v>
                </c:pt>
                <c:pt idx="550">
                  <c:v>69796144857.885742</c:v>
                </c:pt>
                <c:pt idx="551">
                  <c:v>69560008149.277634</c:v>
                </c:pt>
                <c:pt idx="552">
                  <c:v>69280791856.366135</c:v>
                </c:pt>
                <c:pt idx="553">
                  <c:v>68958295496.291977</c:v>
                </c:pt>
                <c:pt idx="554">
                  <c:v>68592326697.511421</c:v>
                </c:pt>
                <c:pt idx="555">
                  <c:v>68182701745.104378</c:v>
                </c:pt>
                <c:pt idx="556">
                  <c:v>67729246158.94912</c:v>
                </c:pt>
                <c:pt idx="557">
                  <c:v>67231795305.347389</c:v>
                </c:pt>
                <c:pt idx="558">
                  <c:v>66690195042.662392</c:v>
                </c:pt>
                <c:pt idx="559">
                  <c:v>66104302401.500458</c:v>
                </c:pt>
                <c:pt idx="560">
                  <c:v>65473986299.93367</c:v>
                </c:pt>
                <c:pt idx="561">
                  <c:v>64799128294.216064</c:v>
                </c:pt>
                <c:pt idx="562">
                  <c:v>64079623365.399178</c:v>
                </c:pt>
                <c:pt idx="563">
                  <c:v>63315380742.194313</c:v>
                </c:pt>
                <c:pt idx="564">
                  <c:v>62506324760.363678</c:v>
                </c:pt>
                <c:pt idx="565">
                  <c:v>61652395758.850586</c:v>
                </c:pt>
                <c:pt idx="566">
                  <c:v>60753551012.773392</c:v>
                </c:pt>
                <c:pt idx="567">
                  <c:v>59809765703.318878</c:v>
                </c:pt>
                <c:pt idx="568">
                  <c:v>58821033924.463448</c:v>
                </c:pt>
                <c:pt idx="569">
                  <c:v>57787369726.341362</c:v>
                </c:pt>
                <c:pt idx="570">
                  <c:v>56708808194.950951</c:v>
                </c:pt>
                <c:pt idx="571">
                  <c:v>55585406567.754456</c:v>
                </c:pt>
                <c:pt idx="572">
                  <c:v>54417245384.576767</c:v>
                </c:pt>
                <c:pt idx="573">
                  <c:v>53204429673.047775</c:v>
                </c:pt>
                <c:pt idx="574">
                  <c:v>51947090167.654526</c:v>
                </c:pt>
                <c:pt idx="575">
                  <c:v>50645384561.283455</c:v>
                </c:pt>
                <c:pt idx="576">
                  <c:v>49299498787.927498</c:v>
                </c:pt>
                <c:pt idx="577">
                  <c:v>47909648335.014381</c:v>
                </c:pt>
                <c:pt idx="578">
                  <c:v>46476079583.581886</c:v>
                </c:pt>
                <c:pt idx="579">
                  <c:v>44999071174.276726</c:v>
                </c:pt>
                <c:pt idx="580">
                  <c:v>43478935396.891533</c:v>
                </c:pt>
                <c:pt idx="581">
                  <c:v>41916019600.878555</c:v>
                </c:pt>
                <c:pt idx="582">
                  <c:v>40310707623.985237</c:v>
                </c:pt>
                <c:pt idx="583">
                  <c:v>38663421235.851151</c:v>
                </c:pt>
                <c:pt idx="584">
                  <c:v>36974621593.085991</c:v>
                </c:pt>
                <c:pt idx="585">
                  <c:v>35244810702.014038</c:v>
                </c:pt>
                <c:pt idx="586">
                  <c:v>33474532884.925106</c:v>
                </c:pt>
                <c:pt idx="587">
                  <c:v>31664376245.313492</c:v>
                </c:pt>
                <c:pt idx="588">
                  <c:v>29814974127.219578</c:v>
                </c:pt>
                <c:pt idx="589">
                  <c:v>27927006563.410557</c:v>
                </c:pt>
                <c:pt idx="590">
                  <c:v>26001201706.753578</c:v>
                </c:pt>
                <c:pt idx="591">
                  <c:v>24038337238.74501</c:v>
                </c:pt>
                <c:pt idx="592">
                  <c:v>22039241748.765015</c:v>
                </c:pt>
                <c:pt idx="593">
                  <c:v>20004796077.237461</c:v>
                </c:pt>
                <c:pt idx="594">
                  <c:v>17935934615.478741</c:v>
                </c:pt>
                <c:pt idx="595">
                  <c:v>15833646554.638811</c:v>
                </c:pt>
                <c:pt idx="596">
                  <c:v>13698977075.754488</c:v>
                </c:pt>
                <c:pt idx="597">
                  <c:v>11533028472.574924</c:v>
                </c:pt>
                <c:pt idx="598">
                  <c:v>9336961198.4682083</c:v>
                </c:pt>
                <c:pt idx="599">
                  <c:v>7111994828.3879261</c:v>
                </c:pt>
                <c:pt idx="600">
                  <c:v>4859408926.5797863</c:v>
                </c:pt>
                <c:pt idx="601">
                  <c:v>2580543810.4303784</c:v>
                </c:pt>
                <c:pt idx="602">
                  <c:v>276801200.62469155</c:v>
                </c:pt>
                <c:pt idx="603">
                  <c:v>-2050355252.4211154</c:v>
                </c:pt>
                <c:pt idx="604">
                  <c:v>-4399399576.0330992</c:v>
                </c:pt>
                <c:pt idx="605">
                  <c:v>-6768743226.9501181</c:v>
                </c:pt>
                <c:pt idx="606">
                  <c:v>-9156734997.5155125</c:v>
                </c:pt>
                <c:pt idx="607">
                  <c:v>-11561661086.703642</c:v>
                </c:pt>
                <c:pt idx="608">
                  <c:v>-13981745346.203129</c:v>
                </c:pt>
                <c:pt idx="609">
                  <c:v>-16415149711.618425</c:v>
                </c:pt>
                <c:pt idx="610">
                  <c:v>-18859974828.609024</c:v>
                </c:pt>
                <c:pt idx="611">
                  <c:v>-21314260883.463173</c:v>
                </c:pt>
                <c:pt idx="612">
                  <c:v>-23775988647.181942</c:v>
                </c:pt>
                <c:pt idx="613">
                  <c:v>-26243080741.647362</c:v>
                </c:pt>
                <c:pt idx="614">
                  <c:v>-28713403135.835304</c:v>
                </c:pt>
                <c:pt idx="615">
                  <c:v>-31184766879.332264</c:v>
                </c:pt>
                <c:pt idx="616">
                  <c:v>-33654930079.604572</c:v>
                </c:pt>
                <c:pt idx="617">
                  <c:v>-36121600128.546806</c:v>
                </c:pt>
                <c:pt idx="618">
                  <c:v>-38582436182.833702</c:v>
                </c:pt>
                <c:pt idx="619">
                  <c:v>-41035051901.456848</c:v>
                </c:pt>
                <c:pt idx="620">
                  <c:v>-43477018442.622086</c:v>
                </c:pt>
                <c:pt idx="621">
                  <c:v>-45905867720.847572</c:v>
                </c:pt>
                <c:pt idx="622">
                  <c:v>-48319095923.687576</c:v>
                </c:pt>
                <c:pt idx="623">
                  <c:v>-50714167286.002914</c:v>
                </c:pt>
                <c:pt idx="624">
                  <c:v>-53088518118.113991</c:v>
                </c:pt>
                <c:pt idx="625">
                  <c:v>-55439561082.502693</c:v>
                </c:pt>
                <c:pt idx="626">
                  <c:v>-57764689712.023285</c:v>
                </c:pt>
                <c:pt idx="627">
                  <c:v>-60061283160.801994</c:v>
                </c:pt>
                <c:pt idx="628">
                  <c:v>-62326711177.197517</c:v>
                </c:pt>
                <c:pt idx="629">
                  <c:v>-64558339286.37822</c:v>
                </c:pt>
                <c:pt idx="630">
                  <c:v>-66753534168.219696</c:v>
                </c:pt>
                <c:pt idx="631">
                  <c:v>-68909669214.42392</c:v>
                </c:pt>
                <c:pt idx="632">
                  <c:v>-71024130246.948853</c:v>
                </c:pt>
                <c:pt idx="633">
                  <c:v>-73094321378.112823</c:v>
                </c:pt>
                <c:pt idx="634">
                  <c:v>-75117670991.042068</c:v>
                </c:pt>
                <c:pt idx="635">
                  <c:v>-77091637817.561844</c:v>
                </c:pt>
                <c:pt idx="636">
                  <c:v>-79013717089.131622</c:v>
                </c:pt>
                <c:pt idx="637">
                  <c:v>-80881446735.090851</c:v>
                </c:pt>
                <c:pt idx="638">
                  <c:v>-82692413601.258484</c:v>
                </c:pt>
                <c:pt idx="639">
                  <c:v>-84444259660.903946</c:v>
                </c:pt>
                <c:pt idx="640">
                  <c:v>-86134688189.239792</c:v>
                </c:pt>
                <c:pt idx="641">
                  <c:v>-87761469871.927002</c:v>
                </c:pt>
                <c:pt idx="642">
                  <c:v>-89322448817.645828</c:v>
                </c:pt>
                <c:pt idx="643">
                  <c:v>-90815548444.549026</c:v>
                </c:pt>
                <c:pt idx="644">
                  <c:v>-92238777210.441895</c:v>
                </c:pt>
                <c:pt idx="645">
                  <c:v>-93590234156.775558</c:v>
                </c:pt>
                <c:pt idx="646">
                  <c:v>-94868114237.04982</c:v>
                </c:pt>
                <c:pt idx="647">
                  <c:v>-96070713400.970276</c:v>
                </c:pt>
                <c:pt idx="648">
                  <c:v>-97196433406.697906</c:v>
                </c:pt>
                <c:pt idx="649">
                  <c:v>-98243786334.777206</c:v>
                </c:pt>
                <c:pt idx="650">
                  <c:v>-99211398778.796646</c:v>
                </c:pt>
                <c:pt idx="651">
                  <c:v>-100098015689.547</c:v>
                </c:pt>
                <c:pt idx="652">
                  <c:v>-100902503851.34392</c:v>
                </c:pt>
                <c:pt idx="653">
                  <c:v>-101623854971.30193</c:v>
                </c:pt>
                <c:pt idx="654">
                  <c:v>-102261188364.62273</c:v>
                </c:pt>
                <c:pt idx="655">
                  <c:v>-102813753221.40538</c:v>
                </c:pt>
                <c:pt idx="656">
                  <c:v>-103280930443.05745</c:v>
                </c:pt>
                <c:pt idx="657">
                  <c:v>-103662234039.06071</c:v>
                </c:pt>
                <c:pt idx="658">
                  <c:v>-103957312077.60693</c:v>
                </c:pt>
                <c:pt idx="659">
                  <c:v>-104165947186.42421</c:v>
                </c:pt>
                <c:pt idx="660">
                  <c:v>-104288056602.95027</c:v>
                </c:pt>
                <c:pt idx="661">
                  <c:v>-104323691775.83337</c:v>
                </c:pt>
                <c:pt idx="662">
                  <c:v>-104273037522.53807</c:v>
                </c:pt>
                <c:pt idx="663">
                  <c:v>-104136410750.56282</c:v>
                </c:pt>
                <c:pt idx="664">
                  <c:v>-103914258752.42264</c:v>
                </c:pt>
                <c:pt idx="665">
                  <c:v>-103607157087.07912</c:v>
                </c:pt>
                <c:pt idx="666">
                  <c:v>-103215807062.89583</c:v>
                </c:pt>
                <c:pt idx="667">
                  <c:v>-102741032839.43013</c:v>
                </c:pt>
                <c:pt idx="668">
                  <c:v>-102183778167.43257</c:v>
                </c:pt>
                <c:pt idx="669">
                  <c:v>-101545102788.28633</c:v>
                </c:pt>
                <c:pt idx="670">
                  <c:v>-100826178515.77707</c:v>
                </c:pt>
                <c:pt idx="671">
                  <c:v>-100028285024.51636</c:v>
                </c:pt>
                <c:pt idx="672">
                  <c:v>-99152805370.556458</c:v>
                </c:pt>
                <c:pt idx="673">
                  <c:v>-98201221270.704819</c:v>
                </c:pt>
                <c:pt idx="674">
                  <c:v>-97175108167.79657</c:v>
                </c:pt>
                <c:pt idx="675">
                  <c:v>-96076130109.68779</c:v>
                </c:pt>
                <c:pt idx="676">
                  <c:v>-94906034470.009613</c:v>
                </c:pt>
                <c:pt idx="677">
                  <c:v>-93666646538.786911</c:v>
                </c:pt>
                <c:pt idx="678">
                  <c:v>-92359864010.851563</c:v>
                </c:pt>
                <c:pt idx="679">
                  <c:v>-90987651399.624863</c:v>
                </c:pt>
                <c:pt idx="680">
                  <c:v>-89552034403.273132</c:v>
                </c:pt>
                <c:pt idx="681">
                  <c:v>-88055094249.512024</c:v>
                </c:pt>
                <c:pt idx="682">
                  <c:v>-86498962044.42012</c:v>
                </c:pt>
                <c:pt idx="683">
                  <c:v>-84885813149.581406</c:v>
                </c:pt>
                <c:pt idx="684">
                  <c:v>-83217861610.688568</c:v>
                </c:pt>
                <c:pt idx="685">
                  <c:v>-81497354659.443771</c:v>
                </c:pt>
                <c:pt idx="686">
                  <c:v>-79726567309.210892</c:v>
                </c:pt>
                <c:pt idx="687">
                  <c:v>-77907797063.396713</c:v>
                </c:pt>
                <c:pt idx="688">
                  <c:v>-76043358754.019547</c:v>
                </c:pt>
                <c:pt idx="689">
                  <c:v>-74135579526.3479</c:v>
                </c:pt>
                <c:pt idx="690">
                  <c:v>-72186793983.907562</c:v>
                </c:pt>
                <c:pt idx="691">
                  <c:v>-70199339506.530869</c:v>
                </c:pt>
                <c:pt idx="692">
                  <c:v>-68175551752.542679</c:v>
                </c:pt>
                <c:pt idx="693">
                  <c:v>-66117760354.572403</c:v>
                </c:pt>
                <c:pt idx="694">
                  <c:v>-64028284816.946655</c:v>
                </c:pt>
                <c:pt idx="695">
                  <c:v>-61909430621.087852</c:v>
                </c:pt>
                <c:pt idx="696">
                  <c:v>-59763485543.89682</c:v>
                </c:pt>
                <c:pt idx="697">
                  <c:v>-57592716192.689873</c:v>
                </c:pt>
                <c:pt idx="698">
                  <c:v>-55399364758.924072</c:v>
                </c:pt>
                <c:pt idx="699">
                  <c:v>-53185645991.69883</c:v>
                </c:pt>
                <c:pt idx="700">
                  <c:v>-50953744390.816917</c:v>
                </c:pt>
                <c:pt idx="701">
                  <c:v>-48705811618.11795</c:v>
                </c:pt>
                <c:pt idx="702">
                  <c:v>-46443964124.753052</c:v>
                </c:pt>
                <c:pt idx="703">
                  <c:v>-44170280991.166924</c:v>
                </c:pt>
                <c:pt idx="704">
                  <c:v>-41886801975.690437</c:v>
                </c:pt>
                <c:pt idx="705">
                  <c:v>-39595525766.909317</c:v>
                </c:pt>
                <c:pt idx="706">
                  <c:v>-37298408434.294052</c:v>
                </c:pt>
                <c:pt idx="707">
                  <c:v>-34997362070.990288</c:v>
                </c:pt>
                <c:pt idx="708">
                  <c:v>-32694253622.1744</c:v>
                </c:pt>
                <c:pt idx="709">
                  <c:v>-30390903891.935852</c:v>
                </c:pt>
                <c:pt idx="710">
                  <c:v>-28089086721.314075</c:v>
                </c:pt>
                <c:pt idx="711">
                  <c:v>-25790528329.818077</c:v>
                </c:pt>
                <c:pt idx="712">
                  <c:v>-23496906812.563938</c:v>
                </c:pt>
                <c:pt idx="713">
                  <c:v>-21209851784.988747</c:v>
                </c:pt>
                <c:pt idx="714">
                  <c:v>-18930944167.034126</c:v>
                </c:pt>
                <c:pt idx="715">
                  <c:v>-16661716098.632132</c:v>
                </c:pt>
                <c:pt idx="716">
                  <c:v>-14403650978.34236</c:v>
                </c:pt>
                <c:pt idx="717">
                  <c:v>-12158183617.052917</c:v>
                </c:pt>
                <c:pt idx="718">
                  <c:v>-9926700498.7353706</c:v>
                </c:pt>
                <c:pt idx="719">
                  <c:v>-7710540140.3946905</c:v>
                </c:pt>
                <c:pt idx="720">
                  <c:v>-5510993543.4978409</c:v>
                </c:pt>
                <c:pt idx="721">
                  <c:v>-3329304729.3748317</c:v>
                </c:pt>
                <c:pt idx="722">
                  <c:v>-1166671351.2805331</c:v>
                </c:pt>
                <c:pt idx="723">
                  <c:v>975754623.94085348</c:v>
                </c:pt>
                <c:pt idx="724">
                  <c:v>3096866171.4127102</c:v>
                </c:pt>
                <c:pt idx="725">
                  <c:v>5195600407.5531778</c:v>
                </c:pt>
                <c:pt idx="726">
                  <c:v>7270937739.4467173</c:v>
                </c:pt>
                <c:pt idx="727">
                  <c:v>9321900970.2613659</c:v>
                </c:pt>
                <c:pt idx="728">
                  <c:v>11347554366.409128</c:v>
                </c:pt>
                <c:pt idx="729">
                  <c:v>13347002691.873825</c:v>
                </c:pt>
                <c:pt idx="730">
                  <c:v>15319390214.821501</c:v>
                </c:pt>
                <c:pt idx="731">
                  <c:v>17263899691.3353</c:v>
                </c:pt>
                <c:pt idx="732">
                  <c:v>19179751330.811825</c:v>
                </c:pt>
                <c:pt idx="733">
                  <c:v>21066201747.289181</c:v>
                </c:pt>
                <c:pt idx="734">
                  <c:v>22922542900.684376</c:v>
                </c:pt>
                <c:pt idx="735">
                  <c:v>24748101031.655132</c:v>
                </c:pt>
                <c:pt idx="736">
                  <c:v>26542235593.537945</c:v>
                </c:pt>
                <c:pt idx="737">
                  <c:v>28304338184.547821</c:v>
                </c:pt>
                <c:pt idx="738">
                  <c:v>30033831483.198414</c:v>
                </c:pt>
                <c:pt idx="739">
                  <c:v>31730168189.63945</c:v>
                </c:pt>
                <c:pt idx="740">
                  <c:v>33392829975.406246</c:v>
                </c:pt>
                <c:pt idx="741">
                  <c:v>35021326443.838264</c:v>
                </c:pt>
                <c:pt idx="742">
                  <c:v>36615194103.23436</c:v>
                </c:pt>
                <c:pt idx="743">
                  <c:v>38173995354.602554</c:v>
                </c:pt>
                <c:pt idx="744">
                  <c:v>39697317495.685677</c:v>
                </c:pt>
                <c:pt idx="745">
                  <c:v>41184771742.768524</c:v>
                </c:pt>
                <c:pt idx="746">
                  <c:v>42635992271.600357</c:v>
                </c:pt>
                <c:pt idx="747">
                  <c:v>44050635278.624489</c:v>
                </c:pt>
                <c:pt idx="748">
                  <c:v>45428378063.54911</c:v>
                </c:pt>
                <c:pt idx="749">
                  <c:v>46768918134.170654</c:v>
                </c:pt>
                <c:pt idx="750">
                  <c:v>48071972334.227882</c:v>
                </c:pt>
                <c:pt idx="751">
                  <c:v>49337275994.95401</c:v>
                </c:pt>
                <c:pt idx="752">
                  <c:v>50564582110.883461</c:v>
                </c:pt>
                <c:pt idx="753">
                  <c:v>51753660540.374565</c:v>
                </c:pt>
                <c:pt idx="754">
                  <c:v>52904297231.219666</c:v>
                </c:pt>
                <c:pt idx="755">
                  <c:v>54016293471.62648</c:v>
                </c:pt>
                <c:pt idx="756">
                  <c:v>55089465166.788559</c:v>
                </c:pt>
                <c:pt idx="757">
                  <c:v>56123642141.184975</c:v>
                </c:pt>
                <c:pt idx="758">
                  <c:v>57118667466.698601</c:v>
                </c:pt>
                <c:pt idx="759">
                  <c:v>58074396816.577728</c:v>
                </c:pt>
                <c:pt idx="760">
                  <c:v>58990697845.227135</c:v>
                </c:pt>
                <c:pt idx="761">
                  <c:v>59867449593.76281</c:v>
                </c:pt>
                <c:pt idx="762">
                  <c:v>60704541921.234505</c:v>
                </c:pt>
                <c:pt idx="763">
                  <c:v>61501874961.383911</c:v>
                </c:pt>
                <c:pt idx="764">
                  <c:v>62259358604.778214</c:v>
                </c:pt>
                <c:pt idx="765">
                  <c:v>62976912006.139587</c:v>
                </c:pt>
                <c:pt idx="766">
                  <c:v>63654463116.666405</c:v>
                </c:pt>
                <c:pt idx="767">
                  <c:v>64291948241.13224</c:v>
                </c:pt>
                <c:pt idx="768">
                  <c:v>64889311619.532181</c:v>
                </c:pt>
                <c:pt idx="769">
                  <c:v>65446505033.041451</c:v>
                </c:pt>
                <c:pt idx="770">
                  <c:v>65963487434.042908</c:v>
                </c:pt>
                <c:pt idx="771">
                  <c:v>66440224599.978912</c:v>
                </c:pt>
                <c:pt idx="772">
                  <c:v>66876688810.783844</c:v>
                </c:pt>
                <c:pt idx="773">
                  <c:v>67272858549.652626</c:v>
                </c:pt>
                <c:pt idx="774">
                  <c:v>67628718226.909874</c:v>
                </c:pt>
                <c:pt idx="775">
                  <c:v>67944257926.745529</c:v>
                </c:pt>
                <c:pt idx="776">
                  <c:v>68219473176.595314</c:v>
                </c:pt>
                <c:pt idx="777">
                  <c:v>68454364738.951706</c:v>
                </c:pt>
                <c:pt idx="778">
                  <c:v>68648938425.403069</c:v>
                </c:pt>
                <c:pt idx="779">
                  <c:v>68803204932.711014</c:v>
                </c:pt>
                <c:pt idx="780">
                  <c:v>68917179700.749435</c:v>
                </c:pt>
                <c:pt idx="781">
                  <c:v>68990882792.143616</c:v>
                </c:pt>
                <c:pt idx="782">
                  <c:v>69024338793.462616</c:v>
                </c:pt>
                <c:pt idx="783">
                  <c:v>69017576737.834473</c:v>
                </c:pt>
                <c:pt idx="784">
                  <c:v>68970630048.86998</c:v>
                </c:pt>
                <c:pt idx="785">
                  <c:v>68883536505.798492</c:v>
                </c:pt>
                <c:pt idx="786">
                  <c:v>68756338229.73558</c:v>
                </c:pt>
                <c:pt idx="787">
                  <c:v>68589081691.020172</c:v>
                </c:pt>
                <c:pt idx="788">
                  <c:v>68381817737.576828</c:v>
                </c:pt>
                <c:pt idx="789">
                  <c:v>68134601644.275085</c:v>
                </c:pt>
                <c:pt idx="790">
                  <c:v>67847493183.276039</c:v>
                </c:pt>
                <c:pt idx="791">
                  <c:v>67520556715.373131</c:v>
                </c:pt>
                <c:pt idx="792">
                  <c:v>67153861302.349503</c:v>
                </c:pt>
                <c:pt idx="793">
                  <c:v>66747480840.392258</c:v>
                </c:pt>
                <c:pt idx="794">
                  <c:v>66301494214.616997</c:v>
                </c:pt>
                <c:pt idx="795">
                  <c:v>65815985474.77256</c:v>
                </c:pt>
                <c:pt idx="796">
                  <c:v>65291044032.207344</c:v>
                </c:pt>
                <c:pt idx="797">
                  <c:v>64726764878.193741</c:v>
                </c:pt>
                <c:pt idx="798">
                  <c:v>64123248823.715141</c:v>
                </c:pt>
                <c:pt idx="799">
                  <c:v>63480602760.833122</c:v>
                </c:pt>
                <c:pt idx="800">
                  <c:v>62798939945.759453</c:v>
                </c:pt>
                <c:pt idx="801">
                  <c:v>62078380303.762909</c:v>
                </c:pt>
                <c:pt idx="802">
                  <c:v>61319050756.050026</c:v>
                </c:pt>
                <c:pt idx="803">
                  <c:v>60521085568.755928</c:v>
                </c:pt>
                <c:pt idx="804">
                  <c:v>59684626724.189087</c:v>
                </c:pt>
                <c:pt idx="805">
                  <c:v>58809824314.465179</c:v>
                </c:pt>
                <c:pt idx="806">
                  <c:v>57896836957.66835</c:v>
                </c:pt>
                <c:pt idx="807">
                  <c:v>56945832236.663902</c:v>
                </c:pt>
                <c:pt idx="808">
                  <c:v>55956987160.683556</c:v>
                </c:pt>
                <c:pt idx="809">
                  <c:v>54930488649.787056</c:v>
                </c:pt>
                <c:pt idx="810">
                  <c:v>53866534042.286949</c:v>
                </c:pt>
                <c:pt idx="811">
                  <c:v>52765331625.2089</c:v>
                </c:pt>
                <c:pt idx="812">
                  <c:v>51627101187.825729</c:v>
                </c:pt>
                <c:pt idx="813">
                  <c:v>50452074598.288216</c:v>
                </c:pt>
                <c:pt idx="814">
                  <c:v>49240496403.328064</c:v>
                </c:pt>
                <c:pt idx="815">
                  <c:v>47992624450.986702</c:v>
                </c:pt>
                <c:pt idx="816">
                  <c:v>46708730536.26429</c:v>
                </c:pt>
                <c:pt idx="817">
                  <c:v>45389101069.551559</c:v>
                </c:pt>
                <c:pt idx="818">
                  <c:v>44034037767.639374</c:v>
                </c:pt>
                <c:pt idx="819">
                  <c:v>42643858367.053497</c:v>
                </c:pt>
                <c:pt idx="820">
                  <c:v>41218897359.384544</c:v>
                </c:pt>
                <c:pt idx="821">
                  <c:v>39759506748.221397</c:v>
                </c:pt>
                <c:pt idx="822">
                  <c:v>38266056827.209709</c:v>
                </c:pt>
                <c:pt idx="823">
                  <c:v>36738936978.672241</c:v>
                </c:pt>
                <c:pt idx="824">
                  <c:v>35178556492.135986</c:v>
                </c:pt>
                <c:pt idx="825">
                  <c:v>33585345402.005337</c:v>
                </c:pt>
                <c:pt idx="826">
                  <c:v>31959755343.515919</c:v>
                </c:pt>
                <c:pt idx="827">
                  <c:v>30302260425.976604</c:v>
                </c:pt>
                <c:pt idx="828">
                  <c:v>28613358122.191711</c:v>
                </c:pt>
                <c:pt idx="829">
                  <c:v>26893570172.806946</c:v>
                </c:pt>
                <c:pt idx="830">
                  <c:v>25143443504.189247</c:v>
                </c:pt>
                <c:pt idx="831">
                  <c:v>23363551158.289398</c:v>
                </c:pt>
                <c:pt idx="832">
                  <c:v>21554493232.772213</c:v>
                </c:pt>
                <c:pt idx="833">
                  <c:v>19716897829.535103</c:v>
                </c:pt>
                <c:pt idx="834">
                  <c:v>17851422009.539604</c:v>
                </c:pt>
                <c:pt idx="835">
                  <c:v>15958752751.706297</c:v>
                </c:pt>
                <c:pt idx="836">
                  <c:v>14039607913.401743</c:v>
                </c:pt>
                <c:pt idx="837">
                  <c:v>12094737189.860989</c:v>
                </c:pt>
                <c:pt idx="838">
                  <c:v>10124923069.646513</c:v>
                </c:pt>
                <c:pt idx="839">
                  <c:v>8130981783.0369968</c:v>
                </c:pt>
                <c:pt idx="840">
                  <c:v>6113764239.9945278</c:v>
                </c:pt>
                <c:pt idx="841">
                  <c:v>4074156954.1169505</c:v>
                </c:pt>
                <c:pt idx="842">
                  <c:v>2013082948.7440126</c:v>
                </c:pt>
                <c:pt idx="843">
                  <c:v>-68497358.883163765</c:v>
                </c:pt>
                <c:pt idx="844">
                  <c:v>-2169585299.750102</c:v>
                </c:pt>
                <c:pt idx="845">
                  <c:v>-4289143126.1044941</c:v>
                </c:pt>
                <c:pt idx="846">
                  <c:v>-6426093220.2641926</c:v>
                </c:pt>
                <c:pt idx="847">
                  <c:v>-8579317344.3446522</c:v>
                </c:pt>
                <c:pt idx="848">
                  <c:v>-10747655936.29426</c:v>
                </c:pt>
                <c:pt idx="849">
                  <c:v>-12929907457.909199</c:v>
                </c:pt>
                <c:pt idx="850">
                  <c:v>-15124827800.725819</c:v>
                </c:pt>
                <c:pt idx="851">
                  <c:v>-17331129755.954639</c:v>
                </c:pt>
                <c:pt idx="852">
                  <c:v>-19547482554.848675</c:v>
                </c:pt>
                <c:pt idx="853">
                  <c:v>-21772511486.112366</c:v>
                </c:pt>
                <c:pt idx="854">
                  <c:v>-24004797597.179325</c:v>
                </c:pt>
                <c:pt idx="855">
                  <c:v>-26242877486.355003</c:v>
                </c:pt>
                <c:pt idx="856">
                  <c:v>-28485243193.002972</c:v>
                </c:pt>
                <c:pt idx="857">
                  <c:v>-30730342193.072033</c:v>
                </c:pt>
                <c:pt idx="858">
                  <c:v>-32976577507.387794</c:v>
                </c:pt>
                <c:pt idx="859">
                  <c:v>-35222307930.190025</c:v>
                </c:pt>
                <c:pt idx="860">
                  <c:v>-37465848385.440857</c:v>
                </c:pt>
                <c:pt idx="861">
                  <c:v>-39705470418.430313</c:v>
                </c:pt>
                <c:pt idx="862">
                  <c:v>-41939402830.131714</c:v>
                </c:pt>
                <c:pt idx="863">
                  <c:v>-44165832461.685287</c:v>
                </c:pt>
                <c:pt idx="864">
                  <c:v>-46382905136.206764</c:v>
                </c:pt>
                <c:pt idx="865">
                  <c:v>-48588726764.923363</c:v>
                </c:pt>
                <c:pt idx="866">
                  <c:v>-50781364624.343178</c:v>
                </c:pt>
                <c:pt idx="867">
                  <c:v>-52958848810.838524</c:v>
                </c:pt>
                <c:pt idx="868">
                  <c:v>-55119173878.594498</c:v>
                </c:pt>
                <c:pt idx="869">
                  <c:v>-57260300666.396851</c:v>
                </c:pt>
                <c:pt idx="870">
                  <c:v>-59380158318.171654</c:v>
                </c:pt>
                <c:pt idx="871">
                  <c:v>-61476646501.538849</c:v>
                </c:pt>
                <c:pt idx="872">
                  <c:v>-63547637827.93483</c:v>
                </c:pt>
                <c:pt idx="873">
                  <c:v>-65590980477.047272</c:v>
                </c:pt>
                <c:pt idx="874">
                  <c:v>-67604501027.429657</c:v>
                </c:pt>
                <c:pt idx="875">
                  <c:v>-69586007494.190536</c:v>
                </c:pt>
                <c:pt idx="876">
                  <c:v>-71533292573.62262</c:v>
                </c:pt>
                <c:pt idx="877">
                  <c:v>-73444137093.499603</c:v>
                </c:pt>
                <c:pt idx="878">
                  <c:v>-75316313666.58429</c:v>
                </c:pt>
                <c:pt idx="879">
                  <c:v>-77147590543.625626</c:v>
                </c:pt>
                <c:pt idx="880">
                  <c:v>-78935735660.782822</c:v>
                </c:pt>
                <c:pt idx="881">
                  <c:v>-80678520875.04303</c:v>
                </c:pt>
                <c:pt idx="882">
                  <c:v>-82373726379.745346</c:v>
                </c:pt>
                <c:pt idx="883">
                  <c:v>-84019145290.862488</c:v>
                </c:pt>
                <c:pt idx="884">
                  <c:v>-85612588393.165924</c:v>
                </c:pt>
                <c:pt idx="885">
                  <c:v>-87151889033.895172</c:v>
                </c:pt>
                <c:pt idx="886">
                  <c:v>-88634908149.995712</c:v>
                </c:pt>
                <c:pt idx="887">
                  <c:v>-90059539413.484009</c:v>
                </c:pt>
                <c:pt idx="888">
                  <c:v>-91423714477.987198</c:v>
                </c:pt>
                <c:pt idx="889">
                  <c:v>-92725408308.038116</c:v>
                </c:pt>
                <c:pt idx="890">
                  <c:v>-93962644571.304321</c:v>
                </c:pt>
                <c:pt idx="891">
                  <c:v>-95133501072.57901</c:v>
                </c:pt>
                <c:pt idx="892">
                  <c:v>-96236115207.121643</c:v>
                </c:pt>
                <c:pt idx="893">
                  <c:v>-97268689409.777481</c:v>
                </c:pt>
                <c:pt idx="894">
                  <c:v>-98229496575.293198</c:v>
                </c:pt>
                <c:pt idx="895">
                  <c:v>-99116885424.34845</c:v>
                </c:pt>
                <c:pt idx="896">
                  <c:v>-99929285789.101059</c:v>
                </c:pt>
                <c:pt idx="897">
                  <c:v>-100665213791.47992</c:v>
                </c:pt>
                <c:pt idx="898">
                  <c:v>-101323276887.08263</c:v>
                </c:pt>
                <c:pt idx="899">
                  <c:v>-101902178747.35736</c:v>
                </c:pt>
                <c:pt idx="900">
                  <c:v>-102400723952.77408</c:v>
                </c:pt>
                <c:pt idx="901">
                  <c:v>-102817822469.93774</c:v>
                </c:pt>
                <c:pt idx="902">
                  <c:v>-103152493886.05977</c:v>
                </c:pt>
                <c:pt idx="903">
                  <c:v>-103403871374.90318</c:v>
                </c:pt>
                <c:pt idx="904">
                  <c:v>-103571205369.23708</c:v>
                </c:pt>
                <c:pt idx="905">
                  <c:v>-103653866915.99081</c:v>
                </c:pt>
                <c:pt idx="906">
                  <c:v>-103651350691.6738</c:v>
                </c:pt>
                <c:pt idx="907">
                  <c:v>-103563277657.22023</c:v>
                </c:pt>
                <c:pt idx="908">
                  <c:v>-103389397333.22108</c:v>
                </c:pt>
                <c:pt idx="909">
                  <c:v>-103129589678.50175</c:v>
                </c:pt>
                <c:pt idx="910">
                  <c:v>-102783866557.18102</c:v>
                </c:pt>
                <c:pt idx="911">
                  <c:v>-102352372781.68852</c:v>
                </c:pt>
                <c:pt idx="912">
                  <c:v>-101835386721.69652</c:v>
                </c:pt>
                <c:pt idx="913">
                  <c:v>-101233320471.52594</c:v>
                </c:pt>
                <c:pt idx="914">
                  <c:v>-100546719571.28001</c:v>
                </c:pt>
                <c:pt idx="915">
                  <c:v>-99776262279.727142</c:v>
                </c:pt>
                <c:pt idx="916">
                  <c:v>-98922758399.759979</c:v>
                </c:pt>
                <c:pt idx="917">
                  <c:v>-97987147660.078812</c:v>
                </c:pt>
                <c:pt idx="918">
                  <c:v>-96970497659.557312</c:v>
                </c:pt>
                <c:pt idx="919">
                  <c:v>-95874001383.507431</c:v>
                </c:pt>
                <c:pt idx="920">
                  <c:v>-94698974303.759933</c:v>
                </c:pt>
                <c:pt idx="921">
                  <c:v>-93446851077.064407</c:v>
                </c:pt>
                <c:pt idx="922">
                  <c:v>-92119181858.792404</c:v>
                </c:pt>
                <c:pt idx="923">
                  <c:v>-90717628251.238235</c:v>
                </c:pt>
                <c:pt idx="924">
                  <c:v>-89243958907.976791</c:v>
                </c:pt>
                <c:pt idx="925">
                  <c:v>-87700044817.688065</c:v>
                </c:pt>
                <c:pt idx="926">
                  <c:v>-86087854292.611969</c:v>
                </c:pt>
                <c:pt idx="927">
                  <c:v>-84409447688.333267</c:v>
                </c:pt>
                <c:pt idx="928">
                  <c:v>-82666971882.877319</c:v>
                </c:pt>
                <c:pt idx="929">
                  <c:v>-80862654544.161346</c:v>
                </c:pt>
                <c:pt idx="930">
                  <c:v>-78998798215.631897</c:v>
                </c:pt>
                <c:pt idx="931">
                  <c:v>-77077774250.48175</c:v>
                </c:pt>
                <c:pt idx="932">
                  <c:v>-75102016625.12146</c:v>
                </c:pt>
                <c:pt idx="933">
                  <c:v>-73074015662.642899</c:v>
                </c:pt>
                <c:pt idx="934">
                  <c:v>-70996311696.812622</c:v>
                </c:pt>
                <c:pt idx="935">
                  <c:v>-68871488706.702194</c:v>
                </c:pt>
                <c:pt idx="936">
                  <c:v>-66702167951.435516</c:v>
                </c:pt>
                <c:pt idx="937">
                  <c:v>-64491001633.655647</c:v>
                </c:pt>
                <c:pt idx="938">
                  <c:v>-62240666619.293022</c:v>
                </c:pt>
                <c:pt idx="939">
                  <c:v>-59953858239.975784</c:v>
                </c:pt>
                <c:pt idx="940">
                  <c:v>-57633284203.074837</c:v>
                </c:pt>
                <c:pt idx="941">
                  <c:v>-55281658632.834846</c:v>
                </c:pt>
                <c:pt idx="942">
                  <c:v>-52901696264.447937</c:v>
                </c:pt>
                <c:pt idx="943">
                  <c:v>-50496106811.17662</c:v>
                </c:pt>
                <c:pt idx="944">
                  <c:v>-48067589522.859695</c:v>
                </c:pt>
                <c:pt idx="945">
                  <c:v>-45618827952.261337</c:v>
                </c:pt>
                <c:pt idx="946">
                  <c:v>-43152484943.855446</c:v>
                </c:pt>
                <c:pt idx="947">
                  <c:v>-40671197857.725845</c:v>
                </c:pt>
                <c:pt idx="948">
                  <c:v>-38177574039.355377</c:v>
                </c:pt>
                <c:pt idx="949">
                  <c:v>-35674186544.219704</c:v>
                </c:pt>
                <c:pt idx="950">
                  <c:v>-33163570124.225189</c:v>
                </c:pt>
                <c:pt idx="951">
                  <c:v>-30648217481.262207</c:v>
                </c:pt>
                <c:pt idx="952">
                  <c:v>-28130575791.386925</c:v>
                </c:pt>
                <c:pt idx="953">
                  <c:v>-25613043501.506557</c:v>
                </c:pt>
                <c:pt idx="954">
                  <c:v>-23097967398.843586</c:v>
                </c:pt>
                <c:pt idx="955">
                  <c:v>-20587639951.989262</c:v>
                </c:pt>
                <c:pt idx="956">
                  <c:v>-18084296920.956375</c:v>
                </c:pt>
                <c:pt idx="957">
                  <c:v>-15590115232.358404</c:v>
                </c:pt>
                <c:pt idx="958">
                  <c:v>-13107211114.676006</c:v>
                </c:pt>
                <c:pt idx="959">
                  <c:v>-10637638487.488628</c:v>
                </c:pt>
                <c:pt idx="960">
                  <c:v>-8183387597.6057491</c:v>
                </c:pt>
                <c:pt idx="961">
                  <c:v>-5746383894.1761456</c:v>
                </c:pt>
                <c:pt idx="962">
                  <c:v>-3328487134.1251059</c:v>
                </c:pt>
                <c:pt idx="963">
                  <c:v>-931490708.62484932</c:v>
                </c:pt>
                <c:pt idx="964">
                  <c:v>1442878819.2079268</c:v>
                </c:pt>
                <c:pt idx="965">
                  <c:v>3792961975.632441</c:v>
                </c:pt>
                <c:pt idx="966">
                  <c:v>6117166447.199439</c:v>
                </c:pt>
                <c:pt idx="967">
                  <c:v>8413966972.0702772</c:v>
                </c:pt>
                <c:pt idx="968">
                  <c:v>10681905062.722986</c:v>
                </c:pt>
                <c:pt idx="969">
                  <c:v>12919588571.087063</c:v>
                </c:pt>
                <c:pt idx="970">
                  <c:v>15125691107.174372</c:v>
                </c:pt>
                <c:pt idx="971">
                  <c:v>17298951322.189548</c:v>
                </c:pt>
                <c:pt idx="972">
                  <c:v>19438172067.00658</c:v>
                </c:pt>
                <c:pt idx="973">
                  <c:v>21542219436.690727</c:v>
                </c:pt>
                <c:pt idx="974">
                  <c:v>23610021711.548412</c:v>
                </c:pt>
                <c:pt idx="975">
                  <c:v>25640568204.895206</c:v>
                </c:pt>
                <c:pt idx="976">
                  <c:v>27632908027.439003</c:v>
                </c:pt>
                <c:pt idx="977">
                  <c:v>29586148777.836975</c:v>
                </c:pt>
                <c:pt idx="978">
                  <c:v>31499455168.61084</c:v>
                </c:pt>
                <c:pt idx="979">
                  <c:v>33372047596.235729</c:v>
                </c:pt>
                <c:pt idx="980">
                  <c:v>35203200663.797394</c:v>
                </c:pt>
                <c:pt idx="981">
                  <c:v>36992241664.215698</c:v>
                </c:pt>
                <c:pt idx="982">
                  <c:v>38738549031.591728</c:v>
                </c:pt>
                <c:pt idx="983">
                  <c:v>40441550767.824554</c:v>
                </c:pt>
                <c:pt idx="984">
                  <c:v>42100722851.19735</c:v>
                </c:pt>
                <c:pt idx="985">
                  <c:v>43715587633.219292</c:v>
                </c:pt>
                <c:pt idx="986">
                  <c:v>45285712229.575554</c:v>
                </c:pt>
                <c:pt idx="987">
                  <c:v>46810706910.622116</c:v>
                </c:pt>
                <c:pt idx="988">
                  <c:v>48290223496.458817</c:v>
                </c:pt>
                <c:pt idx="989">
                  <c:v>49723953761.205086</c:v>
                </c:pt>
                <c:pt idx="990">
                  <c:v>51111627850.727623</c:v>
                </c:pt>
                <c:pt idx="991">
                  <c:v>52453012717.68438</c:v>
                </c:pt>
                <c:pt idx="992">
                  <c:v>53747910577.40036</c:v>
                </c:pt>
                <c:pt idx="993">
                  <c:v>54996157387.736855</c:v>
                </c:pt>
                <c:pt idx="994">
                  <c:v>56197621355.793495</c:v>
                </c:pt>
                <c:pt idx="995">
                  <c:v>57352201473.968872</c:v>
                </c:pt>
                <c:pt idx="996">
                  <c:v>58459826087.603645</c:v>
                </c:pt>
                <c:pt idx="997">
                  <c:v>59520451496.161285</c:v>
                </c:pt>
                <c:pt idx="998">
                  <c:v>60534060589.624077</c:v>
                </c:pt>
                <c:pt idx="999">
                  <c:v>61500661521.549751</c:v>
                </c:pt>
                <c:pt idx="1000">
                  <c:v>62420286419.991386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2BD8-4B37-987E-3D7861228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9525807"/>
        <c:axId val="1449519087"/>
        <c:extLst/>
      </c:scatterChart>
      <c:valAx>
        <c:axId val="1449525807"/>
        <c:scaling>
          <c:orientation val="minMax"/>
          <c:max val="150000000000"/>
          <c:min val="-15000000000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9519087"/>
        <c:crosses val="autoZero"/>
        <c:crossBetween val="midCat"/>
      </c:valAx>
      <c:valAx>
        <c:axId val="1449519087"/>
        <c:scaling>
          <c:orientation val="minMax"/>
          <c:max val="150000000000"/>
          <c:min val="-1500000000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95258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D3B6CF1-85B0-4135-A85B-FAAE02129AD6}">
  <sheetPr/>
  <sheetViews>
    <sheetView zoomScale="5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202158</xdr:colOff>
      <xdr:row>7</xdr:row>
      <xdr:rowOff>84342</xdr:rowOff>
    </xdr:from>
    <xdr:to>
      <xdr:col>1</xdr:col>
      <xdr:colOff>793390</xdr:colOff>
      <xdr:row>9</xdr:row>
      <xdr:rowOff>40409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AA4D5B-60F7-A7BA-E91F-8BD5E7CF6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158" y="1753063"/>
          <a:ext cx="1750476" cy="369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193112</xdr:colOff>
      <xdr:row>5</xdr:row>
      <xdr:rowOff>103373</xdr:rowOff>
    </xdr:from>
    <xdr:to>
      <xdr:col>1</xdr:col>
      <xdr:colOff>401242</xdr:colOff>
      <xdr:row>6</xdr:row>
      <xdr:rowOff>160965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D1BE2F6-2311-1011-894A-88C1605B6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112" y="1210931"/>
          <a:ext cx="1367374" cy="367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645139</xdr:colOff>
      <xdr:row>5</xdr:row>
      <xdr:rowOff>132481</xdr:rowOff>
    </xdr:from>
    <xdr:to>
      <xdr:col>3</xdr:col>
      <xdr:colOff>34234</xdr:colOff>
      <xdr:row>6</xdr:row>
      <xdr:rowOff>139646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A1C5606-41FE-9DBE-D89A-80F34678B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4383" y="1306493"/>
          <a:ext cx="991363" cy="317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963402</xdr:colOff>
      <xdr:row>7</xdr:row>
      <xdr:rowOff>75695</xdr:rowOff>
    </xdr:from>
    <xdr:to>
      <xdr:col>4</xdr:col>
      <xdr:colOff>203896</xdr:colOff>
      <xdr:row>9</xdr:row>
      <xdr:rowOff>32163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73954E0-66CC-5C5E-7946-1CD6937E4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2646" y="1744416"/>
          <a:ext cx="1684506" cy="369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0843846" cy="708269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CEC2EC-A610-53A7-1B14-133048915EE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ssd.jpl.nasa.gov/planets/approx_pos.html" TargetMode="External"/><Relationship Id="rId1" Type="http://schemas.openxmlformats.org/officeDocument/2006/relationships/hyperlink" Target="https://ssd.jpl.nasa.gov/planets/approx_pos.html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C4B8-1118-4391-93FB-D7E1F50D7D04}">
  <dimension ref="A1:P1013"/>
  <sheetViews>
    <sheetView tabSelected="1" zoomScale="86" zoomScaleNormal="86" workbookViewId="0">
      <pane ySplit="12" topLeftCell="A13" activePane="bottomLeft" state="frozen"/>
      <selection pane="bottomLeft" sqref="A1:P1"/>
    </sheetView>
  </sheetViews>
  <sheetFormatPr baseColWidth="10" defaultColWidth="17.84375" defaultRowHeight="14.6" x14ac:dyDescent="0.4"/>
  <cols>
    <col min="1" max="1" width="16.3828125" style="1" customWidth="1"/>
    <col min="2" max="2" width="14.07421875" style="1" customWidth="1"/>
    <col min="3" max="3" width="8.53515625" style="1" customWidth="1"/>
    <col min="4" max="4" width="11.84375" style="1" customWidth="1"/>
    <col min="5" max="5" width="13.765625" style="1" customWidth="1"/>
    <col min="6" max="6" width="12.765625" style="1" bestFit="1" customWidth="1"/>
    <col min="7" max="7" width="9.69140625" style="1" customWidth="1"/>
    <col min="8" max="8" width="9.15234375" style="1" customWidth="1"/>
    <col min="9" max="9" width="12.61328125" style="1" customWidth="1"/>
    <col min="10" max="10" width="10.84375" style="1" bestFit="1" customWidth="1"/>
    <col min="11" max="11" width="9.3046875" style="1" bestFit="1" customWidth="1"/>
    <col min="12" max="12" width="8.61328125" style="1" bestFit="1" customWidth="1"/>
    <col min="13" max="13" width="8.23046875" style="1" bestFit="1" customWidth="1"/>
    <col min="14" max="14" width="8.61328125" style="1" bestFit="1" customWidth="1"/>
    <col min="15" max="16" width="9.3046875" style="1" bestFit="1" customWidth="1"/>
    <col min="17" max="16384" width="17.84375" style="1"/>
  </cols>
  <sheetData>
    <row r="1" spans="1:16" ht="21" customHeight="1" x14ac:dyDescent="0.4">
      <c r="A1" s="52" t="s">
        <v>25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16" s="24" customFormat="1" ht="15.45" customHeight="1" x14ac:dyDescent="0.4">
      <c r="A2" s="25"/>
      <c r="B2" s="25"/>
      <c r="F2" s="46"/>
      <c r="G2" s="49" t="s">
        <v>8</v>
      </c>
      <c r="H2" s="50" t="s">
        <v>7</v>
      </c>
    </row>
    <row r="3" spans="1:16" ht="18.45" customHeight="1" x14ac:dyDescent="0.4">
      <c r="A3" s="59" t="s">
        <v>21</v>
      </c>
      <c r="B3" s="59"/>
      <c r="C3" s="59"/>
      <c r="D3" s="59"/>
      <c r="E3" s="59"/>
      <c r="F3" s="46" t="s">
        <v>19</v>
      </c>
      <c r="G3" s="53">
        <v>2953.25</v>
      </c>
      <c r="H3" s="53"/>
    </row>
    <row r="4" spans="1:16" ht="20.149999999999999" customHeight="1" x14ac:dyDescent="0.4">
      <c r="A4" s="59"/>
      <c r="B4" s="59"/>
      <c r="C4" s="59"/>
      <c r="D4" s="59"/>
      <c r="E4" s="59"/>
      <c r="F4" s="46" t="s">
        <v>17</v>
      </c>
      <c r="G4" s="53">
        <v>4.1520000000000001</v>
      </c>
      <c r="H4" s="53"/>
    </row>
    <row r="5" spans="1:16" ht="18.45" customHeight="1" x14ac:dyDescent="0.4">
      <c r="A5" s="48" t="s">
        <v>9</v>
      </c>
      <c r="B5" s="48"/>
      <c r="C5" s="48"/>
      <c r="D5" s="48"/>
      <c r="E5" s="51"/>
      <c r="F5" s="46" t="s">
        <v>15</v>
      </c>
      <c r="G5" s="2">
        <v>1.6711230000000001E-2</v>
      </c>
      <c r="H5" s="3">
        <v>0.20563592999999999</v>
      </c>
      <c r="N5" s="26"/>
      <c r="O5" s="26"/>
      <c r="P5" s="27"/>
    </row>
    <row r="6" spans="1:16" ht="24.55" customHeight="1" x14ac:dyDescent="0.4">
      <c r="F6" s="46" t="s">
        <v>16</v>
      </c>
      <c r="G6" s="5">
        <f>1.00000261*149598000000</f>
        <v>149598390450.78</v>
      </c>
      <c r="H6" s="6">
        <f>0.38709927*149598000000</f>
        <v>57909276593.459999</v>
      </c>
      <c r="P6" s="4"/>
    </row>
    <row r="8" spans="1:16" ht="15.9" x14ac:dyDescent="0.4">
      <c r="E8" s="34"/>
      <c r="F8" s="47" t="s">
        <v>22</v>
      </c>
      <c r="G8" s="47"/>
      <c r="H8" s="31"/>
      <c r="I8" s="32">
        <v>1.5</v>
      </c>
      <c r="J8" s="34"/>
    </row>
    <row r="9" spans="1:16" ht="15.9" x14ac:dyDescent="0.4">
      <c r="E9" s="33"/>
      <c r="F9" s="47" t="s">
        <v>23</v>
      </c>
      <c r="G9" s="47"/>
      <c r="H9" s="31"/>
      <c r="I9" s="32">
        <v>1000000</v>
      </c>
    </row>
    <row r="11" spans="1:16" s="4" customFormat="1" ht="17.149999999999999" x14ac:dyDescent="0.4">
      <c r="A11" s="37"/>
      <c r="B11" s="38"/>
      <c r="C11" s="57" t="s">
        <v>10</v>
      </c>
      <c r="D11" s="58"/>
      <c r="E11" s="58"/>
      <c r="F11" s="58"/>
      <c r="G11" s="54" t="s">
        <v>14</v>
      </c>
      <c r="H11" s="55"/>
      <c r="I11" s="55"/>
      <c r="J11" s="55"/>
      <c r="K11" s="56"/>
      <c r="L11" s="54" t="s">
        <v>24</v>
      </c>
      <c r="M11" s="55"/>
      <c r="N11" s="55"/>
      <c r="O11" s="55"/>
      <c r="P11" s="56"/>
    </row>
    <row r="12" spans="1:16" s="4" customFormat="1" ht="14.6" customHeight="1" x14ac:dyDescent="0.4">
      <c r="A12" s="39" t="s">
        <v>20</v>
      </c>
      <c r="B12" s="42" t="s">
        <v>2</v>
      </c>
      <c r="C12" s="7" t="s">
        <v>3</v>
      </c>
      <c r="D12" s="8" t="s">
        <v>4</v>
      </c>
      <c r="E12" s="8" t="s">
        <v>5</v>
      </c>
      <c r="F12" s="8" t="s">
        <v>6</v>
      </c>
      <c r="G12" s="8" t="s">
        <v>18</v>
      </c>
      <c r="H12" s="8" t="s">
        <v>3</v>
      </c>
      <c r="I12" s="8" t="s">
        <v>4</v>
      </c>
      <c r="J12" s="8" t="s">
        <v>5</v>
      </c>
      <c r="K12" s="8" t="s">
        <v>6</v>
      </c>
      <c r="L12" s="35" t="s">
        <v>13</v>
      </c>
      <c r="M12" s="8" t="s">
        <v>0</v>
      </c>
      <c r="N12" s="8" t="s">
        <v>1</v>
      </c>
      <c r="O12" s="8" t="s">
        <v>11</v>
      </c>
      <c r="P12" s="36" t="s">
        <v>12</v>
      </c>
    </row>
    <row r="13" spans="1:16" s="4" customFormat="1" x14ac:dyDescent="0.4">
      <c r="A13" s="9">
        <v>0</v>
      </c>
      <c r="B13" s="43">
        <f>A13*2*PI()</f>
        <v>0</v>
      </c>
      <c r="C13" s="10">
        <f t="shared" ref="C13:C76" si="0">((semiejeMayorTierra*(1-(excentricidadTierra^2)))^-1)*(1+excentricidadTierra*COS(Φ))</f>
        <v>6.7981696749761629E-12</v>
      </c>
      <c r="D13" s="10">
        <f t="shared" ref="D13:D76" si="1">1/u0Tierra</f>
        <v>147098417340.32718</v>
      </c>
      <c r="E13" s="10">
        <f t="shared" ref="E13:E76" si="2">r0Tierra*COS(Φ)</f>
        <v>147098417340.32718</v>
      </c>
      <c r="F13" s="28">
        <f t="shared" ref="F13:F76" si="3">r0Tierra*SIN(Φ)</f>
        <v>0</v>
      </c>
      <c r="G13" s="12">
        <f t="shared" ref="G13:G76" si="4">Φ*relaciónOrbitas</f>
        <v>0</v>
      </c>
      <c r="H13" s="11">
        <f t="shared" ref="H13:H76" si="5">((semiejeMayorMercurio*(1-(excentricidadMercurio^2)))^-1)*(1+excentricidadMercurio*COS(ΦMercurio))</f>
        <v>2.1738634866903794E-11</v>
      </c>
      <c r="I13" s="11">
        <f t="shared" ref="I13:I76" si="6">1/u0Mercurio</f>
        <v>46001048645.536621</v>
      </c>
      <c r="J13" s="11">
        <f t="shared" ref="J13:J76" si="7">r0Mercurio*COS(ΦMercurio)</f>
        <v>46001048645.536621</v>
      </c>
      <c r="K13" s="13">
        <f t="shared" ref="K13:K76" si="8">r0Mercurio*SIN(ΦMercurio)</f>
        <v>0</v>
      </c>
      <c r="L13" s="12">
        <f t="shared" ref="L13:L76" si="9">ΦMercurio*(1-(simulaciónÁngulo*((3/2)*rsSol*((semiejeMayorMercurio*(1-(excentricidadMercurio^2)))^-1))))</f>
        <v>0</v>
      </c>
      <c r="M13" s="11">
        <f t="shared" ref="M13:M76" si="10">((semiejeMayorMercurio*(1-(excentricidadMercurio^2)))^-1)*(1+excentricidadMercurio*COS(ΦLPMercurio))</f>
        <v>2.1738634866903794E-11</v>
      </c>
      <c r="N13" s="11">
        <f t="shared" ref="N13:N76" si="11">1*simulaciónRadio/uMercurio</f>
        <v>69001572968.304932</v>
      </c>
      <c r="O13" s="11">
        <f>rMercurio*COS(ΦMercurio)</f>
        <v>69001572968.304932</v>
      </c>
      <c r="P13" s="13">
        <f t="shared" ref="P13:P76" si="12">rMercurio*SIN(ΦMercurio)</f>
        <v>0</v>
      </c>
    </row>
    <row r="14" spans="1:16" s="4" customFormat="1" x14ac:dyDescent="0.4">
      <c r="A14" s="14">
        <v>1E-3</v>
      </c>
      <c r="B14" s="44">
        <f t="shared" ref="B14" si="13">A14*2*PI()</f>
        <v>6.2831853071795866E-3</v>
      </c>
      <c r="C14" s="40">
        <f t="shared" si="0"/>
        <v>6.7981674693540445E-12</v>
      </c>
      <c r="D14" s="15">
        <f t="shared" si="1"/>
        <v>147098465065.47141</v>
      </c>
      <c r="E14" s="15">
        <f t="shared" si="2"/>
        <v>147095561467.70746</v>
      </c>
      <c r="F14" s="29">
        <f t="shared" si="3"/>
        <v>924240833.11910081</v>
      </c>
      <c r="G14" s="17">
        <f t="shared" si="4"/>
        <v>2.6087785395409645E-2</v>
      </c>
      <c r="H14" s="16">
        <f t="shared" si="5"/>
        <v>2.1737373228543744E-11</v>
      </c>
      <c r="I14" s="16">
        <f t="shared" si="6"/>
        <v>46003718548.97728</v>
      </c>
      <c r="J14" s="16">
        <f t="shared" si="7"/>
        <v>45988065002.84021</v>
      </c>
      <c r="K14" s="18">
        <f t="shared" si="8"/>
        <v>1199999011.691004</v>
      </c>
      <c r="L14" s="17">
        <f t="shared" si="9"/>
        <v>2.400403943621501E-2</v>
      </c>
      <c r="M14" s="16">
        <f t="shared" si="10"/>
        <v>2.1737566715293256E-11</v>
      </c>
      <c r="N14" s="16">
        <f t="shared" si="11"/>
        <v>69004963602.696594</v>
      </c>
      <c r="O14" s="16">
        <f t="shared" ref="O14:O77" si="14">rMercurio*COS(ΦMercurio)</f>
        <v>68981483492.490036</v>
      </c>
      <c r="P14" s="18">
        <f t="shared" si="12"/>
        <v>1799982495.6943724</v>
      </c>
    </row>
    <row r="15" spans="1:16" s="4" customFormat="1" x14ac:dyDescent="0.4">
      <c r="A15" s="14">
        <v>2E-3</v>
      </c>
      <c r="B15" s="44">
        <f t="shared" ref="B15:B78" si="15">A15*2*PI()</f>
        <v>1.2566370614359173E-2</v>
      </c>
      <c r="C15" s="40">
        <f t="shared" si="0"/>
        <v>6.7981608525747651E-12</v>
      </c>
      <c r="D15" s="15">
        <f t="shared" si="1"/>
        <v>147098608239.20569</v>
      </c>
      <c r="E15" s="15">
        <f t="shared" si="2"/>
        <v>147086993951.47461</v>
      </c>
      <c r="F15" s="29">
        <f t="shared" si="3"/>
        <v>1848446977.9195192</v>
      </c>
      <c r="G15" s="17">
        <f t="shared" si="4"/>
        <v>5.217557079081929E-2</v>
      </c>
      <c r="H15" s="16">
        <f t="shared" si="5"/>
        <v>2.1733589172051321E-11</v>
      </c>
      <c r="I15" s="16">
        <f t="shared" si="6"/>
        <v>46011728301.460991</v>
      </c>
      <c r="J15" s="16">
        <f t="shared" si="7"/>
        <v>45949113869.720078</v>
      </c>
      <c r="K15" s="18">
        <f t="shared" si="8"/>
        <v>2399599107.1351733</v>
      </c>
      <c r="L15" s="17">
        <f t="shared" si="9"/>
        <v>4.800807887243002E-2</v>
      </c>
      <c r="M15" s="16">
        <f t="shared" si="10"/>
        <v>2.1734362875894526E-11</v>
      </c>
      <c r="N15" s="16">
        <f t="shared" si="11"/>
        <v>69015135551.253845</v>
      </c>
      <c r="O15" s="16">
        <f t="shared" si="14"/>
        <v>68921217247.08255</v>
      </c>
      <c r="P15" s="18">
        <f t="shared" si="12"/>
        <v>3599270528.6478705</v>
      </c>
    </row>
    <row r="16" spans="1:16" s="4" customFormat="1" x14ac:dyDescent="0.4">
      <c r="A16" s="14">
        <v>3.0000000000000001E-3</v>
      </c>
      <c r="B16" s="44">
        <f t="shared" si="15"/>
        <v>1.8849555921538759E-2</v>
      </c>
      <c r="C16" s="40">
        <f t="shared" si="0"/>
        <v>6.7981498248995444E-12</v>
      </c>
      <c r="D16" s="15">
        <f t="shared" si="1"/>
        <v>147098846856.43521</v>
      </c>
      <c r="E16" s="15">
        <f t="shared" si="2"/>
        <v>147072715096.50543</v>
      </c>
      <c r="F16" s="29">
        <f t="shared" si="3"/>
        <v>2772583747.1795783</v>
      </c>
      <c r="G16" s="17">
        <f t="shared" si="4"/>
        <v>7.8263356186228927E-2</v>
      </c>
      <c r="H16" s="16">
        <f t="shared" si="5"/>
        <v>2.1727285272605441E-11</v>
      </c>
      <c r="I16" s="16">
        <f t="shared" si="6"/>
        <v>46025078027.618881</v>
      </c>
      <c r="J16" s="16">
        <f t="shared" si="7"/>
        <v>45884194640.099609</v>
      </c>
      <c r="K16" s="18">
        <f t="shared" si="8"/>
        <v>3598400989.031198</v>
      </c>
      <c r="L16" s="17">
        <f t="shared" si="9"/>
        <v>7.2012118308645026E-2</v>
      </c>
      <c r="M16" s="16">
        <f t="shared" si="10"/>
        <v>2.172902519465172E-11</v>
      </c>
      <c r="N16" s="16">
        <f t="shared" si="11"/>
        <v>69032088948.435791</v>
      </c>
      <c r="O16" s="16">
        <f t="shared" si="14"/>
        <v>68820780788.724442</v>
      </c>
      <c r="P16" s="18">
        <f t="shared" si="12"/>
        <v>5397169277.9722652</v>
      </c>
    </row>
    <row r="17" spans="1:16" s="4" customFormat="1" x14ac:dyDescent="0.4">
      <c r="A17" s="14">
        <v>4.0000000000000001E-3</v>
      </c>
      <c r="B17" s="44">
        <f t="shared" si="15"/>
        <v>2.5132741228718346E-2</v>
      </c>
      <c r="C17" s="40">
        <f t="shared" si="0"/>
        <v>6.7981343867637361E-12</v>
      </c>
      <c r="D17" s="15">
        <f t="shared" si="1"/>
        <v>147099180908.66864</v>
      </c>
      <c r="E17" s="15">
        <f t="shared" si="2"/>
        <v>147052725410.91989</v>
      </c>
      <c r="F17" s="29">
        <f t="shared" si="3"/>
        <v>3696616455.8716092</v>
      </c>
      <c r="G17" s="17">
        <f t="shared" si="4"/>
        <v>0.10435114158163858</v>
      </c>
      <c r="H17" s="16">
        <f t="shared" si="5"/>
        <v>2.1718465820223684E-11</v>
      </c>
      <c r="I17" s="16">
        <f t="shared" si="6"/>
        <v>46043767928.986282</v>
      </c>
      <c r="J17" s="16">
        <f t="shared" si="7"/>
        <v>45793306333.919876</v>
      </c>
      <c r="K17" s="18">
        <f t="shared" si="8"/>
        <v>4796004598.2170477</v>
      </c>
      <c r="L17" s="17">
        <f t="shared" si="9"/>
        <v>9.601615774486004E-2</v>
      </c>
      <c r="M17" s="16">
        <f t="shared" si="10"/>
        <v>2.1721556746956585E-11</v>
      </c>
      <c r="N17" s="16">
        <f t="shared" si="11"/>
        <v>69055824012.713333</v>
      </c>
      <c r="O17" s="16">
        <f t="shared" si="14"/>
        <v>68680185080.262703</v>
      </c>
      <c r="P17" s="18">
        <f t="shared" si="12"/>
        <v>7192983206.9660511</v>
      </c>
    </row>
    <row r="18" spans="1:16" s="4" customFormat="1" x14ac:dyDescent="0.4">
      <c r="A18" s="14">
        <v>5.0000000000000001E-3</v>
      </c>
      <c r="B18" s="44">
        <f t="shared" si="15"/>
        <v>3.1415926535897934E-2</v>
      </c>
      <c r="C18" s="40">
        <f t="shared" si="0"/>
        <v>6.7981145387768092E-12</v>
      </c>
      <c r="D18" s="15">
        <f t="shared" si="1"/>
        <v>147099610384.01846</v>
      </c>
      <c r="E18" s="15">
        <f t="shared" si="2"/>
        <v>147027025606.06955</v>
      </c>
      <c r="F18" s="29">
        <f t="shared" si="3"/>
        <v>4620510422.2589426</v>
      </c>
      <c r="G18" s="17">
        <f t="shared" si="4"/>
        <v>0.13043892697704823</v>
      </c>
      <c r="H18" s="16">
        <f t="shared" si="5"/>
        <v>2.1707136816842822E-11</v>
      </c>
      <c r="I18" s="16">
        <f t="shared" si="6"/>
        <v>46067798274.71711</v>
      </c>
      <c r="J18" s="16">
        <f t="shared" si="7"/>
        <v>45676447642.295143</v>
      </c>
      <c r="K18" s="18">
        <f t="shared" si="8"/>
        <v>5992008733.3630724</v>
      </c>
      <c r="L18" s="17">
        <f t="shared" si="9"/>
        <v>0.12002019718107507</v>
      </c>
      <c r="M18" s="16">
        <f t="shared" si="10"/>
        <v>2.1711961835876581E-11</v>
      </c>
      <c r="N18" s="16">
        <f t="shared" si="11"/>
        <v>69086341038.119293</v>
      </c>
      <c r="O18" s="16">
        <f t="shared" si="14"/>
        <v>68499445543.445175</v>
      </c>
      <c r="P18" s="18">
        <f t="shared" si="12"/>
        <v>8986015706.4137974</v>
      </c>
    </row>
    <row r="19" spans="1:16" s="4" customFormat="1" x14ac:dyDescent="0.4">
      <c r="A19" s="14">
        <v>6.0000000000000001E-3</v>
      </c>
      <c r="B19" s="44">
        <f t="shared" si="15"/>
        <v>3.7699111843077518E-2</v>
      </c>
      <c r="C19" s="40">
        <f t="shared" si="0"/>
        <v>6.7980902817223291E-12</v>
      </c>
      <c r="D19" s="15">
        <f t="shared" si="1"/>
        <v>147100135267.20111</v>
      </c>
      <c r="E19" s="15">
        <f t="shared" si="2"/>
        <v>146995616596.52072</v>
      </c>
      <c r="F19" s="29">
        <f t="shared" si="3"/>
        <v>5544230968.9928904</v>
      </c>
      <c r="G19" s="17">
        <f t="shared" si="4"/>
        <v>0.15652671237245785</v>
      </c>
      <c r="H19" s="16">
        <f t="shared" si="5"/>
        <v>2.1693305972234261E-11</v>
      </c>
      <c r="I19" s="16">
        <f t="shared" si="6"/>
        <v>46097169388.56263</v>
      </c>
      <c r="J19" s="16">
        <f t="shared" si="7"/>
        <v>45533616990.834961</v>
      </c>
      <c r="K19" s="18">
        <f t="shared" si="8"/>
        <v>7186010671.4213638</v>
      </c>
      <c r="L19" s="17">
        <f t="shared" si="9"/>
        <v>0.14402423661729005</v>
      </c>
      <c r="M19" s="16">
        <f t="shared" si="10"/>
        <v>2.1700245989675564E-11</v>
      </c>
      <c r="N19" s="16">
        <f t="shared" si="11"/>
        <v>69123640382.402237</v>
      </c>
      <c r="O19" s="16">
        <f t="shared" si="14"/>
        <v>68278582132.755493</v>
      </c>
      <c r="P19" s="18">
        <f t="shared" si="12"/>
        <v>10775568739.339542</v>
      </c>
    </row>
    <row r="20" spans="1:16" s="4" customFormat="1" x14ac:dyDescent="0.4">
      <c r="A20" s="14">
        <v>7.0000000000000001E-3</v>
      </c>
      <c r="B20" s="44">
        <f t="shared" si="15"/>
        <v>4.3982297150257102E-2</v>
      </c>
      <c r="C20" s="40">
        <f t="shared" si="0"/>
        <v>6.7980616165579247E-12</v>
      </c>
      <c r="D20" s="15">
        <f t="shared" si="1"/>
        <v>147100755539.53745</v>
      </c>
      <c r="E20" s="15">
        <f t="shared" si="2"/>
        <v>146958499500.03351</v>
      </c>
      <c r="F20" s="29">
        <f t="shared" si="3"/>
        <v>6467743424.2097034</v>
      </c>
      <c r="G20" s="17">
        <f t="shared" si="4"/>
        <v>0.18261449776786751</v>
      </c>
      <c r="H20" s="16">
        <f t="shared" si="5"/>
        <v>2.1676982698757306E-11</v>
      </c>
      <c r="I20" s="16">
        <f t="shared" si="6"/>
        <v>46131881632.093002</v>
      </c>
      <c r="J20" s="16">
        <f t="shared" si="7"/>
        <v>45364812621.236832</v>
      </c>
      <c r="K20" s="18">
        <f t="shared" si="8"/>
        <v>8377605789.0969582</v>
      </c>
      <c r="L20" s="17">
        <f t="shared" si="9"/>
        <v>0.16802827605350507</v>
      </c>
      <c r="M20" s="16">
        <f t="shared" si="10"/>
        <v>2.1686415958628633E-11</v>
      </c>
      <c r="N20" s="16">
        <f t="shared" si="11"/>
        <v>69167722451.767197</v>
      </c>
      <c r="O20" s="16">
        <f t="shared" si="14"/>
        <v>68017619430.447105</v>
      </c>
      <c r="P20" s="18">
        <f t="shared" si="12"/>
        <v>12560942487.710238</v>
      </c>
    </row>
    <row r="21" spans="1:16" s="4" customFormat="1" x14ac:dyDescent="0.4">
      <c r="A21" s="14">
        <v>8.0000000000000002E-3</v>
      </c>
      <c r="B21" s="44">
        <f t="shared" si="15"/>
        <v>5.0265482457436693E-2</v>
      </c>
      <c r="C21" s="40">
        <f t="shared" si="0"/>
        <v>6.7980285444152459E-12</v>
      </c>
      <c r="D21" s="15">
        <f t="shared" si="1"/>
        <v>147101471178.95313</v>
      </c>
      <c r="E21" s="15">
        <f t="shared" si="2"/>
        <v>146915675637.53543</v>
      </c>
      <c r="F21" s="29">
        <f t="shared" si="3"/>
        <v>7391013122.6275215</v>
      </c>
      <c r="G21" s="17">
        <f t="shared" si="4"/>
        <v>0.20870228316327716</v>
      </c>
      <c r="H21" s="16">
        <f t="shared" si="5"/>
        <v>2.1658178104953727E-11</v>
      </c>
      <c r="I21" s="16">
        <f t="shared" si="6"/>
        <v>46171935384.134499</v>
      </c>
      <c r="J21" s="16">
        <f t="shared" si="7"/>
        <v>45170032691.282539</v>
      </c>
      <c r="K21" s="18">
        <f t="shared" si="8"/>
        <v>9566387185.6180916</v>
      </c>
      <c r="L21" s="17">
        <f t="shared" si="9"/>
        <v>0.19203231548972008</v>
      </c>
      <c r="M21" s="16">
        <f t="shared" si="10"/>
        <v>2.1670479711132824E-11</v>
      </c>
      <c r="N21" s="16">
        <f t="shared" si="11"/>
        <v>69218587682.182297</v>
      </c>
      <c r="O21" s="16">
        <f t="shared" si="14"/>
        <v>67716586762.85289</v>
      </c>
      <c r="P21" s="18">
        <f t="shared" si="12"/>
        <v>14341435001.595037</v>
      </c>
    </row>
    <row r="22" spans="1:16" s="4" customFormat="1" x14ac:dyDescent="0.4">
      <c r="A22" s="14">
        <v>8.9999999999999993E-3</v>
      </c>
      <c r="B22" s="44">
        <f t="shared" si="15"/>
        <v>5.654866776461627E-2</v>
      </c>
      <c r="C22" s="40">
        <f t="shared" si="0"/>
        <v>6.7979910665999239E-12</v>
      </c>
      <c r="D22" s="15">
        <f t="shared" si="1"/>
        <v>147102282159.97922</v>
      </c>
      <c r="E22" s="15">
        <f t="shared" si="2"/>
        <v>146867146533.09106</v>
      </c>
      <c r="F22" s="29">
        <f t="shared" si="3"/>
        <v>8314005406.6432858</v>
      </c>
      <c r="G22" s="17">
        <f t="shared" si="4"/>
        <v>0.23479006855868675</v>
      </c>
      <c r="H22" s="16">
        <f t="shared" si="5"/>
        <v>2.1636904987988018E-11</v>
      </c>
      <c r="I22" s="16">
        <f t="shared" si="6"/>
        <v>46217331016.388977</v>
      </c>
      <c r="J22" s="16">
        <f t="shared" si="7"/>
        <v>44949275393.399391</v>
      </c>
      <c r="K22" s="18">
        <f t="shared" si="8"/>
        <v>10751945307.097237</v>
      </c>
      <c r="L22" s="17">
        <f t="shared" si="9"/>
        <v>0.21603635492593506</v>
      </c>
      <c r="M22" s="16">
        <f t="shared" si="10"/>
        <v>2.165244642911598E-11</v>
      </c>
      <c r="N22" s="16">
        <f t="shared" si="11"/>
        <v>69276236517.225815</v>
      </c>
      <c r="O22" s="16">
        <f t="shared" si="14"/>
        <v>67375518338.063248</v>
      </c>
      <c r="P22" s="18">
        <f t="shared" si="12"/>
        <v>16116341851.298466</v>
      </c>
    </row>
    <row r="23" spans="1:16" s="4" customFormat="1" x14ac:dyDescent="0.4">
      <c r="A23" s="14">
        <v>0.01</v>
      </c>
      <c r="B23" s="44">
        <f t="shared" si="15"/>
        <v>6.2831853071795868E-2</v>
      </c>
      <c r="C23" s="40">
        <f t="shared" si="0"/>
        <v>6.7979491845915207E-12</v>
      </c>
      <c r="D23" s="15">
        <f t="shared" si="1"/>
        <v>147103188453.75256</v>
      </c>
      <c r="E23" s="15">
        <f t="shared" si="2"/>
        <v>146812913913.86615</v>
      </c>
      <c r="F23" s="29">
        <f t="shared" si="3"/>
        <v>9236685627.429615</v>
      </c>
      <c r="G23" s="17">
        <f t="shared" si="4"/>
        <v>0.26087785395409646</v>
      </c>
      <c r="H23" s="16">
        <f t="shared" si="5"/>
        <v>2.1613177824938477E-11</v>
      </c>
      <c r="I23" s="16">
        <f t="shared" si="6"/>
        <v>46268068865.196899</v>
      </c>
      <c r="J23" s="16">
        <f t="shared" si="7"/>
        <v>44702539091.976196</v>
      </c>
      <c r="K23" s="18">
        <f t="shared" si="8"/>
        <v>11933867572.792257</v>
      </c>
      <c r="L23" s="17">
        <f t="shared" si="9"/>
        <v>0.24004039436215013</v>
      </c>
      <c r="M23" s="16">
        <f t="shared" si="10"/>
        <v>2.1632326502746452E-11</v>
      </c>
      <c r="N23" s="16">
        <f t="shared" si="11"/>
        <v>69340669382.442947</v>
      </c>
      <c r="O23" s="16">
        <f t="shared" si="14"/>
        <v>66994453405.079712</v>
      </c>
      <c r="P23" s="18">
        <f t="shared" si="12"/>
        <v>17884955782.999985</v>
      </c>
    </row>
    <row r="24" spans="1:16" s="4" customFormat="1" x14ac:dyDescent="0.4">
      <c r="A24" s="14">
        <v>1.0999999999999999E-2</v>
      </c>
      <c r="B24" s="44">
        <f t="shared" si="15"/>
        <v>6.9115038378975438E-2</v>
      </c>
      <c r="C24" s="40">
        <f t="shared" si="0"/>
        <v>6.7979029000434637E-12</v>
      </c>
      <c r="D24" s="15">
        <f t="shared" si="1"/>
        <v>147104190028.01678</v>
      </c>
      <c r="E24" s="15">
        <f t="shared" si="2"/>
        <v>146752979710.08777</v>
      </c>
      <c r="F24" s="29">
        <f t="shared" si="3"/>
        <v>10159019146.031673</v>
      </c>
      <c r="G24" s="17">
        <f t="shared" si="4"/>
        <v>0.28696563934950603</v>
      </c>
      <c r="H24" s="16">
        <f t="shared" si="5"/>
        <v>2.1587012762945088E-11</v>
      </c>
      <c r="I24" s="16">
        <f t="shared" si="6"/>
        <v>46324149199.399063</v>
      </c>
      <c r="J24" s="16">
        <f t="shared" si="7"/>
        <v>44429822479.64994</v>
      </c>
      <c r="K24" s="18">
        <f t="shared" si="8"/>
        <v>13111738003.597282</v>
      </c>
      <c r="L24" s="17">
        <f t="shared" si="9"/>
        <v>0.26404443379836506</v>
      </c>
      <c r="M24" s="16">
        <f t="shared" si="10"/>
        <v>2.1610131524446633E-11</v>
      </c>
      <c r="N24" s="16">
        <f t="shared" si="11"/>
        <v>69411886656.178513</v>
      </c>
      <c r="O24" s="16">
        <f t="shared" si="14"/>
        <v>66573436434.567055</v>
      </c>
      <c r="P24" s="18">
        <f t="shared" si="12"/>
        <v>19646566378.449738</v>
      </c>
    </row>
    <row r="25" spans="1:16" s="4" customFormat="1" x14ac:dyDescent="0.4">
      <c r="A25" s="14">
        <v>1.2E-2</v>
      </c>
      <c r="B25" s="44">
        <f t="shared" si="15"/>
        <v>7.5398223686155036E-2</v>
      </c>
      <c r="C25" s="40">
        <f t="shared" si="0"/>
        <v>6.7978522147829892E-12</v>
      </c>
      <c r="D25" s="15">
        <f t="shared" si="1"/>
        <v>147105286847.12271</v>
      </c>
      <c r="E25" s="15">
        <f t="shared" si="2"/>
        <v>146687346054.99902</v>
      </c>
      <c r="F25" s="29">
        <f t="shared" si="3"/>
        <v>11080971334.463972</v>
      </c>
      <c r="G25" s="17">
        <f t="shared" si="4"/>
        <v>0.31305342474491571</v>
      </c>
      <c r="H25" s="16">
        <f t="shared" si="5"/>
        <v>2.1558427608220829E-11</v>
      </c>
      <c r="I25" s="16">
        <f t="shared" si="6"/>
        <v>46385572184.247429</v>
      </c>
      <c r="J25" s="16">
        <f t="shared" si="7"/>
        <v>44131124752.806305</v>
      </c>
      <c r="K25" s="18">
        <f t="shared" si="8"/>
        <v>14285136853.116795</v>
      </c>
      <c r="L25" s="17">
        <f t="shared" si="9"/>
        <v>0.2880484732345801</v>
      </c>
      <c r="M25" s="16">
        <f t="shared" si="10"/>
        <v>2.1585874282213784E-11</v>
      </c>
      <c r="N25" s="16">
        <f t="shared" si="11"/>
        <v>69489888636.846283</v>
      </c>
      <c r="O25" s="16">
        <f t="shared" si="14"/>
        <v>66112517321.339043</v>
      </c>
      <c r="P25" s="18">
        <f t="shared" si="12"/>
        <v>21400459719.289764</v>
      </c>
    </row>
    <row r="26" spans="1:16" s="4" customFormat="1" x14ac:dyDescent="0.4">
      <c r="A26" s="14">
        <v>1.2999999999999999E-2</v>
      </c>
      <c r="B26" s="44">
        <f t="shared" si="15"/>
        <v>8.168140899333462E-2</v>
      </c>
      <c r="C26" s="40">
        <f t="shared" si="0"/>
        <v>6.7977971308110641E-12</v>
      </c>
      <c r="D26" s="15">
        <f t="shared" si="1"/>
        <v>147106478872.02942</v>
      </c>
      <c r="E26" s="15">
        <f t="shared" si="2"/>
        <v>146616015284.8096</v>
      </c>
      <c r="F26" s="29">
        <f t="shared" si="3"/>
        <v>12002507576.807127</v>
      </c>
      <c r="G26" s="17">
        <f t="shared" si="4"/>
        <v>0.33914121014032533</v>
      </c>
      <c r="H26" s="16">
        <f t="shared" si="5"/>
        <v>2.1527441813933934E-11</v>
      </c>
      <c r="I26" s="16">
        <f t="shared" si="6"/>
        <v>46452337841.309883</v>
      </c>
      <c r="J26" s="16">
        <f t="shared" si="7"/>
        <v>43806445806.561615</v>
      </c>
      <c r="K26" s="18">
        <f t="shared" si="8"/>
        <v>15453640241.702604</v>
      </c>
      <c r="L26" s="17">
        <f t="shared" si="9"/>
        <v>0.31205251267079509</v>
      </c>
      <c r="M26" s="16">
        <f t="shared" si="10"/>
        <v>2.1559568752252037E-11</v>
      </c>
      <c r="N26" s="16">
        <f t="shared" si="11"/>
        <v>69574675506.592178</v>
      </c>
      <c r="O26" s="16">
        <f t="shared" si="14"/>
        <v>65611751608.725845</v>
      </c>
      <c r="P26" s="18">
        <f t="shared" si="12"/>
        <v>23145918056.591724</v>
      </c>
    </row>
    <row r="27" spans="1:16" s="4" customFormat="1" x14ac:dyDescent="0.4">
      <c r="A27" s="14">
        <v>1.4E-2</v>
      </c>
      <c r="B27" s="44">
        <f t="shared" si="15"/>
        <v>8.7964594300514204E-2</v>
      </c>
      <c r="C27" s="40">
        <f t="shared" si="0"/>
        <v>6.7977376503023098E-12</v>
      </c>
      <c r="D27" s="15">
        <f t="shared" si="1"/>
        <v>147107766060.30505</v>
      </c>
      <c r="E27" s="15">
        <f t="shared" si="2"/>
        <v>146538989938.64117</v>
      </c>
      <c r="F27" s="29">
        <f t="shared" si="3"/>
        <v>12923593270.304604</v>
      </c>
      <c r="G27" s="17">
        <f t="shared" si="4"/>
        <v>0.36522899553573501</v>
      </c>
      <c r="H27" s="16">
        <f t="shared" si="5"/>
        <v>2.1494076466969375E-11</v>
      </c>
      <c r="I27" s="16">
        <f t="shared" si="6"/>
        <v>46524446004.308746</v>
      </c>
      <c r="J27" s="16">
        <f t="shared" si="7"/>
        <v>43455786449.517998</v>
      </c>
      <c r="K27" s="18">
        <f t="shared" si="8"/>
        <v>16616819793.863321</v>
      </c>
      <c r="L27" s="17">
        <f t="shared" si="9"/>
        <v>0.33605655210701013</v>
      </c>
      <c r="M27" s="16">
        <f t="shared" si="10"/>
        <v>2.1531230090919759E-11</v>
      </c>
      <c r="N27" s="16">
        <f t="shared" si="11"/>
        <v>69666247291.30484</v>
      </c>
      <c r="O27" s="16">
        <f t="shared" si="14"/>
        <v>65071200734.983063</v>
      </c>
      <c r="P27" s="18">
        <f t="shared" si="12"/>
        <v>24882219486.227093</v>
      </c>
    </row>
    <row r="28" spans="1:16" s="4" customFormat="1" x14ac:dyDescent="0.4">
      <c r="A28" s="14">
        <v>1.4999999999999999E-2</v>
      </c>
      <c r="B28" s="44">
        <f t="shared" si="15"/>
        <v>9.4247779607693788E-2</v>
      </c>
      <c r="C28" s="40">
        <f t="shared" si="0"/>
        <v>6.7976737756049128E-12</v>
      </c>
      <c r="D28" s="15">
        <f t="shared" si="1"/>
        <v>147109148366.1279</v>
      </c>
      <c r="E28" s="15">
        <f t="shared" si="2"/>
        <v>146456272758.46826</v>
      </c>
      <c r="F28" s="29">
        <f t="shared" si="3"/>
        <v>13844193826.459372</v>
      </c>
      <c r="G28" s="17">
        <f t="shared" si="4"/>
        <v>0.39131678093114464</v>
      </c>
      <c r="H28" s="16">
        <f t="shared" si="5"/>
        <v>2.1458354273578487E-11</v>
      </c>
      <c r="I28" s="16">
        <f t="shared" si="6"/>
        <v>46601896270.828773</v>
      </c>
      <c r="J28" s="16">
        <f t="shared" si="7"/>
        <v>43079148638.606163</v>
      </c>
      <c r="K28" s="18">
        <f t="shared" si="8"/>
        <v>17774242279.488644</v>
      </c>
      <c r="L28" s="17">
        <f t="shared" si="9"/>
        <v>0.36006059154322512</v>
      </c>
      <c r="M28" s="16">
        <f t="shared" si="10"/>
        <v>2.1500874625996985E-11</v>
      </c>
      <c r="N28" s="16">
        <f t="shared" si="11"/>
        <v>69764603816.92244</v>
      </c>
      <c r="O28" s="16">
        <f t="shared" si="14"/>
        <v>64490932301.910477</v>
      </c>
      <c r="P28" s="18">
        <f t="shared" si="12"/>
        <v>26608637630.712128</v>
      </c>
    </row>
    <row r="29" spans="1:16" s="4" customFormat="1" x14ac:dyDescent="0.4">
      <c r="A29" s="14">
        <v>1.6E-2</v>
      </c>
      <c r="B29" s="44">
        <f t="shared" si="15"/>
        <v>0.10053096491487339</v>
      </c>
      <c r="C29" s="40">
        <f t="shared" si="0"/>
        <v>6.7976055092405412E-12</v>
      </c>
      <c r="D29" s="15">
        <f t="shared" si="1"/>
        <v>147110625740.28726</v>
      </c>
      <c r="E29" s="15">
        <f t="shared" si="2"/>
        <v>146367866689.05426</v>
      </c>
      <c r="F29" s="29">
        <f t="shared" si="3"/>
        <v>14764274672.130505</v>
      </c>
      <c r="G29" s="17">
        <f t="shared" si="4"/>
        <v>0.41740456632655432</v>
      </c>
      <c r="H29" s="16">
        <f t="shared" si="5"/>
        <v>2.1420299543926635E-11</v>
      </c>
      <c r="I29" s="16">
        <f t="shared" si="6"/>
        <v>46684687949.825294</v>
      </c>
      <c r="J29" s="16">
        <f t="shared" si="7"/>
        <v>42676535734.350914</v>
      </c>
      <c r="K29" s="18">
        <f t="shared" si="8"/>
        <v>18925469259.366669</v>
      </c>
      <c r="L29" s="17">
        <f t="shared" si="9"/>
        <v>0.38406463097944016</v>
      </c>
      <c r="M29" s="16">
        <f t="shared" si="10"/>
        <v>2.1468519847277905E-11</v>
      </c>
      <c r="N29" s="16">
        <f t="shared" si="11"/>
        <v>69869744661.981995</v>
      </c>
      <c r="O29" s="16">
        <f t="shared" si="14"/>
        <v>63871020365.858681</v>
      </c>
      <c r="P29" s="18">
        <f t="shared" si="12"/>
        <v>28324441328.199711</v>
      </c>
    </row>
    <row r="30" spans="1:16" s="4" customFormat="1" x14ac:dyDescent="0.4">
      <c r="A30" s="14">
        <v>1.7000000000000001E-2</v>
      </c>
      <c r="B30" s="44">
        <f t="shared" si="15"/>
        <v>0.10681415022205297</v>
      </c>
      <c r="C30" s="40">
        <f t="shared" si="0"/>
        <v>6.7975328539042287E-12</v>
      </c>
      <c r="D30" s="15">
        <f t="shared" si="1"/>
        <v>147112198130.18488</v>
      </c>
      <c r="E30" s="15">
        <f t="shared" si="2"/>
        <v>146273774877.88272</v>
      </c>
      <c r="F30" s="29">
        <f t="shared" si="3"/>
        <v>15683801250.629742</v>
      </c>
      <c r="G30" s="17">
        <f t="shared" si="4"/>
        <v>0.44349235172196394</v>
      </c>
      <c r="H30" s="16">
        <f t="shared" si="5"/>
        <v>2.1379938175549273E-11</v>
      </c>
      <c r="I30" s="16">
        <f t="shared" si="6"/>
        <v>46772820004.859955</v>
      </c>
      <c r="J30" s="16">
        <f t="shared" si="7"/>
        <v>42247952776.914154</v>
      </c>
      <c r="K30" s="18">
        <f t="shared" si="8"/>
        <v>20070056735.511719</v>
      </c>
      <c r="L30" s="17">
        <f t="shared" si="9"/>
        <v>0.40806867041565514</v>
      </c>
      <c r="M30" s="16">
        <f t="shared" si="10"/>
        <v>2.1434184396493823E-11</v>
      </c>
      <c r="N30" s="16">
        <f t="shared" si="11"/>
        <v>69981669106.353683</v>
      </c>
      <c r="O30" s="16">
        <f t="shared" si="14"/>
        <v>63211545751.307213</v>
      </c>
      <c r="P30" s="18">
        <f t="shared" si="12"/>
        <v>30028894329.321751</v>
      </c>
    </row>
    <row r="31" spans="1:16" s="4" customFormat="1" x14ac:dyDescent="0.4">
      <c r="A31" s="14">
        <v>1.7999999999999999E-2</v>
      </c>
      <c r="B31" s="44">
        <f t="shared" si="15"/>
        <v>0.11309733552923254</v>
      </c>
      <c r="C31" s="40">
        <f t="shared" si="0"/>
        <v>6.7974558124642887E-12</v>
      </c>
      <c r="D31" s="15">
        <f t="shared" si="1"/>
        <v>147113865479.83591</v>
      </c>
      <c r="E31" s="15">
        <f t="shared" si="2"/>
        <v>146174000675.08398</v>
      </c>
      <c r="F31" s="29">
        <f t="shared" si="3"/>
        <v>16602739022.81797</v>
      </c>
      <c r="G31" s="17">
        <f t="shared" si="4"/>
        <v>0.46958013711737351</v>
      </c>
      <c r="H31" s="16">
        <f t="shared" si="5"/>
        <v>2.1337297635727832E-11</v>
      </c>
      <c r="I31" s="16">
        <f t="shared" si="6"/>
        <v>46866290992.987274</v>
      </c>
      <c r="J31" s="16">
        <f t="shared" si="7"/>
        <v>41793406783.28685</v>
      </c>
      <c r="K31" s="18">
        <f t="shared" si="8"/>
        <v>21207554806.862419</v>
      </c>
      <c r="L31" s="17">
        <f t="shared" si="9"/>
        <v>0.43207270985187013</v>
      </c>
      <c r="M31" s="16">
        <f t="shared" si="10"/>
        <v>2.1397888056572418E-11</v>
      </c>
      <c r="N31" s="16">
        <f t="shared" si="11"/>
        <v>70100376076.099304</v>
      </c>
      <c r="O31" s="16">
        <f t="shared" si="14"/>
        <v>62512596387.202721</v>
      </c>
      <c r="P31" s="18">
        <f t="shared" si="12"/>
        <v>31721255002.620018</v>
      </c>
    </row>
    <row r="32" spans="1:16" s="4" customFormat="1" x14ac:dyDescent="0.4">
      <c r="A32" s="14">
        <v>1.9E-2</v>
      </c>
      <c r="B32" s="44">
        <f t="shared" si="15"/>
        <v>0.11938052083641214</v>
      </c>
      <c r="C32" s="40">
        <f t="shared" si="0"/>
        <v>6.797374387962181E-12</v>
      </c>
      <c r="D32" s="15">
        <f t="shared" si="1"/>
        <v>147115627729.87042</v>
      </c>
      <c r="E32" s="15">
        <f t="shared" si="2"/>
        <v>146068547633.35684</v>
      </c>
      <c r="F32" s="29">
        <f t="shared" si="3"/>
        <v>17521053468.201633</v>
      </c>
      <c r="G32" s="17">
        <f t="shared" si="4"/>
        <v>0.49566792251278319</v>
      </c>
      <c r="H32" s="16">
        <f t="shared" si="5"/>
        <v>2.1292406942797283E-11</v>
      </c>
      <c r="I32" s="16">
        <f t="shared" si="6"/>
        <v>46965098999.212784</v>
      </c>
      <c r="J32" s="16">
        <f t="shared" si="7"/>
        <v>41312907066.01709</v>
      </c>
      <c r="K32" s="18">
        <f t="shared" si="8"/>
        <v>22337507330.95554</v>
      </c>
      <c r="L32" s="17">
        <f t="shared" si="9"/>
        <v>0.45607674928808517</v>
      </c>
      <c r="M32" s="16">
        <f t="shared" si="10"/>
        <v>2.1359651740239507E-11</v>
      </c>
      <c r="N32" s="16">
        <f t="shared" si="11"/>
        <v>70225864084.391693</v>
      </c>
      <c r="O32" s="16">
        <f t="shared" si="14"/>
        <v>61774267666.248322</v>
      </c>
      <c r="P32" s="18">
        <f t="shared" si="12"/>
        <v>33400776049.33997</v>
      </c>
    </row>
    <row r="33" spans="1:16" s="4" customFormat="1" x14ac:dyDescent="0.4">
      <c r="A33" s="14">
        <v>0.02</v>
      </c>
      <c r="B33" s="44">
        <f t="shared" si="15"/>
        <v>0.12566370614359174</v>
      </c>
      <c r="C33" s="40">
        <f t="shared" si="0"/>
        <v>6.7972885836124086E-12</v>
      </c>
      <c r="D33" s="15">
        <f t="shared" si="1"/>
        <v>147117484817.53464</v>
      </c>
      <c r="E33" s="15">
        <f t="shared" si="2"/>
        <v>145957419507.88562</v>
      </c>
      <c r="F33" s="29">
        <f t="shared" si="3"/>
        <v>18438710086.029053</v>
      </c>
      <c r="G33" s="17">
        <f t="shared" si="4"/>
        <v>0.52175570790819292</v>
      </c>
      <c r="H33" s="16">
        <f t="shared" si="5"/>
        <v>2.1245296646398186E-11</v>
      </c>
      <c r="I33" s="16">
        <f t="shared" si="6"/>
        <v>47069241566.440292</v>
      </c>
      <c r="J33" s="16">
        <f t="shared" si="7"/>
        <v>40806465573.873611</v>
      </c>
      <c r="K33" s="18">
        <f t="shared" si="8"/>
        <v>23459451592.229919</v>
      </c>
      <c r="L33" s="17">
        <f t="shared" si="9"/>
        <v>0.48008078872430027</v>
      </c>
      <c r="M33" s="16">
        <f t="shared" si="10"/>
        <v>2.1319497477969823E-11</v>
      </c>
      <c r="N33" s="16">
        <f t="shared" si="11"/>
        <v>70358131168.429367</v>
      </c>
      <c r="O33" s="16">
        <f t="shared" si="14"/>
        <v>60996662827.336205</v>
      </c>
      <c r="P33" s="18">
        <f t="shared" si="12"/>
        <v>35066704228.401253</v>
      </c>
    </row>
    <row r="34" spans="1:16" s="4" customFormat="1" x14ac:dyDescent="0.4">
      <c r="A34" s="14">
        <v>2.1000000000000001E-2</v>
      </c>
      <c r="B34" s="44">
        <f t="shared" si="15"/>
        <v>0.13194689145077132</v>
      </c>
      <c r="C34" s="40">
        <f t="shared" si="0"/>
        <v>6.7971984028023789E-12</v>
      </c>
      <c r="D34" s="15">
        <f t="shared" si="1"/>
        <v>147119436676.6925</v>
      </c>
      <c r="E34" s="15">
        <f t="shared" si="2"/>
        <v>145840620256.25232</v>
      </c>
      <c r="F34" s="29">
        <f t="shared" si="3"/>
        <v>19355674396.386688</v>
      </c>
      <c r="G34" s="17">
        <f t="shared" si="4"/>
        <v>0.54784349330360249</v>
      </c>
      <c r="H34" s="16">
        <f t="shared" si="5"/>
        <v>2.1195998806686601E-11</v>
      </c>
      <c r="I34" s="16">
        <f t="shared" si="6"/>
        <v>47178715620.824379</v>
      </c>
      <c r="J34" s="16">
        <f t="shared" si="7"/>
        <v>40274097254.854256</v>
      </c>
      <c r="K34" s="18">
        <f t="shared" si="8"/>
        <v>24572917977.667187</v>
      </c>
      <c r="L34" s="17">
        <f t="shared" si="9"/>
        <v>0.50408482816051514</v>
      </c>
      <c r="M34" s="16">
        <f t="shared" si="10"/>
        <v>2.1277448405293804E-11</v>
      </c>
      <c r="N34" s="16">
        <f t="shared" si="11"/>
        <v>70497174822.278122</v>
      </c>
      <c r="O34" s="16">
        <f t="shared" si="14"/>
        <v>60179893361.31234</v>
      </c>
      <c r="P34" s="18">
        <f t="shared" si="12"/>
        <v>36718280092.399742</v>
      </c>
    </row>
    <row r="35" spans="1:16" s="4" customFormat="1" x14ac:dyDescent="0.4">
      <c r="A35" s="14">
        <v>2.1999999999999999E-2</v>
      </c>
      <c r="B35" s="44">
        <f t="shared" si="15"/>
        <v>0.13823007675795088</v>
      </c>
      <c r="C35" s="40">
        <f t="shared" si="0"/>
        <v>6.7971038490922771E-12</v>
      </c>
      <c r="D35" s="15">
        <f t="shared" si="1"/>
        <v>147121483237.82718</v>
      </c>
      <c r="E35" s="15">
        <f t="shared" si="2"/>
        <v>145718154038.34427</v>
      </c>
      <c r="F35" s="29">
        <f t="shared" si="3"/>
        <v>20271911941.295311</v>
      </c>
      <c r="G35" s="17">
        <f t="shared" si="4"/>
        <v>0.57393127869901206</v>
      </c>
      <c r="H35" s="16">
        <f t="shared" si="5"/>
        <v>2.1144546972516092E-11</v>
      </c>
      <c r="I35" s="16">
        <f t="shared" si="6"/>
        <v>47293517392.442162</v>
      </c>
      <c r="J35" s="16">
        <f t="shared" si="7"/>
        <v>39715820441.955956</v>
      </c>
      <c r="K35" s="18">
        <f t="shared" si="8"/>
        <v>25677429660.531502</v>
      </c>
      <c r="L35" s="17">
        <f t="shared" si="9"/>
        <v>0.52808886759673013</v>
      </c>
      <c r="M35" s="16">
        <f t="shared" si="10"/>
        <v>2.123352874946769E-11</v>
      </c>
      <c r="N35" s="16">
        <f t="shared" si="11"/>
        <v>70642991925.569794</v>
      </c>
      <c r="O35" s="16">
        <f t="shared" si="14"/>
        <v>59324079440.258255</v>
      </c>
      <c r="P35" s="18">
        <f t="shared" si="12"/>
        <v>38354737735.539886</v>
      </c>
    </row>
    <row r="36" spans="1:16" s="4" customFormat="1" x14ac:dyDescent="0.4">
      <c r="A36" s="14">
        <v>2.3E-2</v>
      </c>
      <c r="B36" s="44">
        <f t="shared" si="15"/>
        <v>0.14451326206513049</v>
      </c>
      <c r="C36" s="40">
        <f t="shared" si="0"/>
        <v>6.7970049262149197E-12</v>
      </c>
      <c r="D36" s="15">
        <f t="shared" si="1"/>
        <v>147123624428.04272</v>
      </c>
      <c r="E36" s="15">
        <f t="shared" si="2"/>
        <v>145590025216.25668</v>
      </c>
      <c r="F36" s="29">
        <f t="shared" si="3"/>
        <v>21187388285.806076</v>
      </c>
      <c r="G36" s="17">
        <f t="shared" si="4"/>
        <v>0.60001906409442185</v>
      </c>
      <c r="H36" s="16">
        <f t="shared" si="5"/>
        <v>2.1090976158606573E-11</v>
      </c>
      <c r="I36" s="16">
        <f t="shared" si="6"/>
        <v>47413642331.198174</v>
      </c>
      <c r="J36" s="16">
        <f t="shared" si="7"/>
        <v>39131657262.126404</v>
      </c>
      <c r="K36" s="18">
        <f t="shared" si="8"/>
        <v>26772502293.029266</v>
      </c>
      <c r="L36" s="17">
        <f t="shared" si="9"/>
        <v>0.55209290703294522</v>
      </c>
      <c r="M36" s="16">
        <f t="shared" si="10"/>
        <v>2.1187763815514569E-11</v>
      </c>
      <c r="N36" s="16">
        <f t="shared" si="11"/>
        <v>70795578667.987473</v>
      </c>
      <c r="O36" s="16">
        <f t="shared" si="14"/>
        <v>58429350370.467194</v>
      </c>
      <c r="P36" s="18">
        <f t="shared" si="12"/>
        <v>39975304554.441956</v>
      </c>
    </row>
    <row r="37" spans="1:16" s="4" customFormat="1" x14ac:dyDescent="0.4">
      <c r="A37" s="14">
        <v>2.4E-2</v>
      </c>
      <c r="B37" s="44">
        <f t="shared" si="15"/>
        <v>0.15079644737231007</v>
      </c>
      <c r="C37" s="40">
        <f t="shared" si="0"/>
        <v>6.7969016380756131E-12</v>
      </c>
      <c r="D37" s="15">
        <f t="shared" si="1"/>
        <v>147125860171.0657</v>
      </c>
      <c r="E37" s="15">
        <f t="shared" si="2"/>
        <v>145456238354.19049</v>
      </c>
      <c r="F37" s="29">
        <f t="shared" si="3"/>
        <v>22102069019.096474</v>
      </c>
      <c r="G37" s="17">
        <f t="shared" si="4"/>
        <v>0.62610684948983142</v>
      </c>
      <c r="H37" s="16">
        <f t="shared" si="5"/>
        <v>2.1035322821715618E-11</v>
      </c>
      <c r="I37" s="16">
        <f t="shared" si="6"/>
        <v>47539085017.875717</v>
      </c>
      <c r="J37" s="16">
        <f t="shared" si="7"/>
        <v>38521634068.81794</v>
      </c>
      <c r="K37" s="18">
        <f t="shared" si="8"/>
        <v>27857643708.772293</v>
      </c>
      <c r="L37" s="17">
        <f t="shared" si="9"/>
        <v>0.57609694646916021</v>
      </c>
      <c r="M37" s="16">
        <f t="shared" si="10"/>
        <v>2.1140179971644515E-11</v>
      </c>
      <c r="N37" s="16">
        <f t="shared" si="11"/>
        <v>70954930469.464386</v>
      </c>
      <c r="O37" s="16">
        <f t="shared" si="14"/>
        <v>57495845069.280319</v>
      </c>
      <c r="P37" s="18">
        <f t="shared" si="12"/>
        <v>41579201022.817162</v>
      </c>
    </row>
    <row r="38" spans="1:16" s="4" customFormat="1" x14ac:dyDescent="0.4">
      <c r="A38" s="14">
        <v>2.5000000000000001E-2</v>
      </c>
      <c r="B38" s="44">
        <f t="shared" si="15"/>
        <v>0.15707963267948966</v>
      </c>
      <c r="C38" s="40">
        <f t="shared" si="0"/>
        <v>6.7967939887519973E-12</v>
      </c>
      <c r="D38" s="15">
        <f t="shared" si="1"/>
        <v>147128190387.24704</v>
      </c>
      <c r="E38" s="15">
        <f t="shared" si="2"/>
        <v>145316798218.34552</v>
      </c>
      <c r="F38" s="29">
        <f t="shared" si="3"/>
        <v>23015919755.566227</v>
      </c>
      <c r="G38" s="17">
        <f t="shared" si="4"/>
        <v>0.6521946348852411</v>
      </c>
      <c r="H38" s="16">
        <f t="shared" si="5"/>
        <v>2.0977624835828369E-11</v>
      </c>
      <c r="I38" s="16">
        <f t="shared" si="6"/>
        <v>47669839070.249146</v>
      </c>
      <c r="J38" s="16">
        <f t="shared" si="7"/>
        <v>37885781898.560379</v>
      </c>
      <c r="K38" s="18">
        <f t="shared" si="8"/>
        <v>28932353635.993164</v>
      </c>
      <c r="L38" s="17">
        <f t="shared" si="9"/>
        <v>0.60010098590537531</v>
      </c>
      <c r="M38" s="16">
        <f t="shared" si="10"/>
        <v>2.1090804634062077E-11</v>
      </c>
      <c r="N38" s="16">
        <f t="shared" si="11"/>
        <v>71121041896.024658</v>
      </c>
      <c r="O38" s="16">
        <f t="shared" si="14"/>
        <v>56523712565.935509</v>
      </c>
      <c r="P38" s="18">
        <f t="shared" si="12"/>
        <v>43165640481.053894</v>
      </c>
    </row>
    <row r="39" spans="1:16" s="4" customFormat="1" x14ac:dyDescent="0.4">
      <c r="A39" s="14">
        <v>2.5999999999999999E-2</v>
      </c>
      <c r="B39" s="44">
        <f t="shared" si="15"/>
        <v>0.16336281798666924</v>
      </c>
      <c r="C39" s="40">
        <f t="shared" si="0"/>
        <v>6.796681982493884E-12</v>
      </c>
      <c r="D39" s="15">
        <f t="shared" si="1"/>
        <v>147130614993.56387</v>
      </c>
      <c r="E39" s="15">
        <f t="shared" si="2"/>
        <v>145171709776.80887</v>
      </c>
      <c r="F39" s="29">
        <f t="shared" si="3"/>
        <v>23928906135.933064</v>
      </c>
      <c r="G39" s="17">
        <f t="shared" si="4"/>
        <v>0.67828242028065067</v>
      </c>
      <c r="H39" s="16">
        <f t="shared" si="5"/>
        <v>2.0917921466383043E-11</v>
      </c>
      <c r="I39" s="16">
        <f t="shared" si="6"/>
        <v>47805897044.172806</v>
      </c>
      <c r="J39" s="16">
        <f t="shared" si="7"/>
        <v>37224136951.961517</v>
      </c>
      <c r="K39" s="18">
        <f t="shared" si="8"/>
        <v>29996123422.530174</v>
      </c>
      <c r="L39" s="17">
        <f t="shared" si="9"/>
        <v>0.62410502534159018</v>
      </c>
      <c r="M39" s="16">
        <f t="shared" si="10"/>
        <v>2.1039666251170023E-11</v>
      </c>
      <c r="N39" s="16">
        <f t="shared" si="11"/>
        <v>71293906571.193085</v>
      </c>
      <c r="O39" s="16">
        <f t="shared" si="14"/>
        <v>55513112526.56279</v>
      </c>
      <c r="P39" s="18">
        <f t="shared" si="12"/>
        <v>44733828941.81076</v>
      </c>
    </row>
    <row r="40" spans="1:16" s="4" customFormat="1" x14ac:dyDescent="0.4">
      <c r="A40" s="14">
        <v>2.7E-2</v>
      </c>
      <c r="B40" s="44">
        <f t="shared" si="15"/>
        <v>0.16964600329384882</v>
      </c>
      <c r="C40" s="40">
        <f t="shared" si="0"/>
        <v>6.7965656237230842E-12</v>
      </c>
      <c r="D40" s="15">
        <f t="shared" si="1"/>
        <v>147133133903.62161</v>
      </c>
      <c r="E40" s="15">
        <f t="shared" si="2"/>
        <v>145020978199.43845</v>
      </c>
      <c r="F40" s="29">
        <f t="shared" si="3"/>
        <v>24840993828.328369</v>
      </c>
      <c r="G40" s="17">
        <f t="shared" si="4"/>
        <v>0.70437020567606035</v>
      </c>
      <c r="H40" s="16">
        <f t="shared" si="5"/>
        <v>2.0856253343549442E-11</v>
      </c>
      <c r="I40" s="16">
        <f t="shared" si="6"/>
        <v>47947250329.565376</v>
      </c>
      <c r="J40" s="16">
        <f t="shared" si="7"/>
        <v>36536741099.531639</v>
      </c>
      <c r="K40" s="18">
        <f t="shared" si="8"/>
        <v>31048435773.671482</v>
      </c>
      <c r="L40" s="17">
        <f t="shared" si="9"/>
        <v>0.64810906477780528</v>
      </c>
      <c r="M40" s="16">
        <f t="shared" si="10"/>
        <v>2.0986794287178301E-11</v>
      </c>
      <c r="N40" s="16">
        <f t="shared" si="11"/>
        <v>71473517082.902557</v>
      </c>
      <c r="O40" s="16">
        <f t="shared" si="14"/>
        <v>54464215803.439041</v>
      </c>
      <c r="P40" s="18">
        <f t="shared" si="12"/>
        <v>46282964912.766609</v>
      </c>
    </row>
    <row r="41" spans="1:16" s="4" customFormat="1" x14ac:dyDescent="0.4">
      <c r="A41" s="14">
        <v>2.8000000000000001E-2</v>
      </c>
      <c r="B41" s="44">
        <f t="shared" si="15"/>
        <v>0.17592918860102841</v>
      </c>
      <c r="C41" s="40">
        <f t="shared" si="0"/>
        <v>6.7964449170332479E-12</v>
      </c>
      <c r="D41" s="15">
        <f t="shared" si="1"/>
        <v>147135747027.65564</v>
      </c>
      <c r="E41" s="15">
        <f t="shared" si="2"/>
        <v>144864608857.74127</v>
      </c>
      <c r="F41" s="29">
        <f t="shared" si="3"/>
        <v>25752148529.39267</v>
      </c>
      <c r="G41" s="17">
        <f t="shared" si="4"/>
        <v>0.73045799107147003</v>
      </c>
      <c r="H41" s="16">
        <f t="shared" si="5"/>
        <v>2.0792662434578763E-11</v>
      </c>
      <c r="I41" s="16">
        <f t="shared" si="6"/>
        <v>48093889041.211617</v>
      </c>
      <c r="J41" s="16">
        <f t="shared" si="7"/>
        <v>35823642412.71051</v>
      </c>
      <c r="K41" s="18">
        <f t="shared" si="8"/>
        <v>32088764504.022644</v>
      </c>
      <c r="L41" s="17">
        <f t="shared" si="9"/>
        <v>0.67211310421402026</v>
      </c>
      <c r="M41" s="16">
        <f t="shared" si="10"/>
        <v>2.0932219205127774E-11</v>
      </c>
      <c r="N41" s="16">
        <f t="shared" si="11"/>
        <v>71659864885.828461</v>
      </c>
      <c r="O41" s="16">
        <f t="shared" si="14"/>
        <v>53377205008.588684</v>
      </c>
      <c r="P41" s="18">
        <f t="shared" si="12"/>
        <v>47812239237.733742</v>
      </c>
    </row>
    <row r="42" spans="1:16" s="4" customFormat="1" x14ac:dyDescent="0.4">
      <c r="A42" s="14">
        <v>2.9000000000000001E-2</v>
      </c>
      <c r="B42" s="44">
        <f t="shared" si="15"/>
        <v>0.18221237390820802</v>
      </c>
      <c r="C42" s="40">
        <f t="shared" si="0"/>
        <v>6.7963198671896671E-12</v>
      </c>
      <c r="D42" s="15">
        <f t="shared" si="1"/>
        <v>147138454272.53381</v>
      </c>
      <c r="E42" s="15">
        <f t="shared" si="2"/>
        <v>144702607324.74796</v>
      </c>
      <c r="F42" s="29">
        <f t="shared" si="3"/>
        <v>26662335965.37112</v>
      </c>
      <c r="G42" s="17">
        <f t="shared" si="4"/>
        <v>0.7565457764668797</v>
      </c>
      <c r="H42" s="16">
        <f t="shared" si="5"/>
        <v>2.0727192015243433E-11</v>
      </c>
      <c r="I42" s="16">
        <f t="shared" si="6"/>
        <v>48245801904.308517</v>
      </c>
      <c r="J42" s="16">
        <f t="shared" si="7"/>
        <v>35084895720.452446</v>
      </c>
      <c r="K42" s="18">
        <f t="shared" si="8"/>
        <v>33116574304.640224</v>
      </c>
      <c r="L42" s="17">
        <f t="shared" si="9"/>
        <v>0.69611714365023536</v>
      </c>
      <c r="M42" s="16">
        <f t="shared" si="10"/>
        <v>2.0875972449338436E-11</v>
      </c>
      <c r="N42" s="16">
        <f t="shared" si="11"/>
        <v>71852940199.082092</v>
      </c>
      <c r="O42" s="16">
        <f t="shared" si="14"/>
        <v>52252275111.786888</v>
      </c>
      <c r="P42" s="18">
        <f t="shared" si="12"/>
        <v>49320834957.399124</v>
      </c>
    </row>
    <row r="43" spans="1:16" s="4" customFormat="1" x14ac:dyDescent="0.4">
      <c r="A43" s="14">
        <v>0.03</v>
      </c>
      <c r="B43" s="44">
        <f t="shared" si="15"/>
        <v>0.18849555921538758</v>
      </c>
      <c r="C43" s="40">
        <f t="shared" si="0"/>
        <v>6.796190479129094E-12</v>
      </c>
      <c r="D43" s="15">
        <f t="shared" si="1"/>
        <v>147141255541.75848</v>
      </c>
      <c r="E43" s="15">
        <f t="shared" si="2"/>
        <v>144534979374.88138</v>
      </c>
      <c r="F43" s="29">
        <f t="shared" si="3"/>
        <v>27571521893.20874</v>
      </c>
      <c r="G43" s="17">
        <f t="shared" si="4"/>
        <v>0.78263356186228927</v>
      </c>
      <c r="H43" s="16">
        <f t="shared" si="5"/>
        <v>2.0659886640386491E-11</v>
      </c>
      <c r="I43" s="16">
        <f t="shared" si="6"/>
        <v>48402976134.688637</v>
      </c>
      <c r="J43" s="16">
        <f t="shared" si="7"/>
        <v>34320563191.69585</v>
      </c>
      <c r="K43" s="18">
        <f t="shared" si="8"/>
        <v>34131320526.754452</v>
      </c>
      <c r="L43" s="17">
        <f t="shared" si="9"/>
        <v>0.72012118308645023</v>
      </c>
      <c r="M43" s="16">
        <f t="shared" si="10"/>
        <v>2.0818086427292268E-11</v>
      </c>
      <c r="N43" s="16">
        <f t="shared" si="11"/>
        <v>72052731899.196915</v>
      </c>
      <c r="O43" s="16">
        <f t="shared" si="14"/>
        <v>51089634062.986412</v>
      </c>
      <c r="P43" s="18">
        <f t="shared" si="12"/>
        <v>50807927191.017021</v>
      </c>
    </row>
    <row r="44" spans="1:16" s="4" customFormat="1" x14ac:dyDescent="0.4">
      <c r="A44" s="14">
        <v>3.1E-2</v>
      </c>
      <c r="B44" s="44">
        <f t="shared" si="15"/>
        <v>0.19477874452256716</v>
      </c>
      <c r="C44" s="40">
        <f t="shared" si="0"/>
        <v>6.7960567579595488E-12</v>
      </c>
      <c r="D44" s="15">
        <f t="shared" si="1"/>
        <v>147144150735.46863</v>
      </c>
      <c r="E44" s="15">
        <f t="shared" si="2"/>
        <v>144361730983.82086</v>
      </c>
      <c r="F44" s="29">
        <f t="shared" si="3"/>
        <v>28479672101.645546</v>
      </c>
      <c r="G44" s="17">
        <f t="shared" si="4"/>
        <v>0.80872134725769884</v>
      </c>
      <c r="H44" s="16">
        <f t="shared" si="5"/>
        <v>2.0590792113600515E-11</v>
      </c>
      <c r="I44" s="16">
        <f t="shared" si="6"/>
        <v>48565397313.660683</v>
      </c>
      <c r="J44" s="16">
        <f t="shared" si="7"/>
        <v>33530714944.008572</v>
      </c>
      <c r="K44" s="18">
        <f t="shared" si="8"/>
        <v>35132448983.487625</v>
      </c>
      <c r="L44" s="17">
        <f t="shared" si="9"/>
        <v>0.74412522252266522</v>
      </c>
      <c r="M44" s="16">
        <f t="shared" si="10"/>
        <v>2.0758594490961117E-11</v>
      </c>
      <c r="N44" s="16">
        <f t="shared" si="11"/>
        <v>72259227408.3461</v>
      </c>
      <c r="O44" s="16">
        <f t="shared" si="14"/>
        <v>49889503439.149658</v>
      </c>
      <c r="P44" s="18">
        <f t="shared" si="12"/>
        <v>52272683040.43853</v>
      </c>
    </row>
    <row r="45" spans="1:16" s="4" customFormat="1" x14ac:dyDescent="0.4">
      <c r="A45" s="14">
        <v>3.2000000000000001E-2</v>
      </c>
      <c r="B45" s="44">
        <f t="shared" si="15"/>
        <v>0.20106192982974677</v>
      </c>
      <c r="C45" s="40">
        <f t="shared" si="0"/>
        <v>6.7959187089601137E-12</v>
      </c>
      <c r="D45" s="15">
        <f t="shared" si="1"/>
        <v>147147139750.44241</v>
      </c>
      <c r="E45" s="15">
        <f t="shared" si="2"/>
        <v>144182868328.36185</v>
      </c>
      <c r="F45" s="29">
        <f t="shared" si="3"/>
        <v>29386752412.311581</v>
      </c>
      <c r="G45" s="17">
        <f t="shared" si="4"/>
        <v>0.83480913265310863</v>
      </c>
      <c r="H45" s="16">
        <f t="shared" si="5"/>
        <v>2.0519955456056703E-11</v>
      </c>
      <c r="I45" s="16">
        <f t="shared" si="6"/>
        <v>48733049257.416313</v>
      </c>
      <c r="J45" s="16">
        <f t="shared" si="7"/>
        <v>32715429678.658092</v>
      </c>
      <c r="K45" s="18">
        <f t="shared" si="8"/>
        <v>36119395771.061035</v>
      </c>
      <c r="L45" s="17">
        <f t="shared" si="9"/>
        <v>0.76812926195888032</v>
      </c>
      <c r="M45" s="16">
        <f t="shared" si="10"/>
        <v>2.0697530917590438E-11</v>
      </c>
      <c r="N45" s="16">
        <f t="shared" si="11"/>
        <v>72472412577.733047</v>
      </c>
      <c r="O45" s="16">
        <f t="shared" si="14"/>
        <v>48652119115.421501</v>
      </c>
      <c r="P45" s="18">
        <f t="shared" si="12"/>
        <v>53714261517.924614</v>
      </c>
    </row>
    <row r="46" spans="1:16" s="4" customFormat="1" x14ac:dyDescent="0.4">
      <c r="A46" s="14">
        <v>3.3000000000000002E-2</v>
      </c>
      <c r="B46" s="44">
        <f t="shared" si="15"/>
        <v>0.20734511513692636</v>
      </c>
      <c r="C46" s="40">
        <f t="shared" si="0"/>
        <v>6.7957763375807279E-12</v>
      </c>
      <c r="D46" s="15">
        <f t="shared" si="1"/>
        <v>147150222480.09952</v>
      </c>
      <c r="E46" s="15">
        <f t="shared" si="2"/>
        <v>143998397786.2702</v>
      </c>
      <c r="F46" s="29">
        <f t="shared" si="3"/>
        <v>30292728680.821724</v>
      </c>
      <c r="G46" s="17">
        <f t="shared" si="4"/>
        <v>0.86089691804851831</v>
      </c>
      <c r="H46" s="16">
        <f t="shared" si="5"/>
        <v>2.0447424874505374E-11</v>
      </c>
      <c r="I46" s="16">
        <f t="shared" si="6"/>
        <v>48905913880.961998</v>
      </c>
      <c r="J46" s="16">
        <f t="shared" si="7"/>
        <v>31874795342.306103</v>
      </c>
      <c r="K46" s="18">
        <f t="shared" si="8"/>
        <v>37091587111.07106</v>
      </c>
      <c r="L46" s="17">
        <f t="shared" si="9"/>
        <v>0.79213330139509541</v>
      </c>
      <c r="M46" s="16">
        <f t="shared" si="10"/>
        <v>2.0634930889949898E-11</v>
      </c>
      <c r="N46" s="16">
        <f t="shared" si="11"/>
        <v>72692271566.102737</v>
      </c>
      <c r="O46" s="16">
        <f t="shared" si="14"/>
        <v>47377731960.527565</v>
      </c>
      <c r="P46" s="18">
        <f t="shared" si="12"/>
        <v>55131813499.253166</v>
      </c>
    </row>
    <row r="47" spans="1:16" s="4" customFormat="1" x14ac:dyDescent="0.4">
      <c r="A47" s="14">
        <v>3.4000000000000002E-2</v>
      </c>
      <c r="B47" s="44">
        <f t="shared" si="15"/>
        <v>0.21362830044410594</v>
      </c>
      <c r="C47" s="40">
        <f t="shared" si="0"/>
        <v>6.7956296494419681E-12</v>
      </c>
      <c r="D47" s="15">
        <f t="shared" si="1"/>
        <v>147153398814.50372</v>
      </c>
      <c r="E47" s="15">
        <f t="shared" si="2"/>
        <v>143808325936.13208</v>
      </c>
      <c r="F47" s="29">
        <f t="shared" si="3"/>
        <v>31197566797.870434</v>
      </c>
      <c r="G47" s="17">
        <f t="shared" si="4"/>
        <v>0.88698470344392788</v>
      </c>
      <c r="H47" s="16">
        <f t="shared" si="5"/>
        <v>2.0373249728469658E-11</v>
      </c>
      <c r="I47" s="16">
        <f t="shared" si="6"/>
        <v>49083971056.54657</v>
      </c>
      <c r="J47" s="16">
        <f t="shared" si="7"/>
        <v>31008909815.469524</v>
      </c>
      <c r="K47" s="18">
        <f t="shared" si="8"/>
        <v>38048439215.505013</v>
      </c>
      <c r="L47" s="17">
        <f t="shared" si="9"/>
        <v>0.81613734083131029</v>
      </c>
      <c r="M47" s="16">
        <f t="shared" si="10"/>
        <v>2.0570830476062241E-11</v>
      </c>
      <c r="N47" s="16">
        <f t="shared" si="11"/>
        <v>72918786713.327515</v>
      </c>
      <c r="O47" s="16">
        <f t="shared" si="14"/>
        <v>46066608556.225441</v>
      </c>
      <c r="P47" s="18">
        <f t="shared" si="12"/>
        <v>56524481703.694077</v>
      </c>
    </row>
    <row r="48" spans="1:16" s="4" customFormat="1" x14ac:dyDescent="0.4">
      <c r="A48" s="14">
        <v>3.5000000000000003E-2</v>
      </c>
      <c r="B48" s="44">
        <f t="shared" si="15"/>
        <v>0.21991148575128555</v>
      </c>
      <c r="C48" s="40">
        <f t="shared" si="0"/>
        <v>6.7954786503348313E-12</v>
      </c>
      <c r="D48" s="15">
        <f t="shared" si="1"/>
        <v>147156668640.36536</v>
      </c>
      <c r="E48" s="15">
        <f t="shared" si="2"/>
        <v>143612659557.19858</v>
      </c>
      <c r="F48" s="29">
        <f t="shared" si="3"/>
        <v>32101232690.326244</v>
      </c>
      <c r="G48" s="17">
        <f t="shared" si="4"/>
        <v>0.91307248883933767</v>
      </c>
      <c r="H48" s="16">
        <f t="shared" si="5"/>
        <v>2.029748049665463E-11</v>
      </c>
      <c r="I48" s="16">
        <f t="shared" si="6"/>
        <v>49267198466.569138</v>
      </c>
      <c r="J48" s="16">
        <f t="shared" si="7"/>
        <v>30117881627.824661</v>
      </c>
      <c r="K48" s="18">
        <f t="shared" si="8"/>
        <v>38989358176.259506</v>
      </c>
      <c r="L48" s="17">
        <f t="shared" si="9"/>
        <v>0.84014138026752549</v>
      </c>
      <c r="M48" s="16">
        <f t="shared" si="10"/>
        <v>2.0505266608422127E-11</v>
      </c>
      <c r="N48" s="16">
        <f t="shared" si="11"/>
        <v>73151938409.028305</v>
      </c>
      <c r="O48" s="16">
        <f t="shared" si="14"/>
        <v>44719031940.572601</v>
      </c>
      <c r="P48" s="18">
        <f t="shared" si="12"/>
        <v>57891400702.490501</v>
      </c>
    </row>
    <row r="49" spans="1:16" s="4" customFormat="1" x14ac:dyDescent="0.4">
      <c r="A49" s="14">
        <v>3.5999999999999997E-2</v>
      </c>
      <c r="B49" s="44">
        <f t="shared" si="15"/>
        <v>0.22619467105846508</v>
      </c>
      <c r="C49" s="40">
        <f t="shared" si="0"/>
        <v>6.795323346220506E-12</v>
      </c>
      <c r="D49" s="15">
        <f t="shared" si="1"/>
        <v>147160031841.0441</v>
      </c>
      <c r="E49" s="15">
        <f t="shared" si="2"/>
        <v>143411405629.22583</v>
      </c>
      <c r="F49" s="29">
        <f t="shared" si="3"/>
        <v>33003692322.326118</v>
      </c>
      <c r="G49" s="17">
        <f t="shared" si="4"/>
        <v>0.93916027423474702</v>
      </c>
      <c r="H49" s="16">
        <f t="shared" si="5"/>
        <v>2.022016874259487E-11</v>
      </c>
      <c r="I49" s="16">
        <f t="shared" si="6"/>
        <v>49455571450.966499</v>
      </c>
      <c r="J49" s="16">
        <f t="shared" si="7"/>
        <v>29201830700.356129</v>
      </c>
      <c r="K49" s="18">
        <f t="shared" si="8"/>
        <v>39913739881.0158</v>
      </c>
      <c r="L49" s="17">
        <f t="shared" si="9"/>
        <v>0.86414541970374026</v>
      </c>
      <c r="M49" s="16">
        <f t="shared" si="10"/>
        <v>2.0438277062716857E-11</v>
      </c>
      <c r="N49" s="16">
        <f t="shared" si="11"/>
        <v>73391704956.200714</v>
      </c>
      <c r="O49" s="16">
        <f t="shared" si="14"/>
        <v>43335302374.704994</v>
      </c>
      <c r="P49" s="18">
        <f t="shared" si="12"/>
        <v>59231696957.548882</v>
      </c>
    </row>
    <row r="50" spans="1:16" s="4" customFormat="1" x14ac:dyDescent="0.4">
      <c r="A50" s="14">
        <v>3.6999999999999998E-2</v>
      </c>
      <c r="B50" s="44">
        <f t="shared" si="15"/>
        <v>0.23247785636564469</v>
      </c>
      <c r="C50" s="40">
        <f t="shared" si="0"/>
        <v>6.7951637432301301E-12</v>
      </c>
      <c r="D50" s="15">
        <f t="shared" si="1"/>
        <v>147163488296.55176</v>
      </c>
      <c r="E50" s="15">
        <f t="shared" si="2"/>
        <v>143204571332.31012</v>
      </c>
      <c r="F50" s="29">
        <f t="shared" si="3"/>
        <v>33904911696.369705</v>
      </c>
      <c r="G50" s="17">
        <f t="shared" si="4"/>
        <v>0.96524805963015681</v>
      </c>
      <c r="H50" s="16">
        <f t="shared" si="5"/>
        <v>2.0141367079563707E-11</v>
      </c>
      <c r="I50" s="16">
        <f t="shared" si="6"/>
        <v>49649062849.097412</v>
      </c>
      <c r="J50" s="16">
        <f t="shared" si="7"/>
        <v>28260889114.267979</v>
      </c>
      <c r="K50" s="18">
        <f t="shared" si="8"/>
        <v>40820969957.421082</v>
      </c>
      <c r="L50" s="17">
        <f t="shared" si="9"/>
        <v>0.88814945913995536</v>
      </c>
      <c r="M50" s="16">
        <f t="shared" si="10"/>
        <v>2.0369900436061311E-11</v>
      </c>
      <c r="N50" s="16">
        <f t="shared" si="11"/>
        <v>73638062429.82489</v>
      </c>
      <c r="O50" s="16">
        <f t="shared" si="14"/>
        <v>41915738132.742149</v>
      </c>
      <c r="P50" s="18">
        <f t="shared" si="12"/>
        <v>60544488892.104568</v>
      </c>
    </row>
    <row r="51" spans="1:16" s="4" customFormat="1" x14ac:dyDescent="0.4">
      <c r="A51" s="14">
        <v>3.7999999999999999E-2</v>
      </c>
      <c r="B51" s="44">
        <f t="shared" si="15"/>
        <v>0.23876104167282428</v>
      </c>
      <c r="C51" s="40">
        <f t="shared" si="0"/>
        <v>6.7949998476645573E-12</v>
      </c>
      <c r="D51" s="15">
        <f t="shared" si="1"/>
        <v>147167037883.55496</v>
      </c>
      <c r="E51" s="15">
        <f t="shared" si="2"/>
        <v>142992164046.71799</v>
      </c>
      <c r="F51" s="29">
        <f t="shared" si="3"/>
        <v>34804856854.413239</v>
      </c>
      <c r="G51" s="17">
        <f t="shared" si="4"/>
        <v>0.99133584502556638</v>
      </c>
      <c r="H51" s="16">
        <f t="shared" si="5"/>
        <v>2.0061129134768106E-11</v>
      </c>
      <c r="I51" s="16">
        <f t="shared" si="6"/>
        <v>49847642836.159798</v>
      </c>
      <c r="J51" s="16">
        <f t="shared" si="7"/>
        <v>27295201906.480957</v>
      </c>
      <c r="K51" s="18">
        <f t="shared" si="8"/>
        <v>41710423747.617226</v>
      </c>
      <c r="L51" s="17">
        <f t="shared" si="9"/>
        <v>0.91215349857617034</v>
      </c>
      <c r="M51" s="16">
        <f t="shared" si="10"/>
        <v>2.0300176124759595E-11</v>
      </c>
      <c r="N51" s="16">
        <f t="shared" si="11"/>
        <v>73890984530.448929</v>
      </c>
      <c r="O51" s="16">
        <f t="shared" si="14"/>
        <v>40460676314.351509</v>
      </c>
      <c r="P51" s="18">
        <f t="shared" si="12"/>
        <v>61828886995.192764</v>
      </c>
    </row>
    <row r="52" spans="1:16" s="4" customFormat="1" x14ac:dyDescent="0.4">
      <c r="A52" s="14">
        <v>3.9E-2</v>
      </c>
      <c r="B52" s="44">
        <f t="shared" si="15"/>
        <v>0.24504422698000386</v>
      </c>
      <c r="C52" s="40">
        <f t="shared" si="0"/>
        <v>6.7948316659941032E-12</v>
      </c>
      <c r="D52" s="15">
        <f t="shared" si="1"/>
        <v>147170680475.3782</v>
      </c>
      <c r="E52" s="15">
        <f t="shared" si="2"/>
        <v>142774191352.71152</v>
      </c>
      <c r="F52" s="29">
        <f t="shared" si="3"/>
        <v>35703493878.963432</v>
      </c>
      <c r="G52" s="17">
        <f t="shared" si="4"/>
        <v>1.0174236304209761</v>
      </c>
      <c r="H52" s="16">
        <f t="shared" si="5"/>
        <v>1.997950951285354E-11</v>
      </c>
      <c r="I52" s="16">
        <f t="shared" si="6"/>
        <v>50051278754.198837</v>
      </c>
      <c r="J52" s="16">
        <f t="shared" si="7"/>
        <v>26304927891.433857</v>
      </c>
      <c r="K52" s="18">
        <f t="shared" si="8"/>
        <v>42581466315.252472</v>
      </c>
      <c r="L52" s="17">
        <f t="shared" si="9"/>
        <v>0.93615753801238533</v>
      </c>
      <c r="M52" s="16">
        <f t="shared" si="10"/>
        <v>2.0229144301606205E-11</v>
      </c>
      <c r="N52" s="16">
        <f t="shared" si="11"/>
        <v>74150442432.747849</v>
      </c>
      <c r="O52" s="16">
        <f t="shared" si="14"/>
        <v>38970473679.410614</v>
      </c>
      <c r="P52" s="18">
        <f t="shared" si="12"/>
        <v>63083993961.817429</v>
      </c>
    </row>
    <row r="53" spans="1:16" s="4" customFormat="1" x14ac:dyDescent="0.4">
      <c r="A53" s="14">
        <v>0.04</v>
      </c>
      <c r="B53" s="44">
        <f t="shared" si="15"/>
        <v>0.25132741228718347</v>
      </c>
      <c r="C53" s="40">
        <f t="shared" si="0"/>
        <v>6.7946592048582939E-12</v>
      </c>
      <c r="D53" s="15">
        <f t="shared" si="1"/>
        <v>147174415942.00684</v>
      </c>
      <c r="E53" s="15">
        <f t="shared" si="2"/>
        <v>142550661030.36899</v>
      </c>
      <c r="F53" s="29">
        <f t="shared" si="3"/>
        <v>36600788894.171089</v>
      </c>
      <c r="G53" s="17">
        <f t="shared" si="4"/>
        <v>1.0435114158163858</v>
      </c>
      <c r="H53" s="16">
        <f t="shared" si="5"/>
        <v>1.989656375874366E-11</v>
      </c>
      <c r="I53" s="16">
        <f t="shared" si="6"/>
        <v>50259934937.787651</v>
      </c>
      <c r="J53" s="16">
        <f t="shared" si="7"/>
        <v>25290240508.792084</v>
      </c>
      <c r="K53" s="18">
        <f t="shared" si="8"/>
        <v>43433452487.202766</v>
      </c>
      <c r="L53" s="17">
        <f t="shared" si="9"/>
        <v>0.96016157744860053</v>
      </c>
      <c r="M53" s="16">
        <f t="shared" si="10"/>
        <v>2.0156845892739836E-11</v>
      </c>
      <c r="N53" s="16">
        <f t="shared" si="11"/>
        <v>74416404629.073212</v>
      </c>
      <c r="O53" s="16">
        <f t="shared" si="14"/>
        <v>37445507504.106857</v>
      </c>
      <c r="P53" s="18">
        <f t="shared" si="12"/>
        <v>64308904870.77063</v>
      </c>
    </row>
    <row r="54" spans="1:16" s="4" customFormat="1" x14ac:dyDescent="0.4">
      <c r="A54" s="14">
        <v>4.1000000000000002E-2</v>
      </c>
      <c r="B54" s="44">
        <f t="shared" si="15"/>
        <v>0.25761059759436306</v>
      </c>
      <c r="C54" s="40">
        <f t="shared" si="0"/>
        <v>6.7944824710655972E-12</v>
      </c>
      <c r="D54" s="15">
        <f t="shared" si="1"/>
        <v>147178244150.09012</v>
      </c>
      <c r="E54" s="15">
        <f t="shared" si="2"/>
        <v>142321581059.40005</v>
      </c>
      <c r="F54" s="29">
        <f t="shared" si="3"/>
        <v>37496708066.924454</v>
      </c>
      <c r="G54" s="17">
        <f t="shared" si="4"/>
        <v>1.0695992012117954</v>
      </c>
      <c r="H54" s="16">
        <f t="shared" si="5"/>
        <v>1.9812348319840104E-11</v>
      </c>
      <c r="I54" s="16">
        <f t="shared" si="6"/>
        <v>50473572534.488457</v>
      </c>
      <c r="J54" s="16">
        <f t="shared" si="7"/>
        <v>24251328696.538208</v>
      </c>
      <c r="K54" s="18">
        <f t="shared" si="8"/>
        <v>44265726932.320107</v>
      </c>
      <c r="L54" s="17">
        <f t="shared" si="9"/>
        <v>0.98416561688481541</v>
      </c>
      <c r="M54" s="16">
        <f t="shared" si="10"/>
        <v>2.0083322554063105E-11</v>
      </c>
      <c r="N54" s="16">
        <f t="shared" si="11"/>
        <v>74688836768.024292</v>
      </c>
      <c r="O54" s="16">
        <f t="shared" si="14"/>
        <v>35886176457.705399</v>
      </c>
      <c r="P54" s="18">
        <f t="shared" si="12"/>
        <v>65502707402.114365</v>
      </c>
    </row>
    <row r="55" spans="1:16" s="4" customFormat="1" x14ac:dyDescent="0.4">
      <c r="A55" s="14">
        <v>4.2000000000000003E-2</v>
      </c>
      <c r="B55" s="44">
        <f t="shared" si="15"/>
        <v>0.26389378290154264</v>
      </c>
      <c r="C55" s="40">
        <f t="shared" si="0"/>
        <v>6.794301471593162E-12</v>
      </c>
      <c r="D55" s="15">
        <f t="shared" si="1"/>
        <v>147182164962.94431</v>
      </c>
      <c r="E55" s="15">
        <f t="shared" si="2"/>
        <v>142086959618.95645</v>
      </c>
      <c r="F55" s="29">
        <f t="shared" si="3"/>
        <v>38391217607.94249</v>
      </c>
      <c r="G55" s="17">
        <f t="shared" si="4"/>
        <v>1.095686986607205</v>
      </c>
      <c r="H55" s="16">
        <f t="shared" si="5"/>
        <v>1.9726920507608115E-11</v>
      </c>
      <c r="I55" s="16">
        <f t="shared" si="6"/>
        <v>50692149320.231117</v>
      </c>
      <c r="J55" s="16">
        <f t="shared" si="7"/>
        <v>23188397788.779705</v>
      </c>
      <c r="K55" s="18">
        <f t="shared" si="8"/>
        <v>45077624279.612663</v>
      </c>
      <c r="L55" s="17">
        <f t="shared" si="9"/>
        <v>1.0081696563210303</v>
      </c>
      <c r="M55" s="16">
        <f t="shared" si="10"/>
        <v>2.0008616647241852E-11</v>
      </c>
      <c r="N55" s="16">
        <f t="shared" si="11"/>
        <v>74967701488.087234</v>
      </c>
      <c r="O55" s="16">
        <f t="shared" si="14"/>
        <v>34292901499.09811</v>
      </c>
      <c r="P55" s="18">
        <f t="shared" si="12"/>
        <v>66664482096.391563</v>
      </c>
    </row>
    <row r="56" spans="1:16" s="4" customFormat="1" x14ac:dyDescent="0.4">
      <c r="A56" s="14">
        <v>4.2999999999999997E-2</v>
      </c>
      <c r="B56" s="44">
        <f t="shared" si="15"/>
        <v>0.27017696820872217</v>
      </c>
      <c r="C56" s="40">
        <f t="shared" si="0"/>
        <v>6.7941162135865381E-12</v>
      </c>
      <c r="D56" s="15">
        <f t="shared" si="1"/>
        <v>147186178240.55606</v>
      </c>
      <c r="E56" s="15">
        <f t="shared" si="2"/>
        <v>141846805087.43768</v>
      </c>
      <c r="F56" s="29">
        <f t="shared" si="3"/>
        <v>39284283772.867783</v>
      </c>
      <c r="G56" s="17">
        <f t="shared" si="4"/>
        <v>1.1217747720026146</v>
      </c>
      <c r="H56" s="16">
        <f t="shared" si="5"/>
        <v>1.9640338458574143E-11</v>
      </c>
      <c r="I56" s="16">
        <f t="shared" si="6"/>
        <v>50915619509.776939</v>
      </c>
      <c r="J56" s="16">
        <f t="shared" si="7"/>
        <v>22101670437.456306</v>
      </c>
      <c r="K56" s="18">
        <f t="shared" si="8"/>
        <v>45868469278.344666</v>
      </c>
      <c r="L56" s="17">
        <f t="shared" si="9"/>
        <v>1.0321736957572454</v>
      </c>
      <c r="M56" s="16">
        <f t="shared" si="10"/>
        <v>1.9932771215297745E-11</v>
      </c>
      <c r="N56" s="16">
        <f t="shared" si="11"/>
        <v>75252958246.407776</v>
      </c>
      <c r="O56" s="16">
        <f t="shared" si="14"/>
        <v>32666126792.121025</v>
      </c>
      <c r="P56" s="18">
        <f t="shared" si="12"/>
        <v>67793302657.686363</v>
      </c>
    </row>
    <row r="57" spans="1:16" s="4" customFormat="1" x14ac:dyDescent="0.4">
      <c r="A57" s="14">
        <v>4.3999999999999997E-2</v>
      </c>
      <c r="B57" s="44">
        <f t="shared" si="15"/>
        <v>0.27646015351590175</v>
      </c>
      <c r="C57" s="40">
        <f t="shared" si="0"/>
        <v>6.7939267043593937E-12</v>
      </c>
      <c r="D57" s="15">
        <f t="shared" si="1"/>
        <v>147190283839.58566</v>
      </c>
      <c r="E57" s="15">
        <f t="shared" si="2"/>
        <v>141601126042.29169</v>
      </c>
      <c r="F57" s="29">
        <f t="shared" si="3"/>
        <v>40175872863.359375</v>
      </c>
      <c r="G57" s="17">
        <f t="shared" si="4"/>
        <v>1.1478625573980241</v>
      </c>
      <c r="H57" s="16">
        <f t="shared" si="5"/>
        <v>1.955266109476197E-11</v>
      </c>
      <c r="I57" s="16">
        <f t="shared" si="6"/>
        <v>51143933562.470093</v>
      </c>
      <c r="J57" s="16">
        <f t="shared" si="7"/>
        <v>20991387556.963806</v>
      </c>
      <c r="K57" s="18">
        <f t="shared" si="8"/>
        <v>46637577002.624184</v>
      </c>
      <c r="L57" s="17">
        <f t="shared" si="9"/>
        <v>1.0561777351934603</v>
      </c>
      <c r="M57" s="16">
        <f t="shared" si="10"/>
        <v>1.9855829957808373E-11</v>
      </c>
      <c r="N57" s="16">
        <f t="shared" si="11"/>
        <v>75544563142.78215</v>
      </c>
      <c r="O57" s="16">
        <f t="shared" si="14"/>
        <v>31006320638.491684</v>
      </c>
      <c r="P57" s="18">
        <f t="shared" si="12"/>
        <v>68888236302.701523</v>
      </c>
    </row>
    <row r="58" spans="1:16" s="4" customFormat="1" x14ac:dyDescent="0.4">
      <c r="A58" s="14">
        <v>4.4999999999999998E-2</v>
      </c>
      <c r="B58" s="44">
        <f t="shared" si="15"/>
        <v>0.28274333882308139</v>
      </c>
      <c r="C58" s="40">
        <f t="shared" si="0"/>
        <v>6.7937329513932295E-12</v>
      </c>
      <c r="D58" s="15">
        <f t="shared" si="1"/>
        <v>147194481613.37048</v>
      </c>
      <c r="E58" s="15">
        <f t="shared" si="2"/>
        <v>141349931259.81058</v>
      </c>
      <c r="F58" s="29">
        <f t="shared" si="3"/>
        <v>41065951228.185226</v>
      </c>
      <c r="G58" s="17">
        <f t="shared" si="4"/>
        <v>1.1739503427934339</v>
      </c>
      <c r="H58" s="16">
        <f t="shared" si="5"/>
        <v>1.9463948083594269E-11</v>
      </c>
      <c r="I58" s="16">
        <f t="shared" si="6"/>
        <v>51377037983.515678</v>
      </c>
      <c r="J58" s="16">
        <f t="shared" si="7"/>
        <v>19857809290.53157</v>
      </c>
      <c r="K58" s="18">
        <f t="shared" si="8"/>
        <v>47384253103.119507</v>
      </c>
      <c r="L58" s="17">
        <f t="shared" si="9"/>
        <v>1.0801817746296754</v>
      </c>
      <c r="M58" s="16">
        <f t="shared" si="10"/>
        <v>1.9777837205729008E-11</v>
      </c>
      <c r="N58" s="16">
        <f t="shared" si="11"/>
        <v>75842468738.973022</v>
      </c>
      <c r="O58" s="16">
        <f t="shared" si="14"/>
        <v>29313976427.073307</v>
      </c>
      <c r="P58" s="18">
        <f t="shared" si="12"/>
        <v>69948344158.06488</v>
      </c>
    </row>
    <row r="59" spans="1:16" s="4" customFormat="1" x14ac:dyDescent="0.4">
      <c r="A59" s="14">
        <v>4.5999999999999999E-2</v>
      </c>
      <c r="B59" s="44">
        <f t="shared" si="15"/>
        <v>0.28902652413026098</v>
      </c>
      <c r="C59" s="40">
        <f t="shared" si="0"/>
        <v>6.793534962337079E-12</v>
      </c>
      <c r="D59" s="15">
        <f t="shared" si="1"/>
        <v>147198771411.9285</v>
      </c>
      <c r="E59" s="15">
        <f t="shared" si="2"/>
        <v>141093229714.92145</v>
      </c>
      <c r="F59" s="29">
        <f t="shared" si="3"/>
        <v>41954485264.314461</v>
      </c>
      <c r="G59" s="17">
        <f t="shared" si="4"/>
        <v>1.2000381281888437</v>
      </c>
      <c r="H59" s="16">
        <f t="shared" si="5"/>
        <v>1.9374259797286903E-11</v>
      </c>
      <c r="I59" s="16">
        <f t="shared" si="6"/>
        <v>51614875121.063263</v>
      </c>
      <c r="J59" s="16">
        <f t="shared" si="7"/>
        <v>18701215996.997753</v>
      </c>
      <c r="K59" s="18">
        <f t="shared" si="8"/>
        <v>48107794108.61187</v>
      </c>
      <c r="L59" s="17">
        <f t="shared" si="9"/>
        <v>1.1041858140658904</v>
      </c>
      <c r="M59" s="16">
        <f t="shared" si="10"/>
        <v>1.9698837895850605E-11</v>
      </c>
      <c r="N59" s="16">
        <f t="shared" si="11"/>
        <v>76146623873.480499</v>
      </c>
      <c r="O59" s="16">
        <f t="shared" si="14"/>
        <v>27589613598.018322</v>
      </c>
      <c r="P59" s="18">
        <f t="shared" si="12"/>
        <v>70972681708.114655</v>
      </c>
    </row>
    <row r="60" spans="1:16" s="4" customFormat="1" x14ac:dyDescent="0.4">
      <c r="A60" s="14">
        <v>4.7E-2</v>
      </c>
      <c r="B60" s="44">
        <f t="shared" si="15"/>
        <v>0.29530970943744056</v>
      </c>
      <c r="C60" s="40">
        <f t="shared" si="0"/>
        <v>6.7933327450072126E-12</v>
      </c>
      <c r="D60" s="15">
        <f t="shared" si="1"/>
        <v>147203153081.96173</v>
      </c>
      <c r="E60" s="15">
        <f t="shared" si="2"/>
        <v>140831030580.97217</v>
      </c>
      <c r="F60" s="29">
        <f t="shared" si="3"/>
        <v>42841441418.009453</v>
      </c>
      <c r="G60" s="17">
        <f t="shared" si="4"/>
        <v>1.2261259135842533</v>
      </c>
      <c r="H60" s="16">
        <f t="shared" si="5"/>
        <v>1.9283657271763568E-11</v>
      </c>
      <c r="I60" s="16">
        <f t="shared" si="6"/>
        <v>51857382959.417534</v>
      </c>
      <c r="J60" s="16">
        <f t="shared" si="7"/>
        <v>17521909256.418621</v>
      </c>
      <c r="K60" s="18">
        <f t="shared" si="8"/>
        <v>48807487780.150284</v>
      </c>
      <c r="L60" s="17">
        <f t="shared" si="9"/>
        <v>1.1281898535021055</v>
      </c>
      <c r="M60" s="16">
        <f t="shared" si="10"/>
        <v>1.9618877544908754E-11</v>
      </c>
      <c r="N60" s="16">
        <f t="shared" si="11"/>
        <v>76456973471.923279</v>
      </c>
      <c r="O60" s="16">
        <f t="shared" si="14"/>
        <v>25833778620.179195</v>
      </c>
      <c r="P60" s="18">
        <f t="shared" si="12"/>
        <v>71960299295.444519</v>
      </c>
    </row>
    <row r="61" spans="1:16" s="4" customFormat="1" x14ac:dyDescent="0.4">
      <c r="A61" s="14">
        <v>4.8000000000000001E-2</v>
      </c>
      <c r="B61" s="44">
        <f t="shared" si="15"/>
        <v>0.30159289474462014</v>
      </c>
      <c r="C61" s="40">
        <f t="shared" si="0"/>
        <v>6.7931263073868231E-12</v>
      </c>
      <c r="D61" s="15">
        <f t="shared" si="1"/>
        <v>147207626466.86008</v>
      </c>
      <c r="E61" s="15">
        <f t="shared" si="2"/>
        <v>140563343229.51221</v>
      </c>
      <c r="F61" s="29">
        <f t="shared" si="3"/>
        <v>43726786185.917503</v>
      </c>
      <c r="G61" s="17">
        <f t="shared" si="4"/>
        <v>1.2522136989796628</v>
      </c>
      <c r="H61" s="16">
        <f t="shared" si="5"/>
        <v>1.9192202165118794E-11</v>
      </c>
      <c r="I61" s="16">
        <f t="shared" si="6"/>
        <v>52104494908.743073</v>
      </c>
      <c r="J61" s="16">
        <f t="shared" si="7"/>
        <v>16320212892.72604</v>
      </c>
      <c r="K61" s="18">
        <f t="shared" si="8"/>
        <v>49482613520.622894</v>
      </c>
      <c r="L61" s="17">
        <f t="shared" si="9"/>
        <v>1.1521938929383204</v>
      </c>
      <c r="M61" s="16">
        <f t="shared" si="10"/>
        <v>1.9538002223358464E-11</v>
      </c>
      <c r="N61" s="16">
        <f t="shared" si="11"/>
        <v>76773458353.213303</v>
      </c>
      <c r="O61" s="16">
        <f t="shared" si="14"/>
        <v>24047045980.001091</v>
      </c>
      <c r="P61" s="18">
        <f t="shared" si="12"/>
        <v>72910242676.514877</v>
      </c>
    </row>
    <row r="62" spans="1:16" s="4" customFormat="1" x14ac:dyDescent="0.4">
      <c r="A62" s="14">
        <v>4.9000000000000002E-2</v>
      </c>
      <c r="B62" s="44">
        <f t="shared" si="15"/>
        <v>0.30787608005179973</v>
      </c>
      <c r="C62" s="40">
        <f t="shared" si="0"/>
        <v>6.7929156576257163E-12</v>
      </c>
      <c r="D62" s="15">
        <f t="shared" si="1"/>
        <v>147212191406.70496</v>
      </c>
      <c r="E62" s="15">
        <f t="shared" si="2"/>
        <v>140290177230.06848</v>
      </c>
      <c r="F62" s="29">
        <f t="shared" si="3"/>
        <v>44610486116.162361</v>
      </c>
      <c r="G62" s="17">
        <f t="shared" si="4"/>
        <v>1.2783014843750724</v>
      </c>
      <c r="H62" s="16">
        <f t="shared" si="5"/>
        <v>1.9099956715657506E-11</v>
      </c>
      <c r="I62" s="16">
        <f t="shared" si="6"/>
        <v>52356139591.679466</v>
      </c>
      <c r="J62" s="16">
        <f t="shared" si="7"/>
        <v>15096474011.410904</v>
      </c>
      <c r="K62" s="18">
        <f t="shared" si="8"/>
        <v>50132442842.596664</v>
      </c>
      <c r="L62" s="17">
        <f t="shared" si="9"/>
        <v>1.1761979323745353</v>
      </c>
      <c r="M62" s="16">
        <f t="shared" si="10"/>
        <v>1.9456258528829905E-11</v>
      </c>
      <c r="N62" s="16">
        <f t="shared" si="11"/>
        <v>77096015031.735382</v>
      </c>
      <c r="O62" s="16">
        <f t="shared" si="14"/>
        <v>22230019179.926384</v>
      </c>
      <c r="P62" s="18">
        <f t="shared" si="12"/>
        <v>73821553634.651123</v>
      </c>
    </row>
    <row r="63" spans="1:16" s="4" customFormat="1" x14ac:dyDescent="0.4">
      <c r="A63" s="14">
        <v>0.05</v>
      </c>
      <c r="B63" s="44">
        <f t="shared" si="15"/>
        <v>0.31415926535897931</v>
      </c>
      <c r="C63" s="40">
        <f t="shared" si="0"/>
        <v>6.7927008040399824E-12</v>
      </c>
      <c r="D63" s="15">
        <f t="shared" si="1"/>
        <v>147216847738.27319</v>
      </c>
      <c r="E63" s="15">
        <f t="shared" si="2"/>
        <v>140011542349.91617</v>
      </c>
      <c r="F63" s="29">
        <f t="shared" si="3"/>
        <v>45492507809.435455</v>
      </c>
      <c r="G63" s="17">
        <f t="shared" si="4"/>
        <v>1.3043892697704822</v>
      </c>
      <c r="H63" s="16">
        <f t="shared" si="5"/>
        <v>1.9006983699539737E-11</v>
      </c>
      <c r="I63" s="16">
        <f t="shared" si="6"/>
        <v>52612240627.334023</v>
      </c>
      <c r="J63" s="16">
        <f t="shared" si="7"/>
        <v>13851064049.958403</v>
      </c>
      <c r="K63" s="18">
        <f t="shared" si="8"/>
        <v>50756239897.301758</v>
      </c>
      <c r="L63" s="17">
        <f t="shared" si="9"/>
        <v>1.2002019718107506</v>
      </c>
      <c r="M63" s="16">
        <f t="shared" si="10"/>
        <v>1.937369355928047E-11</v>
      </c>
      <c r="N63" s="16">
        <f t="shared" si="11"/>
        <v>77424575515.775284</v>
      </c>
      <c r="O63" s="16">
        <f t="shared" si="14"/>
        <v>20383331744.147125</v>
      </c>
      <c r="P63" s="18">
        <f t="shared" si="12"/>
        <v>74693270652.757156</v>
      </c>
    </row>
    <row r="64" spans="1:16" s="4" customFormat="1" x14ac:dyDescent="0.4">
      <c r="A64" s="14">
        <v>5.0999999999999997E-2</v>
      </c>
      <c r="B64" s="44">
        <f t="shared" si="15"/>
        <v>0.3204424506661589</v>
      </c>
      <c r="C64" s="40">
        <f t="shared" si="0"/>
        <v>6.7924817551116728E-12</v>
      </c>
      <c r="D64" s="15">
        <f t="shared" si="1"/>
        <v>147221595295.04092</v>
      </c>
      <c r="E64" s="15">
        <f t="shared" si="2"/>
        <v>139727448553.84464</v>
      </c>
      <c r="F64" s="29">
        <f t="shared" si="3"/>
        <v>46372817920.086731</v>
      </c>
      <c r="G64" s="17">
        <f t="shared" si="4"/>
        <v>1.3304770551658918</v>
      </c>
      <c r="H64" s="16">
        <f t="shared" si="5"/>
        <v>1.8913346388059349E-11</v>
      </c>
      <c r="I64" s="16">
        <f t="shared" si="6"/>
        <v>52872716413.174492</v>
      </c>
      <c r="J64" s="16">
        <f t="shared" si="7"/>
        <v>12584379838.495577</v>
      </c>
      <c r="K64" s="18">
        <f t="shared" si="8"/>
        <v>51353262067.647049</v>
      </c>
      <c r="L64" s="17">
        <f t="shared" si="9"/>
        <v>1.2242060112469655</v>
      </c>
      <c r="M64" s="16">
        <f t="shared" si="10"/>
        <v>1.9290354885858472E-11</v>
      </c>
      <c r="N64" s="16">
        <f t="shared" si="11"/>
        <v>77759067102.473679</v>
      </c>
      <c r="O64" s="16">
        <f t="shared" si="14"/>
        <v>18507648229.338291</v>
      </c>
      <c r="P64" s="18">
        <f t="shared" si="12"/>
        <v>75524429648.06868</v>
      </c>
    </row>
    <row r="65" spans="1:16" s="4" customFormat="1" x14ac:dyDescent="0.4">
      <c r="A65" s="14">
        <v>5.1999999999999998E-2</v>
      </c>
      <c r="B65" s="44">
        <f t="shared" si="15"/>
        <v>0.32672563597333848</v>
      </c>
      <c r="C65" s="40">
        <f t="shared" si="0"/>
        <v>6.7922585194884656E-12</v>
      </c>
      <c r="D65" s="15">
        <f t="shared" si="1"/>
        <v>147226433907.18753</v>
      </c>
      <c r="E65" s="15">
        <f t="shared" si="2"/>
        <v>139437906003.91806</v>
      </c>
      <c r="F65" s="29">
        <f t="shared" si="3"/>
        <v>47251383157.215309</v>
      </c>
      <c r="G65" s="17">
        <f t="shared" si="4"/>
        <v>1.3565648405613013</v>
      </c>
      <c r="H65" s="16">
        <f t="shared" si="5"/>
        <v>1.8819108504585733E-11</v>
      </c>
      <c r="I65" s="16">
        <f t="shared" si="6"/>
        <v>53137479905.401772</v>
      </c>
      <c r="J65" s="16">
        <f t="shared" si="7"/>
        <v>11296844667.831213</v>
      </c>
      <c r="K65" s="18">
        <f t="shared" si="8"/>
        <v>51922760628.147179</v>
      </c>
      <c r="L65" s="17">
        <f t="shared" si="9"/>
        <v>1.2482100506831804</v>
      </c>
      <c r="M65" s="16">
        <f t="shared" si="10"/>
        <v>1.9206290525494293E-11</v>
      </c>
      <c r="N65" s="16">
        <f t="shared" si="11"/>
        <v>78099412169.617584</v>
      </c>
      <c r="O65" s="16">
        <f t="shared" si="14"/>
        <v>16603665237.790236</v>
      </c>
      <c r="P65" s="18">
        <f t="shared" si="12"/>
        <v>76314064771.254379</v>
      </c>
    </row>
    <row r="66" spans="1:16" s="4" customFormat="1" x14ac:dyDescent="0.4">
      <c r="A66" s="14">
        <v>5.2999999999999999E-2</v>
      </c>
      <c r="B66" s="44">
        <f t="shared" si="15"/>
        <v>0.33300882128051806</v>
      </c>
      <c r="C66" s="40">
        <f t="shared" si="0"/>
        <v>6.79203110598332E-12</v>
      </c>
      <c r="D66" s="15">
        <f t="shared" si="1"/>
        <v>147231363401.59979</v>
      </c>
      <c r="E66" s="15">
        <f t="shared" si="2"/>
        <v>139142925059.23126</v>
      </c>
      <c r="F66" s="29">
        <f t="shared" si="3"/>
        <v>48128170285.759766</v>
      </c>
      <c r="G66" s="17">
        <f t="shared" si="4"/>
        <v>1.3826526259567111</v>
      </c>
      <c r="H66" s="16">
        <f t="shared" si="5"/>
        <v>1.8724334181197925E-11</v>
      </c>
      <c r="I66" s="16">
        <f t="shared" si="6"/>
        <v>53406438398.442589</v>
      </c>
      <c r="J66" s="16">
        <f t="shared" si="7"/>
        <v>9988909361.7744236</v>
      </c>
      <c r="K66" s="18">
        <f t="shared" si="8"/>
        <v>52463981474.616447</v>
      </c>
      <c r="L66" s="17">
        <f t="shared" si="9"/>
        <v>1.2722140901193955</v>
      </c>
      <c r="M66" s="16">
        <f t="shared" si="10"/>
        <v>1.9121548913234625E-11</v>
      </c>
      <c r="N66" s="16">
        <f t="shared" si="11"/>
        <v>78445527964.620209</v>
      </c>
      <c r="O66" s="16">
        <f t="shared" si="14"/>
        <v>14672112430.136938</v>
      </c>
      <c r="P66" s="18">
        <f t="shared" si="12"/>
        <v>77061209272.145691</v>
      </c>
    </row>
    <row r="67" spans="1:16" s="4" customFormat="1" x14ac:dyDescent="0.4">
      <c r="A67" s="14">
        <v>5.3999999999999999E-2</v>
      </c>
      <c r="B67" s="44">
        <f t="shared" si="15"/>
        <v>0.33929200658769765</v>
      </c>
      <c r="C67" s="40">
        <f t="shared" si="0"/>
        <v>6.791799523574132E-12</v>
      </c>
      <c r="D67" s="15">
        <f t="shared" si="1"/>
        <v>147236383601.87607</v>
      </c>
      <c r="E67" s="15">
        <f t="shared" si="2"/>
        <v>138842516275.66049</v>
      </c>
      <c r="F67" s="29">
        <f t="shared" si="3"/>
        <v>49003146127.588127</v>
      </c>
      <c r="G67" s="17">
        <f t="shared" si="4"/>
        <v>1.4087404113521207</v>
      </c>
      <c r="H67" s="16">
        <f t="shared" si="5"/>
        <v>1.8629087915040526E-11</v>
      </c>
      <c r="I67" s="16">
        <f t="shared" si="6"/>
        <v>53679493304.265968</v>
      </c>
      <c r="J67" s="16">
        <f t="shared" si="7"/>
        <v>8661053350.3109589</v>
      </c>
      <c r="K67" s="18">
        <f t="shared" si="8"/>
        <v>52976165926.440941</v>
      </c>
      <c r="L67" s="17">
        <f t="shared" si="9"/>
        <v>1.2962181295556106</v>
      </c>
      <c r="M67" s="16">
        <f t="shared" si="10"/>
        <v>1.903617887433584E-11</v>
      </c>
      <c r="N67" s="16">
        <f t="shared" si="11"/>
        <v>78797326391.078781</v>
      </c>
      <c r="O67" s="16">
        <f t="shared" si="14"/>
        <v>12713753534.643789</v>
      </c>
      <c r="P67" s="18">
        <f t="shared" si="12"/>
        <v>77764896434.332977</v>
      </c>
    </row>
    <row r="68" spans="1:16" s="4" customFormat="1" x14ac:dyDescent="0.4">
      <c r="A68" s="14">
        <v>5.5E-2</v>
      </c>
      <c r="B68" s="44">
        <f t="shared" si="15"/>
        <v>0.34557519189487723</v>
      </c>
      <c r="C68" s="40">
        <f t="shared" si="0"/>
        <v>6.7915637814033767E-12</v>
      </c>
      <c r="D68" s="15">
        <f t="shared" si="1"/>
        <v>147241494328.33047</v>
      </c>
      <c r="E68" s="15">
        <f t="shared" si="2"/>
        <v>138536690405.6088</v>
      </c>
      <c r="F68" s="29">
        <f t="shared" si="3"/>
        <v>49876277562.587532</v>
      </c>
      <c r="G68" s="17">
        <f t="shared" si="4"/>
        <v>1.4348281967475303</v>
      </c>
      <c r="H68" s="16">
        <f t="shared" si="5"/>
        <v>1.8533434524431214E-11</v>
      </c>
      <c r="I68" s="16">
        <f t="shared" si="6"/>
        <v>53956539932.292435</v>
      </c>
      <c r="J68" s="16">
        <f t="shared" si="7"/>
        <v>7313785739.8964539</v>
      </c>
      <c r="K68" s="18">
        <f t="shared" si="8"/>
        <v>53458551604.172325</v>
      </c>
      <c r="L68" s="17">
        <f t="shared" si="9"/>
        <v>1.3202221689918254</v>
      </c>
      <c r="M68" s="16">
        <f t="shared" si="10"/>
        <v>1.895022959613254E-11</v>
      </c>
      <c r="N68" s="16">
        <f t="shared" si="11"/>
        <v>79154713793.342514</v>
      </c>
      <c r="O68" s="16">
        <f t="shared" si="14"/>
        <v>10729387349.778069</v>
      </c>
      <c r="P68" s="18">
        <f t="shared" si="12"/>
        <v>78424160580.808197</v>
      </c>
    </row>
    <row r="69" spans="1:16" s="4" customFormat="1" x14ac:dyDescent="0.4">
      <c r="A69" s="14">
        <v>5.6000000000000001E-2</v>
      </c>
      <c r="B69" s="44">
        <f t="shared" si="15"/>
        <v>0.35185837720205682</v>
      </c>
      <c r="C69" s="40">
        <f t="shared" si="0"/>
        <v>6.7913238887777562E-12</v>
      </c>
      <c r="D69" s="15">
        <f t="shared" si="1"/>
        <v>147246695397.99719</v>
      </c>
      <c r="E69" s="15">
        <f t="shared" si="2"/>
        <v>138225458397.74686</v>
      </c>
      <c r="F69" s="29">
        <f t="shared" si="3"/>
        <v>50747531529.753464</v>
      </c>
      <c r="G69" s="17">
        <f t="shared" si="4"/>
        <v>1.4609159821429401</v>
      </c>
      <c r="H69" s="16">
        <f t="shared" si="5"/>
        <v>1.8437439104749679E-11</v>
      </c>
      <c r="I69" s="16">
        <f t="shared" si="6"/>
        <v>54237467270.733353</v>
      </c>
      <c r="J69" s="16">
        <f t="shared" si="7"/>
        <v>5947646376.7952595</v>
      </c>
      <c r="K69" s="18">
        <f t="shared" si="8"/>
        <v>53910373385.095985</v>
      </c>
      <c r="L69" s="17">
        <f t="shared" si="9"/>
        <v>1.3442262084280405</v>
      </c>
      <c r="M69" s="16">
        <f t="shared" si="10"/>
        <v>1.8863750599697443E-11</v>
      </c>
      <c r="N69" s="16">
        <f t="shared" si="11"/>
        <v>79517590739.566849</v>
      </c>
      <c r="O69" s="16">
        <f t="shared" si="14"/>
        <v>8719848736.537035</v>
      </c>
      <c r="P69" s="18">
        <f t="shared" si="12"/>
        <v>79038038152.760101</v>
      </c>
    </row>
    <row r="70" spans="1:16" s="4" customFormat="1" x14ac:dyDescent="0.4">
      <c r="A70" s="14">
        <v>5.7000000000000002E-2</v>
      </c>
      <c r="B70" s="44">
        <f t="shared" si="15"/>
        <v>0.35814156250923646</v>
      </c>
      <c r="C70" s="40">
        <f t="shared" si="0"/>
        <v>6.7910798551678146E-12</v>
      </c>
      <c r="D70" s="15">
        <f t="shared" si="1"/>
        <v>147251986624.6351</v>
      </c>
      <c r="E70" s="15">
        <f t="shared" si="2"/>
        <v>137908831396.74832</v>
      </c>
      <c r="F70" s="29">
        <f t="shared" si="3"/>
        <v>51616875028.278831</v>
      </c>
      <c r="G70" s="17">
        <f t="shared" si="4"/>
        <v>1.4870037675383498</v>
      </c>
      <c r="H70" s="16">
        <f t="shared" si="5"/>
        <v>1.8341166984138007E-11</v>
      </c>
      <c r="I70" s="16">
        <f t="shared" si="6"/>
        <v>54522157770.267838</v>
      </c>
      <c r="J70" s="16">
        <f t="shared" si="7"/>
        <v>4563206899.0518579</v>
      </c>
      <c r="K70" s="18">
        <f t="shared" si="8"/>
        <v>54330864439.307632</v>
      </c>
      <c r="L70" s="17">
        <f t="shared" si="9"/>
        <v>1.3682302478642556</v>
      </c>
      <c r="M70" s="16">
        <f t="shared" si="10"/>
        <v>1.877679171130904E-11</v>
      </c>
      <c r="N70" s="16">
        <f t="shared" si="11"/>
        <v>79885851803.775818</v>
      </c>
      <c r="O70" s="16">
        <f t="shared" si="14"/>
        <v>6686009596.7517567</v>
      </c>
      <c r="P70" s="18">
        <f t="shared" si="12"/>
        <v>79605568863.53476</v>
      </c>
    </row>
    <row r="71" spans="1:16" s="4" customFormat="1" x14ac:dyDescent="0.4">
      <c r="A71" s="14">
        <v>5.8000000000000003E-2</v>
      </c>
      <c r="B71" s="44">
        <f t="shared" si="15"/>
        <v>0.36442474781641604</v>
      </c>
      <c r="C71" s="40">
        <f t="shared" si="0"/>
        <v>6.7908316902075857E-12</v>
      </c>
      <c r="D71" s="15">
        <f t="shared" si="1"/>
        <v>147257367818.73199</v>
      </c>
      <c r="E71" s="15">
        <f t="shared" si="2"/>
        <v>137586820743.0202</v>
      </c>
      <c r="F71" s="29">
        <f t="shared" si="3"/>
        <v>52484275118.642464</v>
      </c>
      <c r="G71" s="17">
        <f t="shared" si="4"/>
        <v>1.5130915529337594</v>
      </c>
      <c r="H71" s="16">
        <f t="shared" si="5"/>
        <v>1.8244683679042667E-11</v>
      </c>
      <c r="I71" s="16">
        <f t="shared" si="6"/>
        <v>54810487131.036514</v>
      </c>
      <c r="J71" s="16">
        <f t="shared" si="7"/>
        <v>3161071772.3321428</v>
      </c>
      <c r="K71" s="18">
        <f t="shared" si="8"/>
        <v>54719257348.685616</v>
      </c>
      <c r="L71" s="17">
        <f t="shared" si="9"/>
        <v>1.3922342873004707</v>
      </c>
      <c r="M71" s="16">
        <f t="shared" si="10"/>
        <v>1.868940303374336E-11</v>
      </c>
      <c r="N71" s="16">
        <f t="shared" si="11"/>
        <v>80259385347.503006</v>
      </c>
      <c r="O71" s="16">
        <f t="shared" si="14"/>
        <v>4628779833.3224182</v>
      </c>
      <c r="P71" s="18">
        <f t="shared" si="12"/>
        <v>80125796929.663101</v>
      </c>
    </row>
    <row r="72" spans="1:16" s="4" customFormat="1" x14ac:dyDescent="0.4">
      <c r="A72" s="14">
        <v>5.8999999999999997E-2</v>
      </c>
      <c r="B72" s="44">
        <f t="shared" si="15"/>
        <v>0.37070793312359557</v>
      </c>
      <c r="C72" s="40">
        <f t="shared" si="0"/>
        <v>6.7905794036941951E-12</v>
      </c>
      <c r="D72" s="15">
        <f t="shared" si="1"/>
        <v>147262838787.5094</v>
      </c>
      <c r="E72" s="15">
        <f t="shared" si="2"/>
        <v>137259437972.42807</v>
      </c>
      <c r="F72" s="29">
        <f t="shared" si="3"/>
        <v>53349698923.697357</v>
      </c>
      <c r="G72" s="17">
        <f t="shared" si="4"/>
        <v>1.5391793383291688</v>
      </c>
      <c r="H72" s="16">
        <f t="shared" si="5"/>
        <v>1.8148054849628328E-11</v>
      </c>
      <c r="I72" s="16">
        <f t="shared" si="6"/>
        <v>55102324094.005043</v>
      </c>
      <c r="J72" s="16">
        <f t="shared" si="7"/>
        <v>1741879304.5152388</v>
      </c>
      <c r="K72" s="18">
        <f t="shared" si="8"/>
        <v>55074785310.968491</v>
      </c>
      <c r="L72" s="17">
        <f t="shared" si="9"/>
        <v>1.4162383267366854</v>
      </c>
      <c r="M72" s="16">
        <f t="shared" si="10"/>
        <v>1.8601634917406458E-11</v>
      </c>
      <c r="N72" s="16">
        <f t="shared" si="11"/>
        <v>80638073301.630966</v>
      </c>
      <c r="O72" s="16">
        <f t="shared" si="14"/>
        <v>2549108288.0726547</v>
      </c>
      <c r="P72" s="18">
        <f t="shared" si="12"/>
        <v>80597772380.723328</v>
      </c>
    </row>
    <row r="73" spans="1:16" s="4" customFormat="1" x14ac:dyDescent="0.4">
      <c r="A73" s="14">
        <v>0.06</v>
      </c>
      <c r="B73" s="44">
        <f t="shared" si="15"/>
        <v>0.37699111843077515</v>
      </c>
      <c r="C73" s="40">
        <f t="shared" si="0"/>
        <v>6.7903230055874821E-12</v>
      </c>
      <c r="D73" s="15">
        <f t="shared" si="1"/>
        <v>147268399334.92715</v>
      </c>
      <c r="E73" s="15">
        <f t="shared" si="2"/>
        <v>136926694816.01628</v>
      </c>
      <c r="F73" s="29">
        <f t="shared" si="3"/>
        <v>54213113629.758575</v>
      </c>
      <c r="G73" s="17">
        <f t="shared" si="4"/>
        <v>1.5652671237245785</v>
      </c>
      <c r="H73" s="16">
        <f t="shared" si="5"/>
        <v>1.8051346255093903E-11</v>
      </c>
      <c r="I73" s="16">
        <f t="shared" si="6"/>
        <v>55397530237.824249</v>
      </c>
      <c r="J73" s="16">
        <f t="shared" si="7"/>
        <v>306302633.55500996</v>
      </c>
      <c r="K73" s="18">
        <f t="shared" si="8"/>
        <v>55396683430.935905</v>
      </c>
      <c r="L73" s="17">
        <f t="shared" si="9"/>
        <v>1.4402423661729005</v>
      </c>
      <c r="M73" s="16">
        <f t="shared" si="10"/>
        <v>1.8513537931324189E-11</v>
      </c>
      <c r="N73" s="16">
        <f t="shared" si="11"/>
        <v>81021790949.100983</v>
      </c>
      <c r="O73" s="16">
        <f t="shared" si="14"/>
        <v>447983652.63779318</v>
      </c>
      <c r="P73" s="18">
        <f t="shared" si="12"/>
        <v>81020552449.651871</v>
      </c>
    </row>
    <row r="74" spans="1:16" s="4" customFormat="1" x14ac:dyDescent="0.4">
      <c r="A74" s="14">
        <v>6.0999999999999999E-2</v>
      </c>
      <c r="B74" s="44">
        <f t="shared" si="15"/>
        <v>0.38327430373795474</v>
      </c>
      <c r="C74" s="40">
        <f t="shared" si="0"/>
        <v>6.7900625060096058E-12</v>
      </c>
      <c r="D74" s="15">
        <f t="shared" si="1"/>
        <v>147274049261.68811</v>
      </c>
      <c r="E74" s="15">
        <f t="shared" si="2"/>
        <v>136588603199.72281</v>
      </c>
      <c r="F74" s="29">
        <f t="shared" si="3"/>
        <v>55074486487.690575</v>
      </c>
      <c r="G74" s="17">
        <f t="shared" si="4"/>
        <v>1.5913549091199881</v>
      </c>
      <c r="H74" s="16">
        <f t="shared" si="5"/>
        <v>1.7954623708921179E-11</v>
      </c>
      <c r="I74" s="16">
        <f t="shared" si="6"/>
        <v>55695959782.388885</v>
      </c>
      <c r="J74" s="16">
        <f t="shared" si="7"/>
        <v>-1144949317.233156</v>
      </c>
      <c r="K74" s="18">
        <f t="shared" si="8"/>
        <v>55684190100.444557</v>
      </c>
      <c r="L74" s="17">
        <f t="shared" si="9"/>
        <v>1.4642464056091156</v>
      </c>
      <c r="M74" s="16">
        <f t="shared" si="10"/>
        <v>1.8425162834006061E-11</v>
      </c>
      <c r="N74" s="16">
        <f t="shared" si="11"/>
        <v>81410406709.217941</v>
      </c>
      <c r="O74" s="16">
        <f t="shared" si="14"/>
        <v>-1673564652.4735169</v>
      </c>
      <c r="P74" s="18">
        <f t="shared" si="12"/>
        <v>81393203044.936554</v>
      </c>
    </row>
    <row r="75" spans="1:16" s="4" customFormat="1" x14ac:dyDescent="0.4">
      <c r="A75" s="14">
        <v>6.2E-2</v>
      </c>
      <c r="B75" s="44">
        <f t="shared" si="15"/>
        <v>0.38955748904513432</v>
      </c>
      <c r="C75" s="40">
        <f t="shared" si="0"/>
        <v>6.7897979152446434E-12</v>
      </c>
      <c r="D75" s="15">
        <f t="shared" si="1"/>
        <v>147279788365.2431</v>
      </c>
      <c r="E75" s="15">
        <f t="shared" si="2"/>
        <v>136245175244.0892</v>
      </c>
      <c r="F75" s="29">
        <f t="shared" si="3"/>
        <v>55933784813.994301</v>
      </c>
      <c r="G75" s="17">
        <f t="shared" si="4"/>
        <v>1.6174426945153977</v>
      </c>
      <c r="H75" s="16">
        <f t="shared" si="5"/>
        <v>1.7857953034086505E-11</v>
      </c>
      <c r="I75" s="16">
        <f t="shared" si="6"/>
        <v>55997459400.37149</v>
      </c>
      <c r="J75" s="16">
        <f t="shared" si="7"/>
        <v>-2611130922.6685762</v>
      </c>
      <c r="K75" s="18">
        <f t="shared" si="8"/>
        <v>55936548468.786827</v>
      </c>
      <c r="L75" s="17">
        <f t="shared" si="9"/>
        <v>1.4882504450453304</v>
      </c>
      <c r="M75" s="16">
        <f t="shared" si="10"/>
        <v>1.8336560544199885E-11</v>
      </c>
      <c r="N75" s="16">
        <f t="shared" si="11"/>
        <v>81803781924.329926</v>
      </c>
      <c r="O75" s="16">
        <f t="shared" si="14"/>
        <v>-3814465635.7827115</v>
      </c>
      <c r="P75" s="18">
        <f t="shared" si="12"/>
        <v>81714800305.922302</v>
      </c>
    </row>
    <row r="76" spans="1:16" s="4" customFormat="1" x14ac:dyDescent="0.4">
      <c r="A76" s="14">
        <v>6.3E-2</v>
      </c>
      <c r="B76" s="44">
        <f t="shared" si="15"/>
        <v>0.39584067435231396</v>
      </c>
      <c r="C76" s="40">
        <f t="shared" si="0"/>
        <v>6.7895292437381858E-12</v>
      </c>
      <c r="D76" s="15">
        <f t="shared" si="1"/>
        <v>147285616439.7959</v>
      </c>
      <c r="E76" s="15">
        <f t="shared" si="2"/>
        <v>135896423263.9653</v>
      </c>
      <c r="F76" s="29">
        <f t="shared" si="3"/>
        <v>56790975991.893852</v>
      </c>
      <c r="G76" s="17">
        <f t="shared" si="4"/>
        <v>1.6435304799108077</v>
      </c>
      <c r="H76" s="16">
        <f t="shared" si="5"/>
        <v>1.7761400018266021E-11</v>
      </c>
      <c r="I76" s="16">
        <f t="shared" si="6"/>
        <v>56301868038.081955</v>
      </c>
      <c r="J76" s="16">
        <f t="shared" si="7"/>
        <v>-4091458984.5518413</v>
      </c>
      <c r="K76" s="18">
        <f t="shared" si="8"/>
        <v>56153008004.516769</v>
      </c>
      <c r="L76" s="17">
        <f t="shared" si="9"/>
        <v>1.5122544844815458</v>
      </c>
      <c r="M76" s="16">
        <f t="shared" si="10"/>
        <v>1.8247782111554111E-11</v>
      </c>
      <c r="N76" s="16">
        <f t="shared" si="11"/>
        <v>82201770649.718109</v>
      </c>
      <c r="O76" s="16">
        <f t="shared" si="14"/>
        <v>-5973605935.1240778</v>
      </c>
      <c r="P76" s="18">
        <f t="shared" si="12"/>
        <v>81984432242.229416</v>
      </c>
    </row>
    <row r="77" spans="1:16" s="4" customFormat="1" x14ac:dyDescent="0.4">
      <c r="A77" s="14">
        <v>6.4000000000000001E-2</v>
      </c>
      <c r="B77" s="44">
        <f t="shared" si="15"/>
        <v>0.40212385965949354</v>
      </c>
      <c r="C77" s="40">
        <f t="shared" ref="C77:C140" si="16">((semiejeMayorTierra*(1-(excentricidadTierra^2)))^-1)*(1+excentricidadTierra*COS(Φ))</f>
        <v>6.7892565020969219E-12</v>
      </c>
      <c r="D77" s="15">
        <f t="shared" ref="D77:D140" si="17">1/u0Tierra</f>
        <v>147291533276.30811</v>
      </c>
      <c r="E77" s="15">
        <f t="shared" ref="E77:E140" si="18">r0Tierra*COS(Φ)</f>
        <v>135542359768.20857</v>
      </c>
      <c r="F77" s="29">
        <f t="shared" ref="F77:F140" si="19">r0Tierra*SIN(Φ)</f>
        <v>57646027472.422523</v>
      </c>
      <c r="G77" s="17">
        <f t="shared" ref="G77:G140" si="20">Φ*relaciónOrbitas</f>
        <v>1.6696182653062173</v>
      </c>
      <c r="H77" s="16">
        <f t="shared" ref="H77:H140" si="21">((semiejeMayorMercurio*(1-(excentricidadMercurio^2)))^-1)*(1+excentricidadMercurio*COS(ΦMercurio))</f>
        <v>1.7665030369064921E-11</v>
      </c>
      <c r="I77" s="16">
        <f t="shared" ref="I77:I140" si="22">1/u0Mercurio</f>
        <v>56609016747.075874</v>
      </c>
      <c r="J77" s="16">
        <f t="shared" ref="J77:J140" si="23">r0Mercurio*COS(ΦMercurio)</f>
        <v>-5585111912.7824116</v>
      </c>
      <c r="K77" s="18">
        <f t="shared" ref="K77:K140" si="24">r0Mercurio*SIN(ΦMercurio)</f>
        <v>56332826149.52327</v>
      </c>
      <c r="L77" s="17">
        <f t="shared" ref="L77:L140" si="25">ΦMercurio*(1-(simulaciónÁngulo*((3/2)*rsSol*((semiejeMayorMercurio*(1-(excentricidadMercurio^2)))^-1))))</f>
        <v>1.5362585239177606</v>
      </c>
      <c r="M77" s="16">
        <f t="shared" ref="M77:M140" si="26">((semiejeMayorMercurio*(1-(excentricidadMercurio^2)))^-1)*(1+excentricidadMercurio*COS(ΦLPMercurio))</f>
        <v>1.8158878687204754E-11</v>
      </c>
      <c r="N77" s="16">
        <f t="shared" ref="N77:N140" si="27">1*simulaciónRadio/uMercurio</f>
        <v>82604219447.588547</v>
      </c>
      <c r="O77" s="16">
        <f t="shared" si="14"/>
        <v>-8149829065.9968128</v>
      </c>
      <c r="P77" s="18">
        <f t="shared" ref="P77:P140" si="28">rMercurio*SIN(ΦMercurio)</f>
        <v>82201200458.024948</v>
      </c>
    </row>
    <row r="78" spans="1:16" s="4" customFormat="1" x14ac:dyDescent="0.4">
      <c r="A78" s="14">
        <v>6.5000000000000002E-2</v>
      </c>
      <c r="B78" s="44">
        <f t="shared" si="15"/>
        <v>0.40840704496667313</v>
      </c>
      <c r="C78" s="40">
        <f t="shared" si="16"/>
        <v>6.788979701088227E-12</v>
      </c>
      <c r="D78" s="15">
        <f t="shared" si="17"/>
        <v>147297538662.5043</v>
      </c>
      <c r="E78" s="15">
        <f t="shared" si="18"/>
        <v>135182997459.37837</v>
      </c>
      <c r="F78" s="29">
        <f t="shared" si="19"/>
        <v>58498906775.508629</v>
      </c>
      <c r="G78" s="17">
        <f t="shared" si="20"/>
        <v>1.6957060507016268</v>
      </c>
      <c r="H78" s="16">
        <f t="shared" si="21"/>
        <v>1.7568909669301183E-11</v>
      </c>
      <c r="I78" s="16">
        <f t="shared" si="22"/>
        <v>56918728528.005219</v>
      </c>
      <c r="J78" s="16">
        <f t="shared" si="23"/>
        <v>-7091228966.0101929</v>
      </c>
      <c r="K78" s="18">
        <f t="shared" si="24"/>
        <v>56475270065.723221</v>
      </c>
      <c r="L78" s="17">
        <f t="shared" si="25"/>
        <v>1.5602625633539757</v>
      </c>
      <c r="M78" s="16">
        <f t="shared" si="26"/>
        <v>1.8069901494303831E-11</v>
      </c>
      <c r="N78" s="16">
        <f t="shared" si="27"/>
        <v>83010967186.115799</v>
      </c>
      <c r="O78" s="16">
        <f t="shared" ref="O78:O141" si="29">rMercurio*COS(ΦMercurio)</f>
        <v>-10341934723.947283</v>
      </c>
      <c r="P78" s="18">
        <f t="shared" si="28"/>
        <v>82364221961.601791</v>
      </c>
    </row>
    <row r="79" spans="1:16" s="4" customFormat="1" x14ac:dyDescent="0.4">
      <c r="A79" s="14">
        <v>6.6000000000000003E-2</v>
      </c>
      <c r="B79" s="44">
        <f t="shared" ref="B79:B142" si="30">A79*2*PI()</f>
        <v>0.41469023027385271</v>
      </c>
      <c r="C79" s="40">
        <f t="shared" si="16"/>
        <v>6.7886988516397306E-12</v>
      </c>
      <c r="D79" s="15">
        <f t="shared" si="17"/>
        <v>147303632382.87729</v>
      </c>
      <c r="E79" s="15">
        <f t="shared" si="18"/>
        <v>134818349233.42517</v>
      </c>
      <c r="F79" s="29">
        <f t="shared" si="19"/>
        <v>59349581491.060745</v>
      </c>
      <c r="G79" s="17">
        <f t="shared" si="20"/>
        <v>1.7217938360970366</v>
      </c>
      <c r="H79" s="16">
        <f t="shared" si="21"/>
        <v>1.7473103332374234E-11</v>
      </c>
      <c r="I79" s="16">
        <f t="shared" si="22"/>
        <v>57230818188.272034</v>
      </c>
      <c r="J79" s="16">
        <f t="shared" si="23"/>
        <v>-8608909559.4103947</v>
      </c>
      <c r="K79" s="18">
        <f t="shared" si="24"/>
        <v>56579618474.296387</v>
      </c>
      <c r="L79" s="17">
        <f t="shared" si="25"/>
        <v>1.5842666027901908</v>
      </c>
      <c r="M79" s="16">
        <f t="shared" si="26"/>
        <v>1.7980901798506295E-11</v>
      </c>
      <c r="N79" s="16">
        <f t="shared" si="27"/>
        <v>83421844844.545425</v>
      </c>
      <c r="O79" s="16">
        <f t="shared" si="29"/>
        <v>-12548678147.205458</v>
      </c>
      <c r="P79" s="18">
        <f t="shared" si="28"/>
        <v>82472631060.402451</v>
      </c>
    </row>
    <row r="80" spans="1:16" s="4" customFormat="1" x14ac:dyDescent="0.4">
      <c r="A80" s="14">
        <v>6.7000000000000004E-2</v>
      </c>
      <c r="B80" s="44">
        <f t="shared" si="30"/>
        <v>0.4209734155810323</v>
      </c>
      <c r="C80" s="40">
        <f t="shared" si="16"/>
        <v>6.7884139648388863E-12</v>
      </c>
      <c r="D80" s="15">
        <f t="shared" si="17"/>
        <v>147309814218.69336</v>
      </c>
      <c r="E80" s="15">
        <f t="shared" si="18"/>
        <v>134448428179.37433</v>
      </c>
      <c r="F80" s="29">
        <f t="shared" si="19"/>
        <v>60198019280.052513</v>
      </c>
      <c r="G80" s="17">
        <f t="shared" si="20"/>
        <v>1.7478816214924462</v>
      </c>
      <c r="H80" s="16">
        <f t="shared" si="21"/>
        <v>1.7377676557748941E-11</v>
      </c>
      <c r="I80" s="16">
        <f t="shared" si="22"/>
        <v>57545092215.108955</v>
      </c>
      <c r="J80" s="16">
        <f t="shared" si="23"/>
        <v>-10137212647.479361</v>
      </c>
      <c r="K80" s="18">
        <f t="shared" si="24"/>
        <v>56645163586.886902</v>
      </c>
      <c r="L80" s="17">
        <f t="shared" si="25"/>
        <v>1.6082706422264057</v>
      </c>
      <c r="M80" s="16">
        <f t="shared" si="26"/>
        <v>1.7891930878432521E-11</v>
      </c>
      <c r="N80" s="16">
        <f t="shared" si="27"/>
        <v>83836675325.419785</v>
      </c>
      <c r="O80" s="16">
        <f t="shared" si="29"/>
        <v>-14768769546.055668</v>
      </c>
      <c r="P80" s="18">
        <f t="shared" si="28"/>
        <v>82525581341.274704</v>
      </c>
    </row>
    <row r="81" spans="1:16" s="4" customFormat="1" x14ac:dyDescent="0.4">
      <c r="A81" s="14">
        <v>6.8000000000000005E-2</v>
      </c>
      <c r="B81" s="44">
        <f t="shared" si="30"/>
        <v>0.42725660088821188</v>
      </c>
      <c r="C81" s="40">
        <f t="shared" si="16"/>
        <v>6.7881250519325379E-12</v>
      </c>
      <c r="D81" s="15">
        <f t="shared" si="17"/>
        <v>147316083947.99771</v>
      </c>
      <c r="E81" s="15">
        <f t="shared" si="18"/>
        <v>134073247579.00476</v>
      </c>
      <c r="F81" s="29">
        <f t="shared" si="19"/>
        <v>61044187875.606972</v>
      </c>
      <c r="G81" s="17">
        <f t="shared" si="20"/>
        <v>1.7739694068878558</v>
      </c>
      <c r="H81" s="16">
        <f t="shared" si="21"/>
        <v>1.7282694286585113E-11</v>
      </c>
      <c r="I81" s="16">
        <f t="shared" si="22"/>
        <v>57861348665.769287</v>
      </c>
      <c r="J81" s="16">
        <f t="shared" si="23"/>
        <v>-11675156190.032108</v>
      </c>
      <c r="K81" s="18">
        <f t="shared" si="24"/>
        <v>56671213127.654816</v>
      </c>
      <c r="L81" s="17">
        <f t="shared" si="25"/>
        <v>1.6322746816626206</v>
      </c>
      <c r="M81" s="16">
        <f t="shared" si="26"/>
        <v>1.7803039996123279E-11</v>
      </c>
      <c r="N81" s="16">
        <f t="shared" si="27"/>
        <v>84255273275.049332</v>
      </c>
      <c r="O81" s="16">
        <f t="shared" si="29"/>
        <v>-17000873605.664694</v>
      </c>
      <c r="P81" s="18">
        <f t="shared" si="28"/>
        <v>82522247735.368042</v>
      </c>
    </row>
    <row r="82" spans="1:16" s="4" customFormat="1" x14ac:dyDescent="0.4">
      <c r="A82" s="14">
        <v>6.9000000000000006E-2</v>
      </c>
      <c r="B82" s="44">
        <f t="shared" si="30"/>
        <v>0.43353978619539146</v>
      </c>
      <c r="C82" s="40">
        <f t="shared" si="16"/>
        <v>6.7878321243264736E-12</v>
      </c>
      <c r="D82" s="15">
        <f t="shared" si="17"/>
        <v>147322441345.61969</v>
      </c>
      <c r="E82" s="15">
        <f t="shared" si="18"/>
        <v>133692820906.52213</v>
      </c>
      <c r="F82" s="29">
        <f t="shared" si="19"/>
        <v>61888055084.080246</v>
      </c>
      <c r="G82" s="17">
        <f t="shared" si="20"/>
        <v>1.8000571922832653</v>
      </c>
      <c r="H82" s="16">
        <f t="shared" si="21"/>
        <v>1.7188221157542876E-11</v>
      </c>
      <c r="I82" s="16">
        <f t="shared" si="22"/>
        <v>58179377076.560371</v>
      </c>
      <c r="J82" s="16">
        <f t="shared" si="23"/>
        <v>-13221716709.83563</v>
      </c>
      <c r="K82" s="18">
        <f t="shared" si="24"/>
        <v>56657092444.472046</v>
      </c>
      <c r="L82" s="17">
        <f t="shared" si="25"/>
        <v>1.6562787210988357</v>
      </c>
      <c r="M82" s="16">
        <f t="shared" si="26"/>
        <v>1.7714280367504279E-11</v>
      </c>
      <c r="N82" s="16">
        <f t="shared" si="27"/>
        <v>84677444913.407532</v>
      </c>
      <c r="O82" s="16">
        <f t="shared" si="29"/>
        <v>-19243609069.318302</v>
      </c>
      <c r="P82" s="18">
        <f t="shared" si="28"/>
        <v>82461828666.665024</v>
      </c>
    </row>
    <row r="83" spans="1:16" s="4" customFormat="1" x14ac:dyDescent="0.4">
      <c r="A83" s="14">
        <v>7.0000000000000007E-2</v>
      </c>
      <c r="B83" s="44">
        <f t="shared" si="30"/>
        <v>0.4398229715025711</v>
      </c>
      <c r="C83" s="40">
        <f t="shared" si="16"/>
        <v>6.7875351935849733E-12</v>
      </c>
      <c r="D83" s="15">
        <f t="shared" si="17"/>
        <v>147328886183.17865</v>
      </c>
      <c r="E83" s="15">
        <f t="shared" si="18"/>
        <v>133307161828.2272</v>
      </c>
      <c r="F83" s="29">
        <f t="shared" si="19"/>
        <v>62729588786.145035</v>
      </c>
      <c r="G83" s="17">
        <f t="shared" si="20"/>
        <v>1.8261449776786753</v>
      </c>
      <c r="H83" s="16">
        <f t="shared" si="21"/>
        <v>1.7094321462793858E-11</v>
      </c>
      <c r="I83" s="16">
        <f t="shared" si="22"/>
        <v>58498958392.500137</v>
      </c>
      <c r="J83" s="16">
        <f t="shared" si="23"/>
        <v>-14775828950.53096</v>
      </c>
      <c r="K83" s="18">
        <f t="shared" si="24"/>
        <v>56602146706.923698</v>
      </c>
      <c r="L83" s="17">
        <f t="shared" si="25"/>
        <v>1.680282760535051</v>
      </c>
      <c r="M83" s="16">
        <f t="shared" si="26"/>
        <v>1.7625703132877288E-11</v>
      </c>
      <c r="N83" s="16">
        <f t="shared" si="27"/>
        <v>85102987874.681976</v>
      </c>
      <c r="O83" s="16">
        <f t="shared" si="29"/>
        <v>-21495548409.228168</v>
      </c>
      <c r="P83" s="18">
        <f t="shared" si="28"/>
        <v>82343548282.696655</v>
      </c>
    </row>
    <row r="84" spans="1:16" s="4" customFormat="1" x14ac:dyDescent="0.4">
      <c r="A84" s="14">
        <v>7.0999999999999994E-2</v>
      </c>
      <c r="B84" s="44">
        <f t="shared" si="30"/>
        <v>0.44610615680975058</v>
      </c>
      <c r="C84" s="40">
        <f t="shared" si="16"/>
        <v>6.7872342714303525E-12</v>
      </c>
      <c r="D84" s="15">
        <f t="shared" si="17"/>
        <v>147335418229.08942</v>
      </c>
      <c r="E84" s="15">
        <f t="shared" si="18"/>
        <v>132916284202.17853</v>
      </c>
      <c r="F84" s="29">
        <f t="shared" si="19"/>
        <v>63568756937.873192</v>
      </c>
      <c r="G84" s="17">
        <f t="shared" si="20"/>
        <v>1.8522327630740845</v>
      </c>
      <c r="H84" s="16">
        <f t="shared" si="21"/>
        <v>1.7001059104268181E-11</v>
      </c>
      <c r="I84" s="16">
        <f t="shared" si="22"/>
        <v>58819864919.412354</v>
      </c>
      <c r="J84" s="16">
        <f t="shared" si="23"/>
        <v>-16336385643.674107</v>
      </c>
      <c r="K84" s="18">
        <f t="shared" si="24"/>
        <v>56505743188.096146</v>
      </c>
      <c r="L84" s="17">
        <f t="shared" si="25"/>
        <v>1.7042867999712654</v>
      </c>
      <c r="M84" s="16">
        <f t="shared" si="26"/>
        <v>1.7537359327454818E-11</v>
      </c>
      <c r="N84" s="16">
        <f t="shared" si="27"/>
        <v>85531691059.767639</v>
      </c>
      <c r="O84" s="16">
        <f t="shared" si="29"/>
        <v>-23755217592.25959</v>
      </c>
      <c r="P84" s="18">
        <f t="shared" si="28"/>
        <v>82166658765.511063</v>
      </c>
    </row>
    <row r="85" spans="1:16" s="4" customFormat="1" x14ac:dyDescent="0.4">
      <c r="A85" s="14">
        <v>7.1999999999999995E-2</v>
      </c>
      <c r="B85" s="44">
        <f t="shared" si="30"/>
        <v>0.45238934211693016</v>
      </c>
      <c r="C85" s="40">
        <f t="shared" si="16"/>
        <v>6.7869293697425043E-12</v>
      </c>
      <c r="D85" s="15">
        <f t="shared" si="17"/>
        <v>147342037248.56796</v>
      </c>
      <c r="E85" s="15">
        <f t="shared" si="18"/>
        <v>132520202077.84988</v>
      </c>
      <c r="F85" s="29">
        <f t="shared" si="19"/>
        <v>64405527571.818085</v>
      </c>
      <c r="G85" s="17">
        <f t="shared" si="20"/>
        <v>1.878320548469494</v>
      </c>
      <c r="H85" s="16">
        <f t="shared" si="21"/>
        <v>1.6908497550167026E-11</v>
      </c>
      <c r="I85" s="16">
        <f t="shared" si="22"/>
        <v>59141860300.303368</v>
      </c>
      <c r="J85" s="16">
        <f t="shared" si="23"/>
        <v>-17902237393.857147</v>
      </c>
      <c r="K85" s="18">
        <f t="shared" si="24"/>
        <v>56367273626.410057</v>
      </c>
      <c r="L85" s="17">
        <f t="shared" si="25"/>
        <v>1.7282908394074805</v>
      </c>
      <c r="M85" s="16">
        <f t="shared" si="26"/>
        <v>1.7449299851955339E-11</v>
      </c>
      <c r="N85" s="16">
        <f t="shared" si="27"/>
        <v>85963334502.038055</v>
      </c>
      <c r="O85" s="16">
        <f t="shared" si="29"/>
        <v>-26021095948.095192</v>
      </c>
      <c r="P85" s="18">
        <f t="shared" si="28"/>
        <v>81930442720.452271</v>
      </c>
    </row>
    <row r="86" spans="1:16" s="4" customFormat="1" x14ac:dyDescent="0.4">
      <c r="A86" s="14">
        <v>7.2999999999999995E-2</v>
      </c>
      <c r="B86" s="44">
        <f t="shared" si="30"/>
        <v>0.45867252742410974</v>
      </c>
      <c r="C86" s="40">
        <f t="shared" si="16"/>
        <v>6.786620500558426E-12</v>
      </c>
      <c r="D86" s="15">
        <f t="shared" si="17"/>
        <v>147348743003.63733</v>
      </c>
      <c r="E86" s="15">
        <f t="shared" si="18"/>
        <v>132118929695.78265</v>
      </c>
      <c r="F86" s="29">
        <f t="shared" si="19"/>
        <v>65239868798.096169</v>
      </c>
      <c r="G86" s="17">
        <f t="shared" si="20"/>
        <v>1.9044083338649038</v>
      </c>
      <c r="H86" s="16">
        <f t="shared" si="21"/>
        <v>1.6816699791770372E-11</v>
      </c>
      <c r="I86" s="16">
        <f t="shared" si="22"/>
        <v>59464699517.878792</v>
      </c>
      <c r="J86" s="16">
        <f t="shared" si="23"/>
        <v>-19472192690.946613</v>
      </c>
      <c r="K86" s="18">
        <f t="shared" si="24"/>
        <v>56186156662.991814</v>
      </c>
      <c r="L86" s="17">
        <f t="shared" si="25"/>
        <v>1.7522948788436956</v>
      </c>
      <c r="M86" s="16">
        <f t="shared" si="26"/>
        <v>1.7361575443276022E-11</v>
      </c>
      <c r="N86" s="16">
        <f t="shared" si="27"/>
        <v>86397689247.777115</v>
      </c>
      <c r="O86" s="16">
        <f t="shared" si="29"/>
        <v>-28291616147.482971</v>
      </c>
      <c r="P86" s="18">
        <f t="shared" si="28"/>
        <v>81634215639.760651</v>
      </c>
    </row>
    <row r="87" spans="1:16" s="4" customFormat="1" x14ac:dyDescent="0.4">
      <c r="A87" s="14">
        <v>7.3999999999999996E-2</v>
      </c>
      <c r="B87" s="44">
        <f t="shared" si="30"/>
        <v>0.46495571273128938</v>
      </c>
      <c r="C87" s="40">
        <f t="shared" si="16"/>
        <v>6.7863076760717412E-12</v>
      </c>
      <c r="D87" s="15">
        <f t="shared" si="17"/>
        <v>147355535253.13351</v>
      </c>
      <c r="E87" s="15">
        <f t="shared" si="18"/>
        <v>131712481487.23262</v>
      </c>
      <c r="F87" s="29">
        <f t="shared" si="19"/>
        <v>66071748805.468124</v>
      </c>
      <c r="G87" s="17">
        <f t="shared" si="20"/>
        <v>1.9304961192603136</v>
      </c>
      <c r="H87" s="16">
        <f t="shared" si="21"/>
        <v>1.6725728300569297E-11</v>
      </c>
      <c r="I87" s="16">
        <f t="shared" si="22"/>
        <v>59788128925.062286</v>
      </c>
      <c r="J87" s="16">
        <f t="shared" si="23"/>
        <v>-21045018058.495445</v>
      </c>
      <c r="K87" s="18">
        <f t="shared" si="24"/>
        <v>55961840349.27256</v>
      </c>
      <c r="L87" s="17">
        <f t="shared" si="25"/>
        <v>1.7762989182799107</v>
      </c>
      <c r="M87" s="16">
        <f t="shared" si="26"/>
        <v>1.7274236645259858E-11</v>
      </c>
      <c r="N87" s="16">
        <f t="shared" si="27"/>
        <v>86834517252.697708</v>
      </c>
      <c r="O87" s="16">
        <f t="shared" si="29"/>
        <v>-30565164298.32151</v>
      </c>
      <c r="P87" s="18">
        <f t="shared" si="28"/>
        <v>81277328437.428772</v>
      </c>
    </row>
    <row r="88" spans="1:16" s="4" customFormat="1" x14ac:dyDescent="0.4">
      <c r="A88" s="14">
        <v>7.4999999999999997E-2</v>
      </c>
      <c r="B88" s="44">
        <f t="shared" si="30"/>
        <v>0.47123889803846897</v>
      </c>
      <c r="C88" s="40">
        <f t="shared" si="16"/>
        <v>6.7859909086322274E-12</v>
      </c>
      <c r="D88" s="15">
        <f t="shared" si="17"/>
        <v>147362413752.71136</v>
      </c>
      <c r="E88" s="15">
        <f t="shared" si="18"/>
        <v>131300872073.81149</v>
      </c>
      <c r="F88" s="29">
        <f t="shared" si="19"/>
        <v>66901135862.419289</v>
      </c>
      <c r="G88" s="17">
        <f t="shared" si="20"/>
        <v>1.9565839046557232</v>
      </c>
      <c r="H88" s="16">
        <f t="shared" si="21"/>
        <v>1.6635644985751995E-11</v>
      </c>
      <c r="I88" s="16">
        <f t="shared" si="22"/>
        <v>60111886305.368652</v>
      </c>
      <c r="J88" s="16">
        <f t="shared" si="23"/>
        <v>-22619438347.334896</v>
      </c>
      <c r="K88" s="18">
        <f t="shared" si="24"/>
        <v>55693804718.664024</v>
      </c>
      <c r="L88" s="17">
        <f t="shared" si="25"/>
        <v>1.8003029577161256</v>
      </c>
      <c r="M88" s="16">
        <f t="shared" si="26"/>
        <v>1.718733377957398E-11</v>
      </c>
      <c r="N88" s="16">
        <f t="shared" si="27"/>
        <v>87273571296.011703</v>
      </c>
      <c r="O88" s="16">
        <f t="shared" si="29"/>
        <v>-32840080167.398876</v>
      </c>
      <c r="P88" s="18">
        <f t="shared" si="28"/>
        <v>80859170051.138</v>
      </c>
    </row>
    <row r="89" spans="1:16" s="4" customFormat="1" x14ac:dyDescent="0.4">
      <c r="A89" s="14">
        <v>7.5999999999999998E-2</v>
      </c>
      <c r="B89" s="44">
        <f t="shared" si="30"/>
        <v>0.47752208334564855</v>
      </c>
      <c r="C89" s="40">
        <f t="shared" si="16"/>
        <v>6.7856702107453215E-12</v>
      </c>
      <c r="D89" s="15">
        <f t="shared" si="17"/>
        <v>147369378254.85074</v>
      </c>
      <c r="E89" s="15">
        <f t="shared" si="18"/>
        <v>130884116267.12314</v>
      </c>
      <c r="F89" s="29">
        <f t="shared" si="19"/>
        <v>67727998318.239616</v>
      </c>
      <c r="G89" s="17">
        <f t="shared" si="20"/>
        <v>1.9826716900511328</v>
      </c>
      <c r="H89" s="16">
        <f t="shared" si="21"/>
        <v>1.6546511152072476E-11</v>
      </c>
      <c r="I89" s="16">
        <f t="shared" si="22"/>
        <v>60435700964.958313</v>
      </c>
      <c r="J89" s="16">
        <f t="shared" si="23"/>
        <v>-24194137183.232166</v>
      </c>
      <c r="K89" s="18">
        <f t="shared" si="24"/>
        <v>55381564415.289009</v>
      </c>
      <c r="L89" s="17">
        <f t="shared" si="25"/>
        <v>1.8243069971523407</v>
      </c>
      <c r="M89" s="16">
        <f t="shared" si="26"/>
        <v>1.7100916916716025E-11</v>
      </c>
      <c r="N89" s="16">
        <f t="shared" si="27"/>
        <v>87714594913.548798</v>
      </c>
      <c r="O89" s="16">
        <f t="shared" si="29"/>
        <v>-35114657535.626419</v>
      </c>
      <c r="P89" s="18">
        <f t="shared" si="28"/>
        <v>80379170106.462509</v>
      </c>
    </row>
    <row r="90" spans="1:16" s="4" customFormat="1" x14ac:dyDescent="0.4">
      <c r="A90" s="14">
        <v>7.6999999999999999E-2</v>
      </c>
      <c r="B90" s="44">
        <f t="shared" si="30"/>
        <v>0.48380526865282814</v>
      </c>
      <c r="C90" s="40">
        <f t="shared" si="16"/>
        <v>6.785345595071623E-12</v>
      </c>
      <c r="D90" s="15">
        <f t="shared" si="17"/>
        <v>147376428508.86276</v>
      </c>
      <c r="E90" s="15">
        <f t="shared" si="18"/>
        <v>130462229068.39442</v>
      </c>
      <c r="F90" s="29">
        <f t="shared" si="19"/>
        <v>68552304604.102974</v>
      </c>
      <c r="G90" s="17">
        <f t="shared" si="20"/>
        <v>2.0087594754465425</v>
      </c>
      <c r="H90" s="16">
        <f t="shared" si="21"/>
        <v>1.6458387458130609E-11</v>
      </c>
      <c r="I90" s="16">
        <f t="shared" si="22"/>
        <v>60759293858.159233</v>
      </c>
      <c r="J90" s="16">
        <f t="shared" si="23"/>
        <v>-25767757577.29908</v>
      </c>
      <c r="K90" s="18">
        <f t="shared" si="24"/>
        <v>55024671371.846397</v>
      </c>
      <c r="L90" s="17">
        <f t="shared" si="25"/>
        <v>1.8483110365885558</v>
      </c>
      <c r="M90" s="16">
        <f t="shared" si="26"/>
        <v>1.7015035847165222E-11</v>
      </c>
      <c r="N90" s="16">
        <f t="shared" si="27"/>
        <v>88157322351.44873</v>
      </c>
      <c r="O90" s="16">
        <f t="shared" si="29"/>
        <v>-37387144694.587166</v>
      </c>
      <c r="P90" s="18">
        <f t="shared" si="28"/>
        <v>79836801637.861496</v>
      </c>
    </row>
    <row r="91" spans="1:16" s="4" customFormat="1" x14ac:dyDescent="0.4">
      <c r="A91" s="14">
        <v>7.8E-2</v>
      </c>
      <c r="B91" s="44">
        <f t="shared" si="30"/>
        <v>0.49008845396000772</v>
      </c>
      <c r="C91" s="40">
        <f t="shared" si="16"/>
        <v>6.7850170744264068E-12</v>
      </c>
      <c r="D91" s="15">
        <f t="shared" si="17"/>
        <v>147383564260.89587</v>
      </c>
      <c r="E91" s="15">
        <f t="shared" si="18"/>
        <v>130035225668.10057</v>
      </c>
      <c r="F91" s="29">
        <f t="shared" si="19"/>
        <v>69374023234.14566</v>
      </c>
      <c r="G91" s="17">
        <f t="shared" si="20"/>
        <v>2.0348472608419521</v>
      </c>
      <c r="H91" s="16">
        <f t="shared" si="21"/>
        <v>1.6371333875091878E-11</v>
      </c>
      <c r="I91" s="16">
        <f t="shared" si="22"/>
        <v>61082377748.183815</v>
      </c>
      <c r="J91" s="16">
        <f t="shared" si="23"/>
        <v>-27338902707.55233</v>
      </c>
      <c r="K91" s="18">
        <f t="shared" si="24"/>
        <v>54622717527.772354</v>
      </c>
      <c r="L91" s="17">
        <f t="shared" si="25"/>
        <v>1.8723150760247707</v>
      </c>
      <c r="M91" s="16">
        <f t="shared" si="26"/>
        <v>1.692974005269477E-11</v>
      </c>
      <c r="N91" s="16">
        <f t="shared" si="27"/>
        <v>88601478541.972015</v>
      </c>
      <c r="O91" s="16">
        <f t="shared" si="29"/>
        <v>-39655745092.147804</v>
      </c>
      <c r="P91" s="18">
        <f t="shared" si="28"/>
        <v>79231583860.289719</v>
      </c>
    </row>
    <row r="92" spans="1:16" s="4" customFormat="1" x14ac:dyDescent="0.4">
      <c r="A92" s="14">
        <v>7.9000000000000001E-2</v>
      </c>
      <c r="B92" s="44">
        <f t="shared" si="30"/>
        <v>0.4963716392671873</v>
      </c>
      <c r="C92" s="40">
        <f t="shared" si="16"/>
        <v>6.7846846617791048E-12</v>
      </c>
      <c r="D92" s="15">
        <f t="shared" si="17"/>
        <v>147390785253.94226</v>
      </c>
      <c r="E92" s="15">
        <f t="shared" si="18"/>
        <v>129603121445.58516</v>
      </c>
      <c r="F92" s="29">
        <f t="shared" si="19"/>
        <v>70193122806.544418</v>
      </c>
      <c r="G92" s="17">
        <f t="shared" si="20"/>
        <v>2.0609350462373617</v>
      </c>
      <c r="H92" s="16">
        <f t="shared" si="21"/>
        <v>1.6285409645874951E-11</v>
      </c>
      <c r="I92" s="16">
        <f t="shared" si="22"/>
        <v>61404657404.690903</v>
      </c>
      <c r="J92" s="16">
        <f t="shared" si="23"/>
        <v>-28906136879.650002</v>
      </c>
      <c r="K92" s="18">
        <f t="shared" si="24"/>
        <v>54175337577.92746</v>
      </c>
      <c r="L92" s="17">
        <f t="shared" si="25"/>
        <v>1.8963191154609855</v>
      </c>
      <c r="M92" s="16">
        <f t="shared" si="26"/>
        <v>1.6845078677862124E-11</v>
      </c>
      <c r="N92" s="16">
        <f t="shared" si="27"/>
        <v>89046779102.985519</v>
      </c>
      <c r="O92" s="16">
        <f t="shared" si="29"/>
        <v>-41918618134.757652</v>
      </c>
      <c r="P92" s="18">
        <f t="shared" si="28"/>
        <v>78563084984.541336</v>
      </c>
    </row>
    <row r="93" spans="1:16" s="4" customFormat="1" x14ac:dyDescent="0.4">
      <c r="A93" s="14">
        <v>0.08</v>
      </c>
      <c r="B93" s="44">
        <f t="shared" si="30"/>
        <v>0.50265482457436694</v>
      </c>
      <c r="C93" s="40">
        <f t="shared" si="16"/>
        <v>6.7843483702527969E-12</v>
      </c>
      <c r="D93" s="15">
        <f t="shared" si="17"/>
        <v>147398091227.84451</v>
      </c>
      <c r="E93" s="15">
        <f t="shared" si="18"/>
        <v>129165931968.67496</v>
      </c>
      <c r="F93" s="29">
        <f t="shared" si="19"/>
        <v>71009572004.593903</v>
      </c>
      <c r="G93" s="17">
        <f t="shared" si="20"/>
        <v>2.0870228316327717</v>
      </c>
      <c r="H93" s="16">
        <f t="shared" si="21"/>
        <v>1.6200673244834899E-11</v>
      </c>
      <c r="I93" s="16">
        <f t="shared" si="22"/>
        <v>61725829839.745712</v>
      </c>
      <c r="J93" s="16">
        <f t="shared" si="23"/>
        <v>-30467986674.356632</v>
      </c>
      <c r="K93" s="18">
        <f t="shared" si="24"/>
        <v>53682211741.101616</v>
      </c>
      <c r="L93" s="17">
        <f t="shared" si="25"/>
        <v>1.9203231548972011</v>
      </c>
      <c r="M93" s="16">
        <f t="shared" si="26"/>
        <v>1.6761100501693563E-11</v>
      </c>
      <c r="N93" s="16">
        <f t="shared" si="27"/>
        <v>89492930362.683411</v>
      </c>
      <c r="O93" s="16">
        <f t="shared" si="29"/>
        <v>-44173880153.87429</v>
      </c>
      <c r="P93" s="18">
        <f t="shared" si="28"/>
        <v>77830925068.710663</v>
      </c>
    </row>
    <row r="94" spans="1:16" s="4" customFormat="1" x14ac:dyDescent="0.4">
      <c r="A94" s="14">
        <v>8.1000000000000003E-2</v>
      </c>
      <c r="B94" s="44">
        <f t="shared" si="30"/>
        <v>0.50893800988154647</v>
      </c>
      <c r="C94" s="40">
        <f t="shared" si="16"/>
        <v>6.7840082131236995E-12</v>
      </c>
      <c r="D94" s="15">
        <f t="shared" si="17"/>
        <v>147405481919.30173</v>
      </c>
      <c r="E94" s="15">
        <f t="shared" si="18"/>
        <v>128723672993.28873</v>
      </c>
      <c r="F94" s="29">
        <f t="shared" si="19"/>
        <v>71823339597.782959</v>
      </c>
      <c r="G94" s="17">
        <f t="shared" si="20"/>
        <v>2.1131106170281808</v>
      </c>
      <c r="H94" s="16">
        <f t="shared" si="21"/>
        <v>1.6117182337969387E-11</v>
      </c>
      <c r="I94" s="16">
        <f t="shared" si="22"/>
        <v>62045584583.613426</v>
      </c>
      <c r="J94" s="16">
        <f t="shared" si="23"/>
        <v>-32022942288.716991</v>
      </c>
      <c r="K94" s="18">
        <f t="shared" si="24"/>
        <v>53143068536.694687</v>
      </c>
      <c r="L94" s="17">
        <f t="shared" si="25"/>
        <v>1.9443271943334155</v>
      </c>
      <c r="M94" s="16">
        <f t="shared" si="26"/>
        <v>1.6677853909579362E-11</v>
      </c>
      <c r="N94" s="16">
        <f t="shared" si="27"/>
        <v>89939629411.098022</v>
      </c>
      <c r="O94" s="16">
        <f t="shared" si="29"/>
        <v>-46419605543.70929</v>
      </c>
      <c r="P94" s="18">
        <f t="shared" si="28"/>
        <v>77034778897.405045</v>
      </c>
    </row>
    <row r="95" spans="1:16" s="4" customFormat="1" x14ac:dyDescent="0.4">
      <c r="A95" s="14">
        <v>8.2000000000000003E-2</v>
      </c>
      <c r="B95" s="44">
        <f t="shared" si="30"/>
        <v>0.51522119518872611</v>
      </c>
      <c r="C95" s="40">
        <f t="shared" si="16"/>
        <v>6.7836642038206319E-12</v>
      </c>
      <c r="D95" s="15">
        <f t="shared" si="17"/>
        <v>147412957061.87659</v>
      </c>
      <c r="E95" s="15">
        <f t="shared" si="18"/>
        <v>128276360463.04134</v>
      </c>
      <c r="F95" s="29">
        <f t="shared" si="19"/>
        <v>72634394442.870911</v>
      </c>
      <c r="G95" s="17">
        <f t="shared" si="20"/>
        <v>2.1391984024235908</v>
      </c>
      <c r="H95" s="16">
        <f t="shared" si="21"/>
        <v>1.6034993743675003E-11</v>
      </c>
      <c r="I95" s="16">
        <f t="shared" si="22"/>
        <v>62363604001.682236</v>
      </c>
      <c r="J95" s="16">
        <f t="shared" si="23"/>
        <v>-33569459077.241295</v>
      </c>
      <c r="K95" s="18">
        <f t="shared" si="24"/>
        <v>52557687557.007858</v>
      </c>
      <c r="L95" s="17">
        <f t="shared" si="25"/>
        <v>1.9683312337696308</v>
      </c>
      <c r="M95" s="16">
        <f t="shared" si="26"/>
        <v>1.6595386865395754E-11</v>
      </c>
      <c r="N95" s="16">
        <f t="shared" si="27"/>
        <v>90386564179.9384</v>
      </c>
      <c r="O95" s="16">
        <f t="shared" si="29"/>
        <v>-48653828077.175247</v>
      </c>
      <c r="P95" s="18">
        <f t="shared" si="28"/>
        <v>76174378879.586517</v>
      </c>
    </row>
    <row r="96" spans="1:16" s="4" customFormat="1" x14ac:dyDescent="0.4">
      <c r="A96" s="14">
        <v>8.3000000000000004E-2</v>
      </c>
      <c r="B96" s="44">
        <f t="shared" si="30"/>
        <v>0.52150438049590564</v>
      </c>
      <c r="C96" s="40">
        <f t="shared" si="16"/>
        <v>6.783316355924491E-12</v>
      </c>
      <c r="D96" s="15">
        <f t="shared" si="17"/>
        <v>147420516386.00174</v>
      </c>
      <c r="E96" s="15">
        <f t="shared" si="18"/>
        <v>127824010508.84172</v>
      </c>
      <c r="F96" s="29">
        <f t="shared" si="19"/>
        <v>73442705484.962402</v>
      </c>
      <c r="G96" s="17">
        <f t="shared" si="20"/>
        <v>2.1652861878190004</v>
      </c>
      <c r="H96" s="16">
        <f t="shared" si="21"/>
        <v>1.5954163394080427E-11</v>
      </c>
      <c r="I96" s="16">
        <f t="shared" si="22"/>
        <v>62679563653.6502</v>
      </c>
      <c r="J96" s="16">
        <f t="shared" si="23"/>
        <v>-35105959298.61779</v>
      </c>
      <c r="K96" s="18">
        <f t="shared" si="24"/>
        <v>51925902221.682953</v>
      </c>
      <c r="L96" s="17">
        <f t="shared" si="25"/>
        <v>1.9923352732058457</v>
      </c>
      <c r="M96" s="16">
        <f t="shared" si="26"/>
        <v>1.6513746883869769E-11</v>
      </c>
      <c r="N96" s="16">
        <f t="shared" si="27"/>
        <v>90833413552.2668</v>
      </c>
      <c r="O96" s="16">
        <f t="shared" si="29"/>
        <v>-50874542406.529564</v>
      </c>
      <c r="P96" s="18">
        <f t="shared" si="28"/>
        <v>75249517955.156036</v>
      </c>
    </row>
    <row r="97" spans="1:16" s="4" customFormat="1" x14ac:dyDescent="0.4">
      <c r="A97" s="14">
        <v>8.4000000000000005E-2</v>
      </c>
      <c r="B97" s="44">
        <f t="shared" si="30"/>
        <v>0.52778756580308528</v>
      </c>
      <c r="C97" s="40">
        <f t="shared" si="16"/>
        <v>6.7829646831677206E-12</v>
      </c>
      <c r="D97" s="15">
        <f t="shared" si="17"/>
        <v>147428159618.98666</v>
      </c>
      <c r="E97" s="15">
        <f t="shared" si="18"/>
        <v>127366639448.48573</v>
      </c>
      <c r="F97" s="29">
        <f t="shared" si="19"/>
        <v>74248241758.582047</v>
      </c>
      <c r="G97" s="17">
        <f t="shared" si="20"/>
        <v>2.19137397321441</v>
      </c>
      <c r="H97" s="16">
        <f t="shared" si="21"/>
        <v>1.5874746296982706E-11</v>
      </c>
      <c r="I97" s="16">
        <f t="shared" si="22"/>
        <v>62993132695.926537</v>
      </c>
      <c r="J97" s="16">
        <f t="shared" si="23"/>
        <v>-36630834072.575562</v>
      </c>
      <c r="K97" s="18">
        <f t="shared" si="24"/>
        <v>51247602499.961365</v>
      </c>
      <c r="L97" s="17">
        <f t="shared" si="25"/>
        <v>2.0163393126420606</v>
      </c>
      <c r="M97" s="16">
        <f t="shared" si="26"/>
        <v>1.643298100320286E-11</v>
      </c>
      <c r="N97" s="16">
        <f t="shared" si="27"/>
        <v>91279847503.483597</v>
      </c>
      <c r="O97" s="16">
        <f t="shared" si="29"/>
        <v>-53079705754.756447</v>
      </c>
      <c r="P97" s="18">
        <f t="shared" si="28"/>
        <v>74260052499.629272</v>
      </c>
    </row>
    <row r="98" spans="1:16" s="4" customFormat="1" x14ac:dyDescent="0.4">
      <c r="A98" s="14">
        <v>8.5000000000000006E-2</v>
      </c>
      <c r="B98" s="44">
        <f t="shared" si="30"/>
        <v>0.53407075111026492</v>
      </c>
      <c r="C98" s="40">
        <f t="shared" si="16"/>
        <v>6.7826091994337555E-12</v>
      </c>
      <c r="D98" s="15">
        <f t="shared" si="17"/>
        <v>147435886485.02478</v>
      </c>
      <c r="E98" s="15">
        <f t="shared" si="18"/>
        <v>126904263786.24358</v>
      </c>
      <c r="F98" s="29">
        <f t="shared" si="19"/>
        <v>75050972388.748047</v>
      </c>
      <c r="G98" s="17">
        <f t="shared" si="20"/>
        <v>2.21746175860982</v>
      </c>
      <c r="H98" s="16">
        <f t="shared" si="21"/>
        <v>1.5796796498412574E-11</v>
      </c>
      <c r="I98" s="16">
        <f t="shared" si="22"/>
        <v>63303974327.990509</v>
      </c>
      <c r="J98" s="16">
        <f t="shared" si="23"/>
        <v>-38142445550.511177</v>
      </c>
      <c r="K98" s="18">
        <f t="shared" si="24"/>
        <v>50522737585.617546</v>
      </c>
      <c r="L98" s="17">
        <f t="shared" si="25"/>
        <v>2.0403433520782759</v>
      </c>
      <c r="M98" s="16">
        <f t="shared" si="26"/>
        <v>1.6353135757969064E-11</v>
      </c>
      <c r="N98" s="16">
        <f t="shared" si="27"/>
        <v>91725527275.038574</v>
      </c>
      <c r="O98" s="16">
        <f t="shared" si="29"/>
        <v>-55267239803.190811</v>
      </c>
      <c r="P98" s="18">
        <f t="shared" si="28"/>
        <v>73205905215.497787</v>
      </c>
    </row>
    <row r="99" spans="1:16" s="4" customFormat="1" x14ac:dyDescent="0.4">
      <c r="A99" s="14">
        <v>8.5999999999999993E-2</v>
      </c>
      <c r="B99" s="44">
        <f t="shared" si="30"/>
        <v>0.54035393641744434</v>
      </c>
      <c r="C99" s="40">
        <f t="shared" si="16"/>
        <v>6.7822499187564848E-12</v>
      </c>
      <c r="D99" s="15">
        <f t="shared" si="17"/>
        <v>147443696705.20023</v>
      </c>
      <c r="E99" s="15">
        <f t="shared" si="18"/>
        <v>126436900212.44138</v>
      </c>
      <c r="F99" s="29">
        <f t="shared" si="19"/>
        <v>75850866592.045044</v>
      </c>
      <c r="G99" s="17">
        <f t="shared" si="20"/>
        <v>2.2435495440052291</v>
      </c>
      <c r="H99" s="16">
        <f t="shared" si="21"/>
        <v>1.5720367045854325E-11</v>
      </c>
      <c r="I99" s="16">
        <f t="shared" si="22"/>
        <v>63611746283.221397</v>
      </c>
      <c r="J99" s="16">
        <f t="shared" si="23"/>
        <v>-39639129302.377342</v>
      </c>
      <c r="K99" s="18">
        <f t="shared" si="24"/>
        <v>49751318508.662071</v>
      </c>
      <c r="L99" s="17">
        <f t="shared" si="25"/>
        <v>2.0643473915144908</v>
      </c>
      <c r="M99" s="16">
        <f t="shared" si="26"/>
        <v>1.6274257152303361E-11</v>
      </c>
      <c r="N99" s="16">
        <f t="shared" si="27"/>
        <v>92170105582.220016</v>
      </c>
      <c r="O99" s="16">
        <f t="shared" si="29"/>
        <v>-57435032780.27552</v>
      </c>
      <c r="P99" s="18">
        <f t="shared" si="28"/>
        <v>72087067998.124756</v>
      </c>
    </row>
    <row r="100" spans="1:16" s="4" customFormat="1" x14ac:dyDescent="0.4">
      <c r="A100" s="14">
        <v>8.6999999999999994E-2</v>
      </c>
      <c r="B100" s="44">
        <f t="shared" si="30"/>
        <v>0.54663712172462398</v>
      </c>
      <c r="C100" s="40">
        <f t="shared" si="16"/>
        <v>6.7818868553196955E-12</v>
      </c>
      <c r="D100" s="15">
        <f t="shared" si="17"/>
        <v>147451589997.49493</v>
      </c>
      <c r="E100" s="15">
        <f t="shared" si="18"/>
        <v>125964565603.03745</v>
      </c>
      <c r="F100" s="29">
        <f t="shared" si="19"/>
        <v>76647893677.696198</v>
      </c>
      <c r="G100" s="17">
        <f t="shared" si="20"/>
        <v>2.2696373294006387</v>
      </c>
      <c r="H100" s="16">
        <f t="shared" si="21"/>
        <v>1.5645509952145157E-11</v>
      </c>
      <c r="I100" s="16">
        <f t="shared" si="22"/>
        <v>63916101364.461433</v>
      </c>
      <c r="J100" s="16">
        <f t="shared" si="23"/>
        <v>-41119196921.105453</v>
      </c>
      <c r="K100" s="18">
        <f t="shared" si="24"/>
        <v>48933420667.223541</v>
      </c>
      <c r="L100" s="17">
        <f t="shared" si="25"/>
        <v>2.0883514309507056</v>
      </c>
      <c r="M100" s="16">
        <f t="shared" si="26"/>
        <v>1.6196390633395647E-11</v>
      </c>
      <c r="N100" s="16">
        <f t="shared" si="27"/>
        <v>92613226857.292603</v>
      </c>
      <c r="O100" s="16">
        <f t="shared" si="29"/>
        <v>-59580941755.647324</v>
      </c>
      <c r="P100" s="18">
        <f t="shared" si="28"/>
        <v>70903604763.301727</v>
      </c>
    </row>
    <row r="101" spans="1:16" s="4" customFormat="1" x14ac:dyDescent="0.4">
      <c r="A101" s="14">
        <v>8.7999999999999995E-2</v>
      </c>
      <c r="B101" s="44">
        <f t="shared" si="30"/>
        <v>0.5529203070318035</v>
      </c>
      <c r="C101" s="40">
        <f t="shared" si="16"/>
        <v>6.7815200234565108E-12</v>
      </c>
      <c r="D101" s="15">
        <f t="shared" si="17"/>
        <v>147459566076.79593</v>
      </c>
      <c r="E101" s="15">
        <f t="shared" si="18"/>
        <v>125487277019.19308</v>
      </c>
      <c r="F101" s="29">
        <f t="shared" si="19"/>
        <v>77442023048.634521</v>
      </c>
      <c r="G101" s="17">
        <f t="shared" si="20"/>
        <v>2.2957251147960482</v>
      </c>
      <c r="H101" s="16">
        <f t="shared" si="21"/>
        <v>1.5572276160078696E-11</v>
      </c>
      <c r="I101" s="16">
        <f t="shared" si="22"/>
        <v>64216688024.298843</v>
      </c>
      <c r="J101" s="16">
        <f t="shared" si="23"/>
        <v>-42580938844.500908</v>
      </c>
      <c r="K101" s="18">
        <f t="shared" si="24"/>
        <v>48069186262.417633</v>
      </c>
      <c r="L101" s="17">
        <f t="shared" si="25"/>
        <v>2.1123554703869205</v>
      </c>
      <c r="M101" s="16">
        <f t="shared" si="26"/>
        <v>1.6119581065305588E-11</v>
      </c>
      <c r="N101" s="16">
        <f t="shared" si="27"/>
        <v>93054527529.159683</v>
      </c>
      <c r="O101" s="16">
        <f t="shared" si="29"/>
        <v>-61702795142.96608</v>
      </c>
      <c r="P101" s="18">
        <f t="shared" si="28"/>
        <v>69655654222.900665</v>
      </c>
    </row>
    <row r="102" spans="1:16" s="4" customFormat="1" x14ac:dyDescent="0.4">
      <c r="A102" s="14">
        <v>8.8999999999999996E-2</v>
      </c>
      <c r="B102" s="44">
        <f t="shared" si="30"/>
        <v>0.55920349233898314</v>
      </c>
      <c r="C102" s="40">
        <f t="shared" si="16"/>
        <v>6.7811494376488228E-12</v>
      </c>
      <c r="D102" s="15">
        <f t="shared" si="17"/>
        <v>147467624654.90253</v>
      </c>
      <c r="E102" s="15">
        <f t="shared" si="18"/>
        <v>125005051706.83751</v>
      </c>
      <c r="F102" s="29">
        <f t="shared" si="19"/>
        <v>78233224202.573273</v>
      </c>
      <c r="G102" s="17">
        <f t="shared" si="20"/>
        <v>2.3218129001914583</v>
      </c>
      <c r="H102" s="16">
        <f t="shared" si="21"/>
        <v>1.5500715507736689E-11</v>
      </c>
      <c r="I102" s="16">
        <f t="shared" si="22"/>
        <v>64513150989.764427</v>
      </c>
      <c r="J102" s="16">
        <f t="shared" si="23"/>
        <v>-44022627393.119705</v>
      </c>
      <c r="K102" s="18">
        <f t="shared" si="24"/>
        <v>47158826618.510025</v>
      </c>
      <c r="L102" s="17">
        <f t="shared" si="25"/>
        <v>2.1363595098231358</v>
      </c>
      <c r="M102" s="16">
        <f t="shared" si="26"/>
        <v>1.6043872703113469E-11</v>
      </c>
      <c r="N102" s="16">
        <f t="shared" si="27"/>
        <v>93493636340.614349</v>
      </c>
      <c r="O102" s="16">
        <f t="shared" si="29"/>
        <v>-63798395414.04068</v>
      </c>
      <c r="P102" s="18">
        <f t="shared" si="28"/>
        <v>68343432594.396057</v>
      </c>
    </row>
    <row r="103" spans="1:16" s="4" customFormat="1" x14ac:dyDescent="0.4">
      <c r="A103" s="14">
        <v>0.09</v>
      </c>
      <c r="B103" s="44">
        <f t="shared" si="30"/>
        <v>0.56548667764616278</v>
      </c>
      <c r="C103" s="40">
        <f t="shared" si="16"/>
        <v>6.7807751125267268E-12</v>
      </c>
      <c r="D103" s="15">
        <f t="shared" si="17"/>
        <v>147475765440.53369</v>
      </c>
      <c r="E103" s="15">
        <f t="shared" si="18"/>
        <v>124517907096.22758</v>
      </c>
      <c r="F103" s="29">
        <f t="shared" si="19"/>
        <v>79021466733.075439</v>
      </c>
      <c r="G103" s="17">
        <f t="shared" si="20"/>
        <v>2.3479006855868678</v>
      </c>
      <c r="H103" s="16">
        <f t="shared" si="21"/>
        <v>1.543087669457251E-11</v>
      </c>
      <c r="I103" s="16">
        <f t="shared" si="22"/>
        <v>64805131930.820831</v>
      </c>
      <c r="J103" s="16">
        <f t="shared" si="23"/>
        <v>-45442520021.107491</v>
      </c>
      <c r="K103" s="18">
        <f t="shared" si="24"/>
        <v>46202624370.292412</v>
      </c>
      <c r="L103" s="17">
        <f t="shared" si="25"/>
        <v>2.1603635492593507</v>
      </c>
      <c r="M103" s="16">
        <f t="shared" si="26"/>
        <v>1.5969309167421911E-11</v>
      </c>
      <c r="N103" s="16">
        <f t="shared" si="27"/>
        <v>93930174704.117172</v>
      </c>
      <c r="O103" s="16">
        <f t="shared" si="29"/>
        <v>-65865522025.855782</v>
      </c>
      <c r="P103" s="18">
        <f t="shared" si="28"/>
        <v>66967236229.424011</v>
      </c>
    </row>
    <row r="104" spans="1:16" s="4" customFormat="1" x14ac:dyDescent="0.4">
      <c r="A104" s="14">
        <v>9.0999999999999998E-2</v>
      </c>
      <c r="B104" s="44">
        <f t="shared" si="30"/>
        <v>0.57176986295334231</v>
      </c>
      <c r="C104" s="40">
        <f t="shared" si="16"/>
        <v>6.7803970628679354E-12</v>
      </c>
      <c r="D104" s="15">
        <f t="shared" si="17"/>
        <v>147483988139.33551</v>
      </c>
      <c r="E104" s="15">
        <f t="shared" si="18"/>
        <v>124025860801.50163</v>
      </c>
      <c r="F104" s="29">
        <f t="shared" si="19"/>
        <v>79806720330.622528</v>
      </c>
      <c r="G104" s="17">
        <f t="shared" si="20"/>
        <v>2.3739884709822774</v>
      </c>
      <c r="H104" s="16">
        <f t="shared" si="21"/>
        <v>1.5362807248269495E-11</v>
      </c>
      <c r="I104" s="16">
        <f t="shared" si="22"/>
        <v>65092270171.692902</v>
      </c>
      <c r="J104" s="16">
        <f t="shared" si="23"/>
        <v>-46838862775.372551</v>
      </c>
      <c r="K104" s="18">
        <f t="shared" si="24"/>
        <v>45200935499.328781</v>
      </c>
      <c r="L104" s="17">
        <f t="shared" si="25"/>
        <v>2.1843675886955656</v>
      </c>
      <c r="M104" s="16">
        <f t="shared" si="26"/>
        <v>1.5895933419223154E-11</v>
      </c>
      <c r="N104" s="16">
        <f t="shared" si="27"/>
        <v>94363757096.895676</v>
      </c>
      <c r="O104" s="16">
        <f t="shared" si="29"/>
        <v>-67901934561.074677</v>
      </c>
      <c r="P104" s="18">
        <f t="shared" si="28"/>
        <v>65527444145.987122</v>
      </c>
    </row>
    <row r="105" spans="1:16" s="4" customFormat="1" x14ac:dyDescent="0.4">
      <c r="A105" s="14">
        <v>9.1999999999999998E-2</v>
      </c>
      <c r="B105" s="44">
        <f t="shared" si="30"/>
        <v>0.57805304826052195</v>
      </c>
      <c r="C105" s="40">
        <f t="shared" si="16"/>
        <v>6.7800153035972047E-12</v>
      </c>
      <c r="D105" s="15">
        <f t="shared" si="17"/>
        <v>147492292453.8887</v>
      </c>
      <c r="E105" s="15">
        <f t="shared" si="18"/>
        <v>123528930620.22778</v>
      </c>
      <c r="F105" s="29">
        <f t="shared" si="19"/>
        <v>80588954783.682281</v>
      </c>
      <c r="G105" s="17">
        <f t="shared" si="20"/>
        <v>2.4000762563776874</v>
      </c>
      <c r="H105" s="16">
        <f t="shared" si="21"/>
        <v>1.5296553492396788E-11</v>
      </c>
      <c r="I105" s="16">
        <f t="shared" si="22"/>
        <v>65374203443.740051</v>
      </c>
      <c r="J105" s="16">
        <f t="shared" si="23"/>
        <v>-48209893956.777283</v>
      </c>
      <c r="K105" s="18">
        <f t="shared" si="24"/>
        <v>44154191200.607475</v>
      </c>
      <c r="L105" s="17">
        <f t="shared" si="25"/>
        <v>2.2083716281317809</v>
      </c>
      <c r="M105" s="16">
        <f t="shared" si="26"/>
        <v>1.5823787735146373E-11</v>
      </c>
      <c r="N105" s="16">
        <f t="shared" si="27"/>
        <v>94793991496.001617</v>
      </c>
      <c r="O105" s="16">
        <f t="shared" si="29"/>
        <v>-69905376081.480804</v>
      </c>
      <c r="P105" s="18">
        <f t="shared" si="28"/>
        <v>64024520448.424744</v>
      </c>
    </row>
    <row r="106" spans="1:16" s="4" customFormat="1" x14ac:dyDescent="0.4">
      <c r="A106" s="14">
        <v>9.2999999999999999E-2</v>
      </c>
      <c r="B106" s="44">
        <f t="shared" si="30"/>
        <v>0.58433623356770148</v>
      </c>
      <c r="C106" s="40">
        <f t="shared" si="16"/>
        <v>6.7796298497857354E-12</v>
      </c>
      <c r="D106" s="15">
        <f t="shared" si="17"/>
        <v>147500678083.71634</v>
      </c>
      <c r="E106" s="15">
        <f t="shared" si="18"/>
        <v>123027134532.94675</v>
      </c>
      <c r="F106" s="29">
        <f t="shared" si="19"/>
        <v>81368139979.775513</v>
      </c>
      <c r="G106" s="17">
        <f t="shared" si="20"/>
        <v>2.4261640417730965</v>
      </c>
      <c r="H106" s="16">
        <f t="shared" si="21"/>
        <v>1.5232160514884529E-11</v>
      </c>
      <c r="I106" s="16">
        <f t="shared" si="22"/>
        <v>65650568678.213585</v>
      </c>
      <c r="J106" s="16">
        <f t="shared" si="23"/>
        <v>-49553847975.287231</v>
      </c>
      <c r="K106" s="18">
        <f t="shared" si="24"/>
        <v>43062899561.164711</v>
      </c>
      <c r="L106" s="17">
        <f t="shared" si="25"/>
        <v>2.2323756675679958</v>
      </c>
      <c r="M106" s="16">
        <f t="shared" si="26"/>
        <v>1.5752913683099323E-11</v>
      </c>
      <c r="N106" s="16">
        <f t="shared" si="27"/>
        <v>95220479853.786713</v>
      </c>
      <c r="O106" s="16">
        <f t="shared" si="29"/>
        <v>-71873576692.631363</v>
      </c>
      <c r="P106" s="18">
        <f t="shared" si="28"/>
        <v>62459016618.850449</v>
      </c>
    </row>
    <row r="107" spans="1:16" s="4" customFormat="1" x14ac:dyDescent="0.4">
      <c r="A107" s="14">
        <v>9.4E-2</v>
      </c>
      <c r="B107" s="44">
        <f t="shared" si="30"/>
        <v>0.59061941887488112</v>
      </c>
      <c r="C107" s="40">
        <f t="shared" si="16"/>
        <v>6.779240716650582E-12</v>
      </c>
      <c r="D107" s="15">
        <f t="shared" si="17"/>
        <v>147509144725.29156</v>
      </c>
      <c r="E107" s="15">
        <f t="shared" si="18"/>
        <v>122520490702.70882</v>
      </c>
      <c r="F107" s="29">
        <f t="shared" si="19"/>
        <v>82144245906.542084</v>
      </c>
      <c r="G107" s="17">
        <f t="shared" si="20"/>
        <v>2.4522518271685065</v>
      </c>
      <c r="H107" s="16">
        <f t="shared" si="21"/>
        <v>1.5169672137340024E-11</v>
      </c>
      <c r="I107" s="16">
        <f t="shared" si="22"/>
        <v>65921002836.871353</v>
      </c>
      <c r="J107" s="16">
        <f t="shared" si="23"/>
        <v>-50868959389.220383</v>
      </c>
      <c r="K107" s="18">
        <f t="shared" si="24"/>
        <v>41927647032.437302</v>
      </c>
      <c r="L107" s="17">
        <f t="shared" si="25"/>
        <v>2.2563797070042111</v>
      </c>
      <c r="M107" s="16">
        <f t="shared" si="26"/>
        <v>1.5683352098318317E-11</v>
      </c>
      <c r="N107" s="16">
        <f t="shared" si="27"/>
        <v>95642818614.066635</v>
      </c>
      <c r="O107" s="16">
        <f t="shared" si="29"/>
        <v>-73804257316.732819</v>
      </c>
      <c r="P107" s="18">
        <f t="shared" si="28"/>
        <v>60831573663.425339</v>
      </c>
    </row>
    <row r="108" spans="1:16" s="4" customFormat="1" x14ac:dyDescent="0.4">
      <c r="A108" s="14">
        <v>9.5000000000000001E-2</v>
      </c>
      <c r="B108" s="44">
        <f t="shared" si="30"/>
        <v>0.59690260418206065</v>
      </c>
      <c r="C108" s="40">
        <f t="shared" si="16"/>
        <v>6.7788479195540581E-12</v>
      </c>
      <c r="D108" s="15">
        <f t="shared" si="17"/>
        <v>147517692072.04523</v>
      </c>
      <c r="E108" s="15">
        <f t="shared" si="18"/>
        <v>122009017474.60515</v>
      </c>
      <c r="F108" s="29">
        <f t="shared" si="19"/>
        <v>82917242652.805649</v>
      </c>
      <c r="G108" s="17">
        <f t="shared" si="20"/>
        <v>2.4783396125639161</v>
      </c>
      <c r="H108" s="16">
        <f t="shared" si="21"/>
        <v>1.5109130885225645E-11</v>
      </c>
      <c r="I108" s="16">
        <f t="shared" si="22"/>
        <v>66185143778.047668</v>
      </c>
      <c r="J108" s="16">
        <f t="shared" si="23"/>
        <v>-52153467116.91333</v>
      </c>
      <c r="K108" s="18">
        <f t="shared" si="24"/>
        <v>40749099678.469978</v>
      </c>
      <c r="L108" s="17">
        <f t="shared" si="25"/>
        <v>2.280383746440426</v>
      </c>
      <c r="M108" s="16">
        <f t="shared" si="26"/>
        <v>1.5615143059840318E-11</v>
      </c>
      <c r="N108" s="16">
        <f t="shared" si="27"/>
        <v>96060599269.036682</v>
      </c>
      <c r="O108" s="16">
        <f t="shared" si="29"/>
        <v>-75695133669.413864</v>
      </c>
      <c r="P108" s="18">
        <f t="shared" si="28"/>
        <v>59142924096.598564</v>
      </c>
    </row>
    <row r="109" spans="1:16" s="4" customFormat="1" x14ac:dyDescent="0.4">
      <c r="A109" s="14">
        <v>9.6000000000000002E-2</v>
      </c>
      <c r="B109" s="44">
        <f t="shared" si="30"/>
        <v>0.60318578948924029</v>
      </c>
      <c r="C109" s="40">
        <f t="shared" si="16"/>
        <v>6.7784514740031174E-12</v>
      </c>
      <c r="D109" s="15">
        <f t="shared" si="17"/>
        <v>147526319814.37418</v>
      </c>
      <c r="E109" s="15">
        <f t="shared" si="18"/>
        <v>121492733375.29372</v>
      </c>
      <c r="F109" s="29">
        <f t="shared" si="19"/>
        <v>83687100409.637833</v>
      </c>
      <c r="G109" s="17">
        <f t="shared" si="20"/>
        <v>2.5044273979593257</v>
      </c>
      <c r="H109" s="16">
        <f t="shared" si="21"/>
        <v>1.5050577958918792E-11</v>
      </c>
      <c r="I109" s="16">
        <f t="shared" si="22"/>
        <v>66442631155.39772</v>
      </c>
      <c r="J109" s="16">
        <f t="shared" si="23"/>
        <v>-53405618807.282066</v>
      </c>
      <c r="K109" s="18">
        <f t="shared" si="24"/>
        <v>39528004182.64888</v>
      </c>
      <c r="L109" s="17">
        <f t="shared" si="25"/>
        <v>2.3043877858766408</v>
      </c>
      <c r="M109" s="16">
        <f t="shared" si="26"/>
        <v>1.5548325867410781E-11</v>
      </c>
      <c r="N109" s="16">
        <f t="shared" si="27"/>
        <v>96473408956.779907</v>
      </c>
      <c r="O109" s="16">
        <f t="shared" si="29"/>
        <v>-77543920434.678009</v>
      </c>
      <c r="P109" s="18">
        <f t="shared" si="28"/>
        <v>57393893746.307419</v>
      </c>
    </row>
    <row r="110" spans="1:16" s="4" customFormat="1" x14ac:dyDescent="0.4">
      <c r="A110" s="14">
        <v>9.7000000000000003E-2</v>
      </c>
      <c r="B110" s="44">
        <f t="shared" si="30"/>
        <v>0.60946897479641993</v>
      </c>
      <c r="C110" s="40">
        <f t="shared" si="16"/>
        <v>6.7780513956487531E-12</v>
      </c>
      <c r="D110" s="15">
        <f t="shared" si="17"/>
        <v>147535027639.64896</v>
      </c>
      <c r="E110" s="15">
        <f t="shared" si="18"/>
        <v>120971657112.51906</v>
      </c>
      <c r="F110" s="29">
        <f t="shared" si="19"/>
        <v>84453789471.420975</v>
      </c>
      <c r="G110" s="17">
        <f t="shared" si="20"/>
        <v>2.5305151833547357</v>
      </c>
      <c r="H110" s="16">
        <f t="shared" si="21"/>
        <v>1.4994053205673663E-11</v>
      </c>
      <c r="I110" s="16">
        <f t="shared" si="22"/>
        <v>66693107346.158127</v>
      </c>
      <c r="J110" s="16">
        <f t="shared" si="23"/>
        <v>-54623675353.919693</v>
      </c>
      <c r="K110" s="18">
        <f t="shared" si="24"/>
        <v>38265188596.369896</v>
      </c>
      <c r="L110" s="17">
        <f t="shared" si="25"/>
        <v>2.3283918253128562</v>
      </c>
      <c r="M110" s="16">
        <f t="shared" si="26"/>
        <v>1.5482939018840445E-11</v>
      </c>
      <c r="N110" s="16">
        <f t="shared" si="27"/>
        <v>96880831098.974304</v>
      </c>
      <c r="O110" s="16">
        <f t="shared" si="29"/>
        <v>-79348335630.86554</v>
      </c>
      <c r="P110" s="18">
        <f t="shared" si="28"/>
        <v>55585403363.108734</v>
      </c>
    </row>
    <row r="111" spans="1:16" s="4" customFormat="1" x14ac:dyDescent="0.4">
      <c r="A111" s="14">
        <v>9.8000000000000004E-2</v>
      </c>
      <c r="B111" s="44">
        <f t="shared" si="30"/>
        <v>0.61575216010359946</v>
      </c>
      <c r="C111" s="40">
        <f t="shared" si="16"/>
        <v>6.7776477002853747E-12</v>
      </c>
      <c r="D111" s="15">
        <f t="shared" si="17"/>
        <v>147543815232.22205</v>
      </c>
      <c r="E111" s="15">
        <f t="shared" si="18"/>
        <v>120445807574.62677</v>
      </c>
      <c r="F111" s="29">
        <f t="shared" si="19"/>
        <v>85217280236.910034</v>
      </c>
      <c r="G111" s="17">
        <f t="shared" si="20"/>
        <v>2.5566029687501448</v>
      </c>
      <c r="H111" s="16">
        <f t="shared" si="21"/>
        <v>1.4939595092503822E-11</v>
      </c>
      <c r="I111" s="16">
        <f t="shared" si="22"/>
        <v>66936218405.394791</v>
      </c>
      <c r="J111" s="16">
        <f t="shared" si="23"/>
        <v>-55805915535.568214</v>
      </c>
      <c r="K111" s="18">
        <f t="shared" si="24"/>
        <v>36961562813.979309</v>
      </c>
      <c r="L111" s="17">
        <f t="shared" si="25"/>
        <v>2.3523958647490706</v>
      </c>
      <c r="M111" s="16">
        <f t="shared" si="26"/>
        <v>1.5419020187824212E-11</v>
      </c>
      <c r="N111" s="16">
        <f t="shared" si="27"/>
        <v>97282446078.155502</v>
      </c>
      <c r="O111" s="16">
        <f t="shared" si="29"/>
        <v>-81106105158.959274</v>
      </c>
      <c r="P111" s="18">
        <f t="shared" si="28"/>
        <v>53718470016.308838</v>
      </c>
    </row>
    <row r="112" spans="1:16" s="4" customFormat="1" x14ac:dyDescent="0.4">
      <c r="A112" s="14">
        <v>9.9000000000000005E-2</v>
      </c>
      <c r="B112" s="44">
        <f t="shared" si="30"/>
        <v>0.62203534541077909</v>
      </c>
      <c r="C112" s="40">
        <f t="shared" si="16"/>
        <v>6.7772404038501806E-12</v>
      </c>
      <c r="D112" s="15">
        <f t="shared" si="17"/>
        <v>147552682273.43619</v>
      </c>
      <c r="E112" s="15">
        <f t="shared" si="18"/>
        <v>119915203830.07202</v>
      </c>
      <c r="F112" s="29">
        <f t="shared" si="19"/>
        <v>85977543210.293549</v>
      </c>
      <c r="G112" s="17">
        <f t="shared" si="20"/>
        <v>2.5826907541455548</v>
      </c>
      <c r="H112" s="16">
        <f t="shared" si="21"/>
        <v>1.4887240680004101E-11</v>
      </c>
      <c r="I112" s="16">
        <f t="shared" si="22"/>
        <v>67171615042.346756</v>
      </c>
      <c r="J112" s="16">
        <f t="shared" si="23"/>
        <v>-56950640764.043381</v>
      </c>
      <c r="K112" s="18">
        <f t="shared" si="24"/>
        <v>35618118759.447487</v>
      </c>
      <c r="L112" s="17">
        <f t="shared" si="25"/>
        <v>2.3763999041852859</v>
      </c>
      <c r="M112" s="16">
        <f t="shared" si="26"/>
        <v>1.5356606202234801E-11</v>
      </c>
      <c r="N112" s="16">
        <f t="shared" si="27"/>
        <v>97677831953.632401</v>
      </c>
      <c r="O112" s="16">
        <f t="shared" si="29"/>
        <v>-82814967523.037384</v>
      </c>
      <c r="P112" s="18">
        <f t="shared" si="28"/>
        <v>51794208260.386726</v>
      </c>
    </row>
    <row r="113" spans="1:16" s="4" customFormat="1" x14ac:dyDescent="0.4">
      <c r="A113" s="14">
        <v>0.1</v>
      </c>
      <c r="B113" s="44">
        <f t="shared" si="30"/>
        <v>0.62831853071795862</v>
      </c>
      <c r="C113" s="40">
        <f t="shared" si="16"/>
        <v>6.7768295224225392E-12</v>
      </c>
      <c r="D113" s="15">
        <f t="shared" si="17"/>
        <v>147561628441.63242</v>
      </c>
      <c r="E113" s="15">
        <f t="shared" si="18"/>
        <v>119379865126.92221</v>
      </c>
      <c r="F113" s="29">
        <f t="shared" si="19"/>
        <v>86734549002.253082</v>
      </c>
      <c r="G113" s="17">
        <f t="shared" si="20"/>
        <v>2.6087785395409644</v>
      </c>
      <c r="H113" s="16">
        <f t="shared" si="21"/>
        <v>1.4837025597129618E-11</v>
      </c>
      <c r="I113" s="16">
        <f t="shared" si="22"/>
        <v>67398953614.628845</v>
      </c>
      <c r="J113" s="16">
        <f t="shared" si="23"/>
        <v>-58056179919.005684</v>
      </c>
      <c r="K113" s="18">
        <f t="shared" si="24"/>
        <v>34235930271.557274</v>
      </c>
      <c r="L113" s="17">
        <f t="shared" si="25"/>
        <v>2.4004039436215012</v>
      </c>
      <c r="M113" s="16">
        <f t="shared" si="26"/>
        <v>1.5295733022903821E-11</v>
      </c>
      <c r="N113" s="16">
        <f t="shared" si="27"/>
        <v>98066565214.880585</v>
      </c>
      <c r="O113" s="16">
        <f t="shared" si="29"/>
        <v>-84472678711.116867</v>
      </c>
      <c r="P113" s="18">
        <f t="shared" si="28"/>
        <v>49813831055.369041</v>
      </c>
    </row>
    <row r="114" spans="1:16" x14ac:dyDescent="0.4">
      <c r="A114" s="14">
        <v>0.10100000000000001</v>
      </c>
      <c r="B114" s="44">
        <f t="shared" si="30"/>
        <v>0.63460171602513826</v>
      </c>
      <c r="C114" s="40">
        <f t="shared" si="16"/>
        <v>6.776415072223346E-12</v>
      </c>
      <c r="D114" s="15">
        <f t="shared" si="17"/>
        <v>147570653412.15872</v>
      </c>
      <c r="E114" s="15">
        <f t="shared" si="18"/>
        <v>118839810892.35429</v>
      </c>
      <c r="F114" s="29">
        <f t="shared" si="19"/>
        <v>87488268331.022186</v>
      </c>
      <c r="G114" s="17">
        <f t="shared" si="20"/>
        <v>2.634866324936374</v>
      </c>
      <c r="H114" s="16">
        <f t="shared" si="21"/>
        <v>1.4788984016949044E-11</v>
      </c>
      <c r="I114" s="16">
        <f t="shared" si="22"/>
        <v>67617897135.728951</v>
      </c>
      <c r="J114" s="16">
        <f t="shared" si="23"/>
        <v>-59120894247.382584</v>
      </c>
      <c r="K114" s="18">
        <f t="shared" si="24"/>
        <v>32816152675.897678</v>
      </c>
      <c r="L114" s="17">
        <f t="shared" si="25"/>
        <v>2.4244079830577161</v>
      </c>
      <c r="M114" s="16">
        <f t="shared" si="26"/>
        <v>1.5236435722902316E-11</v>
      </c>
      <c r="N114" s="16">
        <f t="shared" si="27"/>
        <v>98448221570.961487</v>
      </c>
      <c r="O114" s="16">
        <f t="shared" si="29"/>
        <v>-86077017223.066849</v>
      </c>
      <c r="P114" s="18">
        <f t="shared" si="28"/>
        <v>47778650425.320518</v>
      </c>
    </row>
    <row r="115" spans="1:16" x14ac:dyDescent="0.4">
      <c r="A115" s="14">
        <v>0.10199999999999999</v>
      </c>
      <c r="B115" s="44">
        <f t="shared" si="30"/>
        <v>0.64088490133231779</v>
      </c>
      <c r="C115" s="40">
        <f t="shared" si="16"/>
        <v>6.7759970696143831E-12</v>
      </c>
      <c r="D115" s="15">
        <f t="shared" si="17"/>
        <v>147579756857.37851</v>
      </c>
      <c r="E115" s="15">
        <f t="shared" si="18"/>
        <v>118295060732.14597</v>
      </c>
      <c r="F115" s="29">
        <f t="shared" si="19"/>
        <v>88238672023.443649</v>
      </c>
      <c r="G115" s="17">
        <f t="shared" si="20"/>
        <v>2.6609541103317835</v>
      </c>
      <c r="H115" s="16">
        <f t="shared" si="21"/>
        <v>1.4743148633388678E-11</v>
      </c>
      <c r="I115" s="16">
        <f t="shared" si="22"/>
        <v>67828116290.933189</v>
      </c>
      <c r="J115" s="16">
        <f t="shared" si="23"/>
        <v>-60143182303.77552</v>
      </c>
      <c r="K115" s="18">
        <f t="shared" si="24"/>
        <v>31360022033.652637</v>
      </c>
      <c r="L115" s="17">
        <f t="shared" si="25"/>
        <v>2.448412022493931</v>
      </c>
      <c r="M115" s="16">
        <f t="shared" si="26"/>
        <v>1.5178748467332852E-11</v>
      </c>
      <c r="N115" s="16">
        <f t="shared" si="27"/>
        <v>98822376774.227814</v>
      </c>
      <c r="O115" s="16">
        <f t="shared" si="29"/>
        <v>-87625789230.700806</v>
      </c>
      <c r="P115" s="18">
        <f t="shared" si="28"/>
        <v>45690077839.769974</v>
      </c>
    </row>
    <row r="116" spans="1:16" x14ac:dyDescent="0.4">
      <c r="A116" s="14">
        <v>0.10299999999999999</v>
      </c>
      <c r="B116" s="44">
        <f t="shared" si="30"/>
        <v>0.64716808663949732</v>
      </c>
      <c r="C116" s="40">
        <f t="shared" si="16"/>
        <v>6.775575531097679E-12</v>
      </c>
      <c r="D116" s="15">
        <f t="shared" si="17"/>
        <v>147588938446.67905</v>
      </c>
      <c r="E116" s="15">
        <f t="shared" si="18"/>
        <v>117745634430.16098</v>
      </c>
      <c r="F116" s="29">
        <f t="shared" si="19"/>
        <v>88985731016.025879</v>
      </c>
      <c r="G116" s="17">
        <f t="shared" si="20"/>
        <v>2.6870418957271931</v>
      </c>
      <c r="H116" s="16">
        <f t="shared" si="21"/>
        <v>1.469955063898311E-11</v>
      </c>
      <c r="I116" s="16">
        <f t="shared" si="22"/>
        <v>68029290456.539993</v>
      </c>
      <c r="J116" s="16">
        <f t="shared" si="23"/>
        <v>-61121484906.860458</v>
      </c>
      <c r="K116" s="18">
        <f t="shared" si="24"/>
        <v>29868854059.048084</v>
      </c>
      <c r="L116" s="17">
        <f t="shared" si="25"/>
        <v>2.4724160619301458</v>
      </c>
      <c r="M116" s="16">
        <f t="shared" si="26"/>
        <v>1.5122704493644754E-11</v>
      </c>
      <c r="N116" s="16">
        <f t="shared" si="27"/>
        <v>99188607476.28627</v>
      </c>
      <c r="O116" s="16">
        <f t="shared" si="29"/>
        <v>-89116833853.608337</v>
      </c>
      <c r="P116" s="18">
        <f t="shared" si="28"/>
        <v>43549624303.69706</v>
      </c>
    </row>
    <row r="117" spans="1:16" x14ac:dyDescent="0.4">
      <c r="A117" s="14">
        <v>0.104</v>
      </c>
      <c r="B117" s="44">
        <f t="shared" si="30"/>
        <v>0.65345127194667696</v>
      </c>
      <c r="C117" s="40">
        <f t="shared" si="16"/>
        <v>6.7751504733148531E-12</v>
      </c>
      <c r="D117" s="15">
        <f t="shared" si="17"/>
        <v>147598197846.48026</v>
      </c>
      <c r="E117" s="15">
        <f t="shared" si="18"/>
        <v>117191551947.82893</v>
      </c>
      <c r="F117" s="29">
        <f t="shared" si="19"/>
        <v>89729416355.998001</v>
      </c>
      <c r="G117" s="17">
        <f t="shared" si="20"/>
        <v>2.7131296811226027</v>
      </c>
      <c r="H117" s="16">
        <f t="shared" si="21"/>
        <v>1.465821970364767E-11</v>
      </c>
      <c r="I117" s="16">
        <f t="shared" si="22"/>
        <v>68221108716.985046</v>
      </c>
      <c r="J117" s="16">
        <f t="shared" si="23"/>
        <v>-62054290085.629799</v>
      </c>
      <c r="K117" s="18">
        <f t="shared" si="24"/>
        <v>28344042699.361008</v>
      </c>
      <c r="L117" s="17">
        <f t="shared" si="25"/>
        <v>2.4964201013663607</v>
      </c>
      <c r="M117" s="16">
        <f t="shared" si="26"/>
        <v>1.5068336092483796E-11</v>
      </c>
      <c r="N117" s="16">
        <f t="shared" si="27"/>
        <v>99546492113.897812</v>
      </c>
      <c r="O117" s="16">
        <f t="shared" si="29"/>
        <v>-90548028532.768646</v>
      </c>
      <c r="P117" s="18">
        <f t="shared" si="28"/>
        <v>41358900142.66861</v>
      </c>
    </row>
    <row r="118" spans="1:16" x14ac:dyDescent="0.4">
      <c r="A118" s="14">
        <v>0.105</v>
      </c>
      <c r="B118" s="44">
        <f t="shared" si="30"/>
        <v>0.65973445725385649</v>
      </c>
      <c r="C118" s="40">
        <f t="shared" si="16"/>
        <v>6.7747219130464565E-12</v>
      </c>
      <c r="D118" s="15">
        <f t="shared" si="17"/>
        <v>147607534720.24359</v>
      </c>
      <c r="E118" s="15">
        <f t="shared" si="18"/>
        <v>116632833423.61923</v>
      </c>
      <c r="F118" s="29">
        <f t="shared" si="19"/>
        <v>90469699202.363907</v>
      </c>
      <c r="G118" s="17">
        <f t="shared" si="20"/>
        <v>2.7392174665180122</v>
      </c>
      <c r="H118" s="16">
        <f t="shared" si="21"/>
        <v>1.4619183954487015E-11</v>
      </c>
      <c r="I118" s="16">
        <f t="shared" si="22"/>
        <v>68403270874.300308</v>
      </c>
      <c r="J118" s="16">
        <f t="shared" si="23"/>
        <v>-62940137988.354088</v>
      </c>
      <c r="K118" s="18">
        <f t="shared" si="24"/>
        <v>26787058373.584957</v>
      </c>
      <c r="L118" s="17">
        <f t="shared" si="25"/>
        <v>2.5204241408025756</v>
      </c>
      <c r="M118" s="16">
        <f t="shared" si="26"/>
        <v>1.5015674589087421E-11</v>
      </c>
      <c r="N118" s="16">
        <f t="shared" si="27"/>
        <v>99895611822.203369</v>
      </c>
      <c r="O118" s="16">
        <f t="shared" si="29"/>
        <v>-91917294482.518402</v>
      </c>
      <c r="P118" s="18">
        <f t="shared" si="28"/>
        <v>39119614470.829453</v>
      </c>
    </row>
    <row r="119" spans="1:16" x14ac:dyDescent="0.4">
      <c r="A119" s="14">
        <v>0.106</v>
      </c>
      <c r="B119" s="44">
        <f t="shared" si="30"/>
        <v>0.66601764256103613</v>
      </c>
      <c r="C119" s="40">
        <f t="shared" si="16"/>
        <v>6.7742898672113176E-12</v>
      </c>
      <c r="D119" s="15">
        <f t="shared" si="17"/>
        <v>147616948728.4808</v>
      </c>
      <c r="E119" s="15">
        <f t="shared" si="18"/>
        <v>116069499172.50883</v>
      </c>
      <c r="F119" s="29">
        <f t="shared" si="19"/>
        <v>91206550826.954865</v>
      </c>
      <c r="G119" s="17">
        <f t="shared" si="20"/>
        <v>2.7653052519134222</v>
      </c>
      <c r="H119" s="16">
        <f t="shared" si="21"/>
        <v>1.4582469956653694E-11</v>
      </c>
      <c r="I119" s="16">
        <f t="shared" si="22"/>
        <v>68575488444.17263</v>
      </c>
      <c r="J119" s="16">
        <f t="shared" si="23"/>
        <v>-63777625726.378929</v>
      </c>
      <c r="K119" s="18">
        <f t="shared" si="24"/>
        <v>25199445868.16906</v>
      </c>
      <c r="L119" s="17">
        <f t="shared" si="25"/>
        <v>2.5444281802387909</v>
      </c>
      <c r="M119" s="16">
        <f t="shared" si="26"/>
        <v>1.4964750325236193E-11</v>
      </c>
      <c r="N119" s="16">
        <f t="shared" si="27"/>
        <v>100235551372.37648</v>
      </c>
      <c r="O119" s="16">
        <f t="shared" si="29"/>
        <v>-93222602200.041611</v>
      </c>
      <c r="P119" s="18">
        <f t="shared" si="28"/>
        <v>36833574330.726082</v>
      </c>
    </row>
    <row r="120" spans="1:16" x14ac:dyDescent="0.4">
      <c r="A120" s="14">
        <v>0.107</v>
      </c>
      <c r="B120" s="44">
        <f t="shared" si="30"/>
        <v>0.67230082786821577</v>
      </c>
      <c r="C120" s="40">
        <f t="shared" si="16"/>
        <v>6.7738543528658657E-12</v>
      </c>
      <c r="D120" s="15">
        <f t="shared" si="17"/>
        <v>147626439528.76288</v>
      </c>
      <c r="E120" s="15">
        <f t="shared" si="18"/>
        <v>115501569685.44446</v>
      </c>
      <c r="F120" s="29">
        <f t="shared" si="19"/>
        <v>91939942615.480804</v>
      </c>
      <c r="G120" s="17">
        <f t="shared" si="20"/>
        <v>2.7913930373088318</v>
      </c>
      <c r="H120" s="16">
        <f t="shared" si="21"/>
        <v>1.4548102695269649E-11</v>
      </c>
      <c r="I120" s="16">
        <f t="shared" si="22"/>
        <v>68737485632.759003</v>
      </c>
      <c r="J120" s="16">
        <f t="shared" si="23"/>
        <v>-64565412124.341423</v>
      </c>
      <c r="K120" s="18">
        <f t="shared" si="24"/>
        <v>23582821890.683399</v>
      </c>
      <c r="L120" s="17">
        <f t="shared" si="25"/>
        <v>2.5684322196750058</v>
      </c>
      <c r="M120" s="16">
        <f t="shared" si="26"/>
        <v>1.4915592641771911E-11</v>
      </c>
      <c r="N120" s="16">
        <f t="shared" si="27"/>
        <v>100565900130.52315</v>
      </c>
      <c r="O120" s="16">
        <f t="shared" si="29"/>
        <v>-94461977010.228424</v>
      </c>
      <c r="P120" s="18">
        <f t="shared" si="28"/>
        <v>34502683495.36644</v>
      </c>
    </row>
    <row r="121" spans="1:16" x14ac:dyDescent="0.4">
      <c r="A121" s="14">
        <v>0.108</v>
      </c>
      <c r="B121" s="44">
        <f t="shared" si="30"/>
        <v>0.6785840131753953</v>
      </c>
      <c r="C121" s="40">
        <f t="shared" si="16"/>
        <v>6.7734153872034596E-12</v>
      </c>
      <c r="D121" s="15">
        <f t="shared" si="17"/>
        <v>147636006775.72943</v>
      </c>
      <c r="E121" s="15">
        <f t="shared" si="18"/>
        <v>114929065628.799</v>
      </c>
      <c r="F121" s="29">
        <f t="shared" si="19"/>
        <v>92669846068.580688</v>
      </c>
      <c r="G121" s="17">
        <f t="shared" si="20"/>
        <v>2.8174808227042414</v>
      </c>
      <c r="H121" s="16">
        <f t="shared" si="21"/>
        <v>1.4516105558423004E-11</v>
      </c>
      <c r="I121" s="16">
        <f t="shared" si="22"/>
        <v>68889000288.355423</v>
      </c>
      <c r="J121" s="16">
        <f t="shared" si="23"/>
        <v>-65302222348.101524</v>
      </c>
      <c r="K121" s="18">
        <f t="shared" si="24"/>
        <v>21938872284.785805</v>
      </c>
      <c r="L121" s="17">
        <f t="shared" si="25"/>
        <v>2.5924362591112211</v>
      </c>
      <c r="M121" s="16">
        <f t="shared" si="26"/>
        <v>1.4868229861692373E-11</v>
      </c>
      <c r="N121" s="16">
        <f t="shared" si="27"/>
        <v>100886253034.37856</v>
      </c>
      <c r="O121" s="16">
        <f t="shared" si="29"/>
        <v>-95633504622.528717</v>
      </c>
      <c r="P121" s="18">
        <f t="shared" si="28"/>
        <v>32128940924.491009</v>
      </c>
    </row>
    <row r="122" spans="1:16" x14ac:dyDescent="0.4">
      <c r="A122" s="14">
        <v>0.109</v>
      </c>
      <c r="B122" s="44">
        <f t="shared" si="30"/>
        <v>0.68486719848257493</v>
      </c>
      <c r="C122" s="40">
        <f t="shared" si="16"/>
        <v>6.7729729875537147E-12</v>
      </c>
      <c r="D122" s="15">
        <f t="shared" si="17"/>
        <v>147645650121.09747</v>
      </c>
      <c r="E122" s="15">
        <f t="shared" si="18"/>
        <v>114352007843.82155</v>
      </c>
      <c r="F122" s="29">
        <f t="shared" si="19"/>
        <v>93396232802.871155</v>
      </c>
      <c r="G122" s="17">
        <f t="shared" si="20"/>
        <v>2.8435686080996514</v>
      </c>
      <c r="H122" s="16">
        <f t="shared" si="21"/>
        <v>1.4486500321251668E-11</v>
      </c>
      <c r="I122" s="16">
        <f t="shared" si="22"/>
        <v>69029784822.011292</v>
      </c>
      <c r="J122" s="16">
        <f t="shared" si="23"/>
        <v>-65986852381.655823</v>
      </c>
      <c r="K122" s="18">
        <f t="shared" si="24"/>
        <v>20269348912.452599</v>
      </c>
      <c r="L122" s="17">
        <f t="shared" si="25"/>
        <v>2.6164402985474364</v>
      </c>
      <c r="M122" s="16">
        <f t="shared" si="26"/>
        <v>1.4822689273832647E-11</v>
      </c>
      <c r="N122" s="16">
        <f t="shared" si="27"/>
        <v>101196211584.09068</v>
      </c>
      <c r="O122" s="16">
        <f t="shared" si="29"/>
        <v>-96735336675.320648</v>
      </c>
      <c r="P122" s="18">
        <f t="shared" si="28"/>
        <v>29714438868.745514</v>
      </c>
    </row>
    <row r="123" spans="1:16" x14ac:dyDescent="0.4">
      <c r="A123" s="14">
        <v>0.11</v>
      </c>
      <c r="B123" s="44">
        <f t="shared" si="30"/>
        <v>0.69115038378975446</v>
      </c>
      <c r="C123" s="40">
        <f t="shared" si="16"/>
        <v>6.7725271713818082E-12</v>
      </c>
      <c r="D123" s="15">
        <f t="shared" si="17"/>
        <v>147655369213.67102</v>
      </c>
      <c r="E123" s="15">
        <f t="shared" si="18"/>
        <v>113770417346.08209</v>
      </c>
      <c r="F123" s="29">
        <f t="shared" si="19"/>
        <v>94119074551.994019</v>
      </c>
      <c r="G123" s="17">
        <f t="shared" si="20"/>
        <v>2.8696563934950605</v>
      </c>
      <c r="H123" s="16">
        <f t="shared" si="21"/>
        <v>1.4459307131124619E-11</v>
      </c>
      <c r="I123" s="16">
        <f t="shared" si="22"/>
        <v>69159607091.230087</v>
      </c>
      <c r="J123" s="16">
        <f t="shared" si="23"/>
        <v>-66618173324.541649</v>
      </c>
      <c r="K123" s="18">
        <f t="shared" si="24"/>
        <v>18576066212.054985</v>
      </c>
      <c r="L123" s="17">
        <f t="shared" si="25"/>
        <v>2.6404443379836509</v>
      </c>
      <c r="M123" s="16">
        <f t="shared" si="26"/>
        <v>1.4778997117142151E-11</v>
      </c>
      <c r="N123" s="16">
        <f t="shared" si="27"/>
        <v>101495384843.14006</v>
      </c>
      <c r="O123" s="16">
        <f t="shared" si="29"/>
        <v>-97765696242.348358</v>
      </c>
      <c r="P123" s="18">
        <f t="shared" si="28"/>
        <v>27261360617.290894</v>
      </c>
    </row>
    <row r="124" spans="1:16" x14ac:dyDescent="0.4">
      <c r="A124" s="14">
        <v>0.111</v>
      </c>
      <c r="B124" s="44">
        <f t="shared" si="30"/>
        <v>0.6974335690969341</v>
      </c>
      <c r="C124" s="40">
        <f t="shared" si="16"/>
        <v>6.7720779562878033E-12</v>
      </c>
      <c r="D124" s="15">
        <f t="shared" si="17"/>
        <v>147665163699.35028</v>
      </c>
      <c r="E124" s="15">
        <f t="shared" si="18"/>
        <v>113184315324.90985</v>
      </c>
      <c r="F124" s="29">
        <f t="shared" si="19"/>
        <v>94838343167.662384</v>
      </c>
      <c r="G124" s="17">
        <f t="shared" si="20"/>
        <v>2.8957441788904705</v>
      </c>
      <c r="H124" s="16">
        <f t="shared" si="21"/>
        <v>1.4434544493930931E-11</v>
      </c>
      <c r="I124" s="16">
        <f t="shared" si="22"/>
        <v>69278251241.004135</v>
      </c>
      <c r="J124" s="16">
        <f t="shared" si="23"/>
        <v>-67195135481.758286</v>
      </c>
      <c r="K124" s="18">
        <f t="shared" si="24"/>
        <v>16860897443.488588</v>
      </c>
      <c r="L124" s="17">
        <f t="shared" si="25"/>
        <v>2.6644483774198662</v>
      </c>
      <c r="M124" s="16">
        <f t="shared" si="26"/>
        <v>1.4737178565566661E-11</v>
      </c>
      <c r="N124" s="16">
        <f t="shared" si="27"/>
        <v>101783390445.22009</v>
      </c>
      <c r="O124" s="16">
        <f t="shared" si="29"/>
        <v>-98722883274.963776</v>
      </c>
      <c r="P124" s="18">
        <f t="shared" si="28"/>
        <v>24771977886.353729</v>
      </c>
    </row>
    <row r="125" spans="1:16" x14ac:dyDescent="0.4">
      <c r="A125" s="14">
        <v>0.112</v>
      </c>
      <c r="B125" s="44">
        <f t="shared" si="30"/>
        <v>0.70371675440411363</v>
      </c>
      <c r="C125" s="40">
        <f t="shared" si="16"/>
        <v>6.7716253600059386E-12</v>
      </c>
      <c r="D125" s="15">
        <f t="shared" si="17"/>
        <v>147675033221.14133</v>
      </c>
      <c r="E125" s="15">
        <f t="shared" si="18"/>
        <v>112593723142.82597</v>
      </c>
      <c r="F125" s="29">
        <f t="shared" si="19"/>
        <v>95554010620.705215</v>
      </c>
      <c r="G125" s="17">
        <f t="shared" si="20"/>
        <v>2.9218319642858801</v>
      </c>
      <c r="H125" s="16">
        <f t="shared" si="21"/>
        <v>1.4412229261485893E-11</v>
      </c>
      <c r="I125" s="16">
        <f t="shared" si="22"/>
        <v>69385518496.5952</v>
      </c>
      <c r="J125" s="16">
        <f t="shared" si="23"/>
        <v>-67716772219.030098</v>
      </c>
      <c r="K125" s="18">
        <f t="shared" si="24"/>
        <v>15125770634.16433</v>
      </c>
      <c r="L125" s="17">
        <f t="shared" si="25"/>
        <v>2.6884524168560811</v>
      </c>
      <c r="M125" s="16">
        <f t="shared" si="26"/>
        <v>1.4697257713543931E-11</v>
      </c>
      <c r="N125" s="16">
        <f t="shared" si="27"/>
        <v>102059855602.70256</v>
      </c>
      <c r="O125" s="16">
        <f t="shared" si="29"/>
        <v>-99605279953.257797</v>
      </c>
      <c r="P125" s="18">
        <f t="shared" si="28"/>
        <v>22248647848.299389</v>
      </c>
    </row>
    <row r="126" spans="1:16" x14ac:dyDescent="0.4">
      <c r="A126" s="14">
        <v>0.113</v>
      </c>
      <c r="B126" s="44">
        <f t="shared" si="30"/>
        <v>0.70999993971129327</v>
      </c>
      <c r="C126" s="40">
        <f t="shared" si="16"/>
        <v>6.7711694004039446E-12</v>
      </c>
      <c r="D126" s="15">
        <f t="shared" si="17"/>
        <v>147684977419.16534</v>
      </c>
      <c r="E126" s="15">
        <f t="shared" si="18"/>
        <v>111998662334.96988</v>
      </c>
      <c r="F126" s="29">
        <f t="shared" si="19"/>
        <v>96266049002.110718</v>
      </c>
      <c r="G126" s="17">
        <f t="shared" si="20"/>
        <v>2.9479197496812897</v>
      </c>
      <c r="H126" s="16">
        <f t="shared" si="21"/>
        <v>1.4392376620062776E-11</v>
      </c>
      <c r="I126" s="16">
        <f t="shared" si="22"/>
        <v>69481227902.694931</v>
      </c>
      <c r="J126" s="16">
        <f t="shared" si="23"/>
        <v>-68182203557.316833</v>
      </c>
      <c r="K126" s="18">
        <f t="shared" si="24"/>
        <v>13372664242.208603</v>
      </c>
      <c r="L126" s="17">
        <f t="shared" si="25"/>
        <v>2.7124564562922959</v>
      </c>
      <c r="M126" s="16">
        <f t="shared" si="26"/>
        <v>1.4659257562121298E-11</v>
      </c>
      <c r="N126" s="16">
        <f t="shared" si="27"/>
        <v>102324418112.1366</v>
      </c>
      <c r="O126" s="16">
        <f t="shared" si="29"/>
        <v>-100411355918.69833</v>
      </c>
      <c r="P126" s="18">
        <f t="shared" si="28"/>
        <v>19693809802.976986</v>
      </c>
    </row>
    <row r="127" spans="1:16" x14ac:dyDescent="0.4">
      <c r="A127" s="14">
        <v>0.114</v>
      </c>
      <c r="B127" s="44">
        <f t="shared" si="30"/>
        <v>0.71628312501847291</v>
      </c>
      <c r="C127" s="40">
        <f t="shared" si="16"/>
        <v>6.7707100954823224E-12</v>
      </c>
      <c r="D127" s="15">
        <f t="shared" si="17"/>
        <v>147694995930.66882</v>
      </c>
      <c r="E127" s="15">
        <f t="shared" si="18"/>
        <v>111399154608.52019</v>
      </c>
      <c r="F127" s="29">
        <f t="shared" si="19"/>
        <v>96974430524.068024</v>
      </c>
      <c r="G127" s="17">
        <f t="shared" si="20"/>
        <v>2.9740075350766997</v>
      </c>
      <c r="H127" s="16">
        <f t="shared" si="21"/>
        <v>1.4375000080058054E-11</v>
      </c>
      <c r="I127" s="16">
        <f t="shared" si="22"/>
        <v>69565217003.877853</v>
      </c>
      <c r="J127" s="16">
        <f t="shared" si="23"/>
        <v>-68590639481.831184</v>
      </c>
      <c r="K127" s="18">
        <f t="shared" si="24"/>
        <v>11603602555.675436</v>
      </c>
      <c r="L127" s="17">
        <f t="shared" si="25"/>
        <v>2.7364604957285112</v>
      </c>
      <c r="M127" s="16">
        <f t="shared" si="26"/>
        <v>1.4623200005703248E-11</v>
      </c>
      <c r="N127" s="16">
        <f t="shared" si="27"/>
        <v>102576727352.08296</v>
      </c>
      <c r="O127" s="16">
        <f t="shared" si="29"/>
        <v>-101139673360.61942</v>
      </c>
      <c r="P127" s="18">
        <f t="shared" si="28"/>
        <v>17109981495.336992</v>
      </c>
    </row>
    <row r="128" spans="1:16" x14ac:dyDescent="0.4">
      <c r="A128" s="14">
        <v>0.115</v>
      </c>
      <c r="B128" s="44">
        <f t="shared" si="30"/>
        <v>0.72256631032565244</v>
      </c>
      <c r="C128" s="40">
        <f t="shared" si="16"/>
        <v>6.7702474633736448E-12</v>
      </c>
      <c r="D128" s="15">
        <f t="shared" si="17"/>
        <v>147705088390.03287</v>
      </c>
      <c r="E128" s="15">
        <f t="shared" si="18"/>
        <v>110795221842.10913</v>
      </c>
      <c r="F128" s="29">
        <f t="shared" si="19"/>
        <v>97679127521.007507</v>
      </c>
      <c r="G128" s="17">
        <f t="shared" si="20"/>
        <v>3.0000953204721088</v>
      </c>
      <c r="H128" s="16">
        <f t="shared" si="21"/>
        <v>1.4360111466797123E-11</v>
      </c>
      <c r="I128" s="16">
        <f t="shared" si="22"/>
        <v>69637342461.593018</v>
      </c>
      <c r="J128" s="16">
        <f t="shared" si="23"/>
        <v>-68941382942.447037</v>
      </c>
      <c r="K128" s="18">
        <f t="shared" si="24"/>
        <v>9820650848.9029636</v>
      </c>
      <c r="L128" s="17">
        <f t="shared" si="25"/>
        <v>2.7604645351647261</v>
      </c>
      <c r="M128" s="16">
        <f t="shared" si="26"/>
        <v>1.4589105819436598E-11</v>
      </c>
      <c r="N128" s="16">
        <f t="shared" si="27"/>
        <v>102816445268.46861</v>
      </c>
      <c r="O128" s="16">
        <f t="shared" si="29"/>
        <v>-101788891928.83897</v>
      </c>
      <c r="P128" s="18">
        <f t="shared" si="28"/>
        <v>14499755085.626123</v>
      </c>
    </row>
    <row r="129" spans="1:16" x14ac:dyDescent="0.4">
      <c r="A129" s="14">
        <v>0.11600000000000001</v>
      </c>
      <c r="B129" s="44">
        <f t="shared" si="30"/>
        <v>0.72884949563283208</v>
      </c>
      <c r="C129" s="40">
        <f t="shared" si="16"/>
        <v>6.7697815223418352E-12</v>
      </c>
      <c r="D129" s="15">
        <f t="shared" si="17"/>
        <v>147715254428.78329</v>
      </c>
      <c r="E129" s="15">
        <f t="shared" si="18"/>
        <v>110186886085.23109</v>
      </c>
      <c r="F129" s="29">
        <f t="shared" si="19"/>
        <v>98380112450.639572</v>
      </c>
      <c r="G129" s="17">
        <f t="shared" si="20"/>
        <v>3.0261831058675188</v>
      </c>
      <c r="H129" s="16">
        <f t="shared" si="21"/>
        <v>1.434772091248677E-11</v>
      </c>
      <c r="I129" s="16">
        <f t="shared" si="22"/>
        <v>69697480603.327286</v>
      </c>
      <c r="J129" s="16">
        <f t="shared" si="23"/>
        <v>-69233832524.2603</v>
      </c>
      <c r="K129" s="18">
        <f t="shared" si="24"/>
        <v>8025910319.3257132</v>
      </c>
      <c r="L129" s="17">
        <f t="shared" si="25"/>
        <v>2.7844685746009414</v>
      </c>
      <c r="M129" s="16">
        <f t="shared" si="26"/>
        <v>1.4556994647240562E-11</v>
      </c>
      <c r="N129" s="16">
        <f t="shared" si="27"/>
        <v>103043247342.56473</v>
      </c>
      <c r="O129" s="16">
        <f t="shared" si="29"/>
        <v>-102357773444.83357</v>
      </c>
      <c r="P129" s="18">
        <f t="shared" si="28"/>
        <v>11865792780.808798</v>
      </c>
    </row>
    <row r="130" spans="1:16" x14ac:dyDescent="0.4">
      <c r="A130" s="14">
        <v>0.11700000000000001</v>
      </c>
      <c r="B130" s="44">
        <f t="shared" si="30"/>
        <v>0.73513268094001161</v>
      </c>
      <c r="C130" s="40">
        <f t="shared" si="16"/>
        <v>6.7693122907814478E-12</v>
      </c>
      <c r="D130" s="15">
        <f t="shared" si="17"/>
        <v>147725493675.60059</v>
      </c>
      <c r="E130" s="15">
        <f t="shared" si="18"/>
        <v>109574169557.64539</v>
      </c>
      <c r="F130" s="29">
        <f t="shared" si="19"/>
        <v>99077357894.99176</v>
      </c>
      <c r="G130" s="17">
        <f t="shared" si="20"/>
        <v>3.0522708912629284</v>
      </c>
      <c r="H130" s="16">
        <f t="shared" si="21"/>
        <v>1.4337836849319852E-11</v>
      </c>
      <c r="I130" s="16">
        <f t="shared" si="22"/>
        <v>69745527900.007965</v>
      </c>
      <c r="J130" s="16">
        <f t="shared" si="23"/>
        <v>-69467484769.180099</v>
      </c>
      <c r="K130" s="18">
        <f t="shared" si="24"/>
        <v>6221512830.0535755</v>
      </c>
      <c r="L130" s="17">
        <f t="shared" si="25"/>
        <v>2.8084726140371563</v>
      </c>
      <c r="M130" s="16">
        <f t="shared" si="26"/>
        <v>1.4526884990488588E-11</v>
      </c>
      <c r="N130" s="16">
        <f t="shared" si="27"/>
        <v>103256823536.64383</v>
      </c>
      <c r="O130" s="16">
        <f t="shared" si="29"/>
        <v>-102845186384.27142</v>
      </c>
      <c r="P130" s="18">
        <f t="shared" si="28"/>
        <v>9210822138.2282238</v>
      </c>
    </row>
    <row r="131" spans="1:16" x14ac:dyDescent="0.4">
      <c r="A131" s="14">
        <v>0.11799999999999999</v>
      </c>
      <c r="B131" s="44">
        <f t="shared" si="30"/>
        <v>0.74141586624719114</v>
      </c>
      <c r="C131" s="40">
        <f t="shared" si="16"/>
        <v>6.768839787216941E-12</v>
      </c>
      <c r="D131" s="15">
        <f t="shared" si="17"/>
        <v>147735805756.32999</v>
      </c>
      <c r="E131" s="15">
        <f t="shared" si="18"/>
        <v>108957094648.77258</v>
      </c>
      <c r="F131" s="29">
        <f t="shared" si="19"/>
        <v>99770836561.444519</v>
      </c>
      <c r="G131" s="17">
        <f t="shared" si="20"/>
        <v>3.0783586766583375</v>
      </c>
      <c r="H131" s="16">
        <f t="shared" si="21"/>
        <v>1.4330466003736917E-11</v>
      </c>
      <c r="I131" s="16">
        <f t="shared" si="22"/>
        <v>69781401368.192261</v>
      </c>
      <c r="J131" s="16">
        <f t="shared" si="23"/>
        <v>-69641936131.762024</v>
      </c>
      <c r="K131" s="18">
        <f t="shared" si="24"/>
        <v>4409615485.3144188</v>
      </c>
      <c r="L131" s="17">
        <f t="shared" si="25"/>
        <v>2.8324766534733707</v>
      </c>
      <c r="M131" s="16">
        <f t="shared" si="26"/>
        <v>1.4498794197348494E-11</v>
      </c>
      <c r="N131" s="16">
        <f t="shared" si="27"/>
        <v>103456879212.36351</v>
      </c>
      <c r="O131" s="16">
        <f t="shared" si="29"/>
        <v>-103250110104.30911</v>
      </c>
      <c r="P131" s="18">
        <f t="shared" si="28"/>
        <v>6537631054.8714323</v>
      </c>
    </row>
    <row r="132" spans="1:16" x14ac:dyDescent="0.4">
      <c r="A132" s="14">
        <v>0.11899999999999999</v>
      </c>
      <c r="B132" s="44">
        <f t="shared" si="30"/>
        <v>0.74769905155437077</v>
      </c>
      <c r="C132" s="40">
        <f t="shared" si="16"/>
        <v>6.768364030301947E-12</v>
      </c>
      <c r="D132" s="15">
        <f t="shared" si="17"/>
        <v>147746190293.9917</v>
      </c>
      <c r="E132" s="15">
        <f t="shared" si="18"/>
        <v>108335683917.08513</v>
      </c>
      <c r="F132" s="29">
        <f t="shared" si="19"/>
        <v>100460521283.76515</v>
      </c>
      <c r="G132" s="17">
        <f t="shared" si="20"/>
        <v>3.1044464620537475</v>
      </c>
      <c r="H132" s="16">
        <f t="shared" si="21"/>
        <v>1.4325613391848618E-11</v>
      </c>
      <c r="I132" s="16">
        <f t="shared" si="22"/>
        <v>69805038894.111679</v>
      </c>
      <c r="J132" s="16">
        <f t="shared" si="23"/>
        <v>-69756884555.023575</v>
      </c>
      <c r="K132" s="18">
        <f t="shared" si="24"/>
        <v>2592395067.4151063</v>
      </c>
      <c r="L132" s="17">
        <f t="shared" si="25"/>
        <v>2.8564806929095861</v>
      </c>
      <c r="M132" s="16">
        <f t="shared" si="26"/>
        <v>1.4472738452787029E-11</v>
      </c>
      <c r="N132" s="16">
        <f t="shared" si="27"/>
        <v>103643136016.95355</v>
      </c>
      <c r="O132" s="16">
        <f t="shared" si="29"/>
        <v>-103571638789.8911</v>
      </c>
      <c r="P132" s="18">
        <f t="shared" si="28"/>
        <v>3849062457.9316416</v>
      </c>
    </row>
    <row r="133" spans="1:16" x14ac:dyDescent="0.4">
      <c r="A133" s="14">
        <v>0.12</v>
      </c>
      <c r="B133" s="44">
        <f t="shared" si="30"/>
        <v>0.7539822368615503</v>
      </c>
      <c r="C133" s="40">
        <f t="shared" si="16"/>
        <v>6.7678850388185345E-12</v>
      </c>
      <c r="D133" s="15">
        <f t="shared" si="17"/>
        <v>147756646908.79108</v>
      </c>
      <c r="E133" s="15">
        <f t="shared" si="18"/>
        <v>107709960089.49158</v>
      </c>
      <c r="F133" s="29">
        <f t="shared" si="19"/>
        <v>101146385023.14005</v>
      </c>
      <c r="G133" s="17">
        <f t="shared" si="20"/>
        <v>3.1305342474491571</v>
      </c>
      <c r="H133" s="16">
        <f t="shared" si="21"/>
        <v>1.4323282316022086E-11</v>
      </c>
      <c r="I133" s="16">
        <f t="shared" si="22"/>
        <v>69816399477.192154</v>
      </c>
      <c r="J133" s="16">
        <f t="shared" si="23"/>
        <v>-69812130654.673859</v>
      </c>
      <c r="K133" s="18">
        <f t="shared" si="24"/>
        <v>772042365.17382896</v>
      </c>
      <c r="L133" s="17">
        <f t="shared" si="25"/>
        <v>2.8804847323458009</v>
      </c>
      <c r="M133" s="16">
        <f t="shared" si="26"/>
        <v>1.4448732769244646E-11</v>
      </c>
      <c r="N133" s="16">
        <f t="shared" si="27"/>
        <v>103815332732.35403</v>
      </c>
      <c r="O133" s="16">
        <f t="shared" si="29"/>
        <v>-103808985094.35738</v>
      </c>
      <c r="P133" s="18">
        <f t="shared" si="28"/>
        <v>1148008714.6312699</v>
      </c>
    </row>
    <row r="134" spans="1:16" x14ac:dyDescent="0.4">
      <c r="A134" s="14">
        <v>0.121</v>
      </c>
      <c r="B134" s="44">
        <f t="shared" si="30"/>
        <v>0.76026542216872994</v>
      </c>
      <c r="C134" s="40">
        <f t="shared" si="16"/>
        <v>6.7674028316764668E-12</v>
      </c>
      <c r="D134" s="15">
        <f t="shared" si="17"/>
        <v>147767175218.12918</v>
      </c>
      <c r="E134" s="15">
        <f t="shared" si="18"/>
        <v>107079946060.7151</v>
      </c>
      <c r="F134" s="29">
        <f t="shared" si="19"/>
        <v>101828400869.20563</v>
      </c>
      <c r="G134" s="17">
        <f t="shared" si="20"/>
        <v>3.1566220328445667</v>
      </c>
      <c r="H134" s="16">
        <f t="shared" si="21"/>
        <v>1.4323474362633568E-11</v>
      </c>
      <c r="I134" s="16">
        <f t="shared" si="22"/>
        <v>69815463391.253372</v>
      </c>
      <c r="J134" s="16">
        <f t="shared" si="23"/>
        <v>-69807578503.020309</v>
      </c>
      <c r="K134" s="18">
        <f t="shared" si="24"/>
        <v>-1049243575.1989248</v>
      </c>
      <c r="L134" s="17">
        <f t="shared" si="25"/>
        <v>2.9044887717820158</v>
      </c>
      <c r="M134" s="16">
        <f t="shared" si="26"/>
        <v>1.4426790977985851E-11</v>
      </c>
      <c r="N134" s="16">
        <f t="shared" si="27"/>
        <v>103973226082.56279</v>
      </c>
      <c r="O134" s="16">
        <f t="shared" si="29"/>
        <v>-103961483450.95842</v>
      </c>
      <c r="P134" s="18">
        <f t="shared" si="28"/>
        <v>-1562594218.5395808</v>
      </c>
    </row>
    <row r="135" spans="1:16" x14ac:dyDescent="0.4">
      <c r="A135" s="14">
        <v>0.122</v>
      </c>
      <c r="B135" s="44">
        <f t="shared" si="30"/>
        <v>0.76654860747590947</v>
      </c>
      <c r="C135" s="40">
        <f t="shared" si="16"/>
        <v>6.766917427912455E-12</v>
      </c>
      <c r="D135" s="15">
        <f t="shared" si="17"/>
        <v>147777774836.61313</v>
      </c>
      <c r="E135" s="15">
        <f t="shared" si="18"/>
        <v>106445664892.66547</v>
      </c>
      <c r="F135" s="29">
        <f t="shared" si="19"/>
        <v>102506542041.07704</v>
      </c>
      <c r="G135" s="17">
        <f t="shared" si="20"/>
        <v>3.1827098182399762</v>
      </c>
      <c r="H135" s="16">
        <f t="shared" si="21"/>
        <v>1.4326189400988818E-11</v>
      </c>
      <c r="I135" s="16">
        <f t="shared" si="22"/>
        <v>69802232262.193756</v>
      </c>
      <c r="J135" s="16">
        <f t="shared" si="23"/>
        <v>-69743236006.747391</v>
      </c>
      <c r="K135" s="18">
        <f t="shared" si="24"/>
        <v>-2869261245.0554376</v>
      </c>
      <c r="L135" s="17">
        <f t="shared" si="25"/>
        <v>2.9284928112182311</v>
      </c>
      <c r="M135" s="16">
        <f t="shared" si="26"/>
        <v>1.4406925721130081E-11</v>
      </c>
      <c r="N135" s="16">
        <f t="shared" si="27"/>
        <v>104116591494.60374</v>
      </c>
      <c r="O135" s="16">
        <f t="shared" si="29"/>
        <v>-104028593033.39484</v>
      </c>
      <c r="P135" s="18">
        <f t="shared" si="28"/>
        <v>-4279772884.9215794</v>
      </c>
    </row>
    <row r="136" spans="1:16" x14ac:dyDescent="0.4">
      <c r="A136" s="14">
        <v>0.123</v>
      </c>
      <c r="B136" s="44">
        <f t="shared" si="30"/>
        <v>0.77283179278308911</v>
      </c>
      <c r="C136" s="40">
        <f t="shared" si="16"/>
        <v>6.7664288466894087E-12</v>
      </c>
      <c r="D136" s="15">
        <f t="shared" si="17"/>
        <v>147788445376.06674</v>
      </c>
      <c r="E136" s="15">
        <f t="shared" si="18"/>
        <v>105807139813.80524</v>
      </c>
      <c r="F136" s="29">
        <f t="shared" si="19"/>
        <v>103180781888.37558</v>
      </c>
      <c r="G136" s="17">
        <f t="shared" si="20"/>
        <v>3.2087976036353862</v>
      </c>
      <c r="H136" s="16">
        <f t="shared" si="21"/>
        <v>1.433142558341206E-11</v>
      </c>
      <c r="I136" s="16">
        <f t="shared" si="22"/>
        <v>69776729061.584229</v>
      </c>
      <c r="J136" s="16">
        <f t="shared" si="23"/>
        <v>-69619214875.763412</v>
      </c>
      <c r="K136" s="18">
        <f t="shared" si="24"/>
        <v>-4685812481.9517651</v>
      </c>
      <c r="L136" s="17">
        <f t="shared" si="25"/>
        <v>2.9524968506544464</v>
      </c>
      <c r="M136" s="16">
        <f t="shared" si="26"/>
        <v>1.4389148444367748E-11</v>
      </c>
      <c r="N136" s="16">
        <f t="shared" si="27"/>
        <v>104245223808.71922</v>
      </c>
      <c r="O136" s="16">
        <f t="shared" si="29"/>
        <v>-104009900345.22688</v>
      </c>
      <c r="P136" s="18">
        <f t="shared" si="28"/>
        <v>-7000522630.9136686</v>
      </c>
    </row>
    <row r="137" spans="1:16" x14ac:dyDescent="0.4">
      <c r="A137" s="14">
        <v>0.124</v>
      </c>
      <c r="B137" s="44">
        <f t="shared" si="30"/>
        <v>0.77911497809026864</v>
      </c>
      <c r="C137" s="40">
        <f t="shared" si="16"/>
        <v>6.7659371072956806E-12</v>
      </c>
      <c r="D137" s="15">
        <f t="shared" si="17"/>
        <v>147799186445.5412</v>
      </c>
      <c r="E137" s="15">
        <f t="shared" si="18"/>
        <v>105164394218.5096</v>
      </c>
      <c r="F137" s="29">
        <f t="shared" si="19"/>
        <v>103851093892.254</v>
      </c>
      <c r="G137" s="17">
        <f t="shared" si="20"/>
        <v>3.2348853890307954</v>
      </c>
      <c r="H137" s="16">
        <f t="shared" si="21"/>
        <v>1.4339179346503395E-11</v>
      </c>
      <c r="I137" s="16">
        <f t="shared" si="22"/>
        <v>69738998016.218399</v>
      </c>
      <c r="J137" s="16">
        <f t="shared" si="23"/>
        <v>-69435730183.346909</v>
      </c>
      <c r="K137" s="18">
        <f t="shared" si="24"/>
        <v>-6496708259.692894</v>
      </c>
      <c r="L137" s="17">
        <f t="shared" si="25"/>
        <v>2.9765008900906609</v>
      </c>
      <c r="M137" s="16">
        <f t="shared" si="26"/>
        <v>1.4373469390365616E-11</v>
      </c>
      <c r="N137" s="16">
        <f t="shared" si="27"/>
        <v>104358937933.62332</v>
      </c>
      <c r="O137" s="16">
        <f t="shared" si="29"/>
        <v>-103905121419.93408</v>
      </c>
      <c r="P137" s="18">
        <f t="shared" si="28"/>
        <v>-9721814097.307169</v>
      </c>
    </row>
    <row r="138" spans="1:16" x14ac:dyDescent="0.4">
      <c r="A138" s="14">
        <v>0.125</v>
      </c>
      <c r="B138" s="44">
        <f t="shared" si="30"/>
        <v>0.78539816339744828</v>
      </c>
      <c r="C138" s="40">
        <f t="shared" si="16"/>
        <v>6.7654422291442964E-12</v>
      </c>
      <c r="D138" s="15">
        <f t="shared" si="17"/>
        <v>147809997651.32596</v>
      </c>
      <c r="E138" s="15">
        <f t="shared" si="18"/>
        <v>104517451666.42026</v>
      </c>
      <c r="F138" s="29">
        <f t="shared" si="19"/>
        <v>104517451666.42024</v>
      </c>
      <c r="G138" s="17">
        <f t="shared" si="20"/>
        <v>3.2609731744262054</v>
      </c>
      <c r="H138" s="16">
        <f t="shared" si="21"/>
        <v>1.4349445413563801E-11</v>
      </c>
      <c r="I138" s="16">
        <f t="shared" si="22"/>
        <v>69689104434.290604</v>
      </c>
      <c r="J138" s="16">
        <f t="shared" si="23"/>
        <v>-69193099520.856201</v>
      </c>
      <c r="K138" s="18">
        <f t="shared" si="24"/>
        <v>-8299774427.6788044</v>
      </c>
      <c r="L138" s="17">
        <f t="shared" si="25"/>
        <v>3.0005049295268762</v>
      </c>
      <c r="M138" s="16">
        <f t="shared" si="26"/>
        <v>1.4359897592865328E-11</v>
      </c>
      <c r="N138" s="16">
        <f t="shared" si="27"/>
        <v>104457569442.92349</v>
      </c>
      <c r="O138" s="16">
        <f t="shared" si="29"/>
        <v>-103714103615.52206</v>
      </c>
      <c r="P138" s="18">
        <f t="shared" si="28"/>
        <v>-12440599871.064831</v>
      </c>
    </row>
    <row r="139" spans="1:16" x14ac:dyDescent="0.4">
      <c r="A139" s="14">
        <v>0.126</v>
      </c>
      <c r="B139" s="44">
        <f t="shared" si="30"/>
        <v>0.79168134870462792</v>
      </c>
      <c r="C139" s="40">
        <f t="shared" si="16"/>
        <v>6.7649442317722017E-12</v>
      </c>
      <c r="D139" s="15">
        <f t="shared" si="17"/>
        <v>147820878596.9595</v>
      </c>
      <c r="E139" s="15">
        <f t="shared" si="18"/>
        <v>103866335881.79295</v>
      </c>
      <c r="F139" s="29">
        <f t="shared" si="19"/>
        <v>105179828958.15913</v>
      </c>
      <c r="G139" s="17">
        <f t="shared" si="20"/>
        <v>3.2870609598216154</v>
      </c>
      <c r="H139" s="16">
        <f t="shared" si="21"/>
        <v>1.4362216798186115E-11</v>
      </c>
      <c r="I139" s="16">
        <f t="shared" si="22"/>
        <v>69627134449.488022</v>
      </c>
      <c r="J139" s="16">
        <f t="shared" si="23"/>
        <v>-68891741753.258987</v>
      </c>
      <c r="K139" s="18">
        <f t="shared" si="24"/>
        <v>-10092857367.928827</v>
      </c>
      <c r="L139" s="17">
        <f t="shared" si="25"/>
        <v>3.0245089689630915</v>
      </c>
      <c r="M139" s="16">
        <f t="shared" si="26"/>
        <v>1.4348440871478461E-11</v>
      </c>
      <c r="N139" s="16">
        <f t="shared" si="27"/>
        <v>104540975109.12628</v>
      </c>
      <c r="O139" s="16">
        <f t="shared" si="29"/>
        <v>-103436826989.86559</v>
      </c>
      <c r="P139" s="18">
        <f t="shared" si="28"/>
        <v>-15153821268.431761</v>
      </c>
    </row>
    <row r="140" spans="1:16" x14ac:dyDescent="0.4">
      <c r="A140" s="14">
        <v>0.127</v>
      </c>
      <c r="B140" s="44">
        <f t="shared" si="30"/>
        <v>0.79796453401180745</v>
      </c>
      <c r="C140" s="40">
        <f t="shared" si="16"/>
        <v>6.7644431348394778E-12</v>
      </c>
      <c r="D140" s="15">
        <f t="shared" si="17"/>
        <v>147831828883.24042</v>
      </c>
      <c r="E140" s="15">
        <f t="shared" si="18"/>
        <v>103211070752.83891</v>
      </c>
      <c r="F140" s="29">
        <f t="shared" si="19"/>
        <v>105838199649.35229</v>
      </c>
      <c r="G140" s="17">
        <f t="shared" si="20"/>
        <v>3.3131487452170245</v>
      </c>
      <c r="H140" s="16">
        <f t="shared" si="21"/>
        <v>1.4377484809009521E-11</v>
      </c>
      <c r="I140" s="16">
        <f t="shared" si="22"/>
        <v>69553194684.883896</v>
      </c>
      <c r="J140" s="16">
        <f t="shared" si="23"/>
        <v>-68532175384.657341</v>
      </c>
      <c r="K140" s="18">
        <f t="shared" si="24"/>
        <v>-11873829538.945206</v>
      </c>
      <c r="L140" s="17">
        <f t="shared" si="25"/>
        <v>3.0485130083993059</v>
      </c>
      <c r="M140" s="16">
        <f t="shared" si="26"/>
        <v>1.4339105827181139E-11</v>
      </c>
      <c r="N140" s="16">
        <f t="shared" si="27"/>
        <v>104609033371.98386</v>
      </c>
      <c r="O140" s="16">
        <f t="shared" si="29"/>
        <v>-103073405245.41483</v>
      </c>
      <c r="P140" s="18">
        <f t="shared" si="28"/>
        <v>-17858415219.031143</v>
      </c>
    </row>
    <row r="141" spans="1:16" x14ac:dyDescent="0.4">
      <c r="A141" s="14">
        <v>0.128</v>
      </c>
      <c r="B141" s="44">
        <f t="shared" si="30"/>
        <v>0.80424771931898709</v>
      </c>
      <c r="C141" s="40">
        <f t="shared" ref="C141:C204" si="31">((semiejeMayorTierra*(1-(excentricidadTierra^2)))^-1)*(1+excentricidadTierra*COS(Φ))</f>
        <v>6.7639389581285724E-12</v>
      </c>
      <c r="D141" s="15">
        <f t="shared" ref="D141:D204" si="32">1/u0Tierra</f>
        <v>147842848108.23859</v>
      </c>
      <c r="E141" s="15">
        <f t="shared" ref="E141:E204" si="33">r0Tierra*COS(Φ)</f>
        <v>102551680331.06009</v>
      </c>
      <c r="F141" s="29">
        <f t="shared" ref="F141:F204" si="34">r0Tierra*SIN(Φ)</f>
        <v>106492537757.49628</v>
      </c>
      <c r="G141" s="17">
        <f t="shared" ref="G141:G204" si="35">Φ*relaciónOrbitas</f>
        <v>3.3392365306124345</v>
      </c>
      <c r="H141" s="16">
        <f t="shared" ref="H141:H204" si="36">((semiejeMayorMercurio*(1-(excentricidadMercurio^2)))^-1)*(1+excentricidadMercurio*COS(ΦMercurio))</f>
        <v>1.439523905563431E-11</v>
      </c>
      <c r="I141" s="16">
        <f t="shared" ref="I141:I204" si="37">1/u0Mercurio</f>
        <v>69467411839.096832</v>
      </c>
      <c r="J141" s="16">
        <f t="shared" ref="J141:J204" si="38">r0Mercurio*COS(ΦMercurio)</f>
        <v>-68115016545.795517</v>
      </c>
      <c r="K141" s="18">
        <f t="shared" ref="K141:K204" si="39">r0Mercurio*SIN(ΦMercurio)</f>
        <v>-13640594876.642775</v>
      </c>
      <c r="L141" s="17">
        <f t="shared" ref="L141:L204" si="40">ΦMercurio*(1-(simulaciónÁngulo*((3/2)*rsSol*((semiejeMayorMercurio*(1-(excentricidadMercurio^2)))^-1))))</f>
        <v>3.0725170478355213</v>
      </c>
      <c r="M141" s="16">
        <f t="shared" ref="M141:M204" si="41">((semiejeMayorMercurio*(1-(excentricidadMercurio^2)))^-1)*(1+excentricidadMercurio*COS(ΦLPMercurio))</f>
        <v>1.4331897838510761E-11</v>
      </c>
      <c r="N141" s="16">
        <f t="shared" ref="N141:N204" si="42">1*simulaciónRadio/uMercurio</f>
        <v>104661644738.31236</v>
      </c>
      <c r="O141" s="16">
        <f t="shared" si="29"/>
        <v>-102624086234.46141</v>
      </c>
      <c r="P141" s="18">
        <f t="shared" ref="P141:P204" si="43">rMercurio*SIN(ΦMercurio)</f>
        <v>-20551321219.584263</v>
      </c>
    </row>
    <row r="142" spans="1:16" x14ac:dyDescent="0.4">
      <c r="A142" s="14">
        <v>0.129</v>
      </c>
      <c r="B142" s="44">
        <f t="shared" si="30"/>
        <v>0.81053090462616662</v>
      </c>
      <c r="C142" s="40">
        <f t="shared" si="31"/>
        <v>6.7634317215435222E-12</v>
      </c>
      <c r="D142" s="15">
        <f t="shared" si="32"/>
        <v>147853935867.30615</v>
      </c>
      <c r="E142" s="15">
        <f t="shared" si="33"/>
        <v>101888188830.57813</v>
      </c>
      <c r="F142" s="29">
        <f t="shared" si="34"/>
        <v>107142817436.71825</v>
      </c>
      <c r="G142" s="17">
        <f t="shared" si="35"/>
        <v>3.3653243160078441</v>
      </c>
      <c r="H142" s="16">
        <f t="shared" si="36"/>
        <v>1.4415467455692912E-11</v>
      </c>
      <c r="I142" s="16">
        <f t="shared" si="37"/>
        <v>69369932197.72995</v>
      </c>
      <c r="J142" s="16">
        <f t="shared" si="38"/>
        <v>-67640976618.206619</v>
      </c>
      <c r="K142" s="18">
        <f t="shared" si="39"/>
        <v>-15391094023.911238</v>
      </c>
      <c r="L142" s="17">
        <f t="shared" si="40"/>
        <v>3.0965210872717361</v>
      </c>
      <c r="M142" s="16">
        <f t="shared" si="41"/>
        <v>1.4326821058467083E-11</v>
      </c>
      <c r="N142" s="16">
        <f t="shared" si="42"/>
        <v>104698732110.81303</v>
      </c>
      <c r="O142" s="16">
        <f t="shared" ref="O142:O205" si="44">rMercurio*COS(ΦMercurio)</f>
        <v>-102089252018.8326</v>
      </c>
      <c r="P142" s="18">
        <f t="shared" si="43"/>
        <v>-23229488325.124096</v>
      </c>
    </row>
    <row r="143" spans="1:16" x14ac:dyDescent="0.4">
      <c r="A143" s="14">
        <v>0.13</v>
      </c>
      <c r="B143" s="44">
        <f t="shared" ref="B143:B206" si="45">A143*2*PI()</f>
        <v>0.81681408993334625</v>
      </c>
      <c r="C143" s="40">
        <f t="shared" si="31"/>
        <v>6.7629214451091557E-12</v>
      </c>
      <c r="D143" s="15">
        <f t="shared" si="32"/>
        <v>147865091753.0892</v>
      </c>
      <c r="E143" s="15">
        <f t="shared" si="33"/>
        <v>101220620627.45721</v>
      </c>
      <c r="F143" s="29">
        <f t="shared" si="34"/>
        <v>107789012978.79051</v>
      </c>
      <c r="G143" s="17">
        <f t="shared" si="35"/>
        <v>3.3914121014032537</v>
      </c>
      <c r="H143" s="16">
        <f t="shared" si="36"/>
        <v>1.4438156243072339E-11</v>
      </c>
      <c r="I143" s="16">
        <f t="shared" si="37"/>
        <v>69260921073.618118</v>
      </c>
      <c r="J143" s="16">
        <f t="shared" si="38"/>
        <v>-67110859512.155006</v>
      </c>
      <c r="K143" s="18">
        <f t="shared" si="39"/>
        <v>-17123309361.970678</v>
      </c>
      <c r="L143" s="17">
        <f t="shared" si="40"/>
        <v>3.1205251267079515</v>
      </c>
      <c r="M143" s="16">
        <f t="shared" si="41"/>
        <v>1.4323878412119385E-11</v>
      </c>
      <c r="N143" s="16">
        <f t="shared" si="42"/>
        <v>104720241043.8541</v>
      </c>
      <c r="O143" s="16">
        <f t="shared" si="44"/>
        <v>-101469418480.63373</v>
      </c>
      <c r="P143" s="18">
        <f t="shared" si="43"/>
        <v>-25889882145.056786</v>
      </c>
    </row>
    <row r="144" spans="1:16" x14ac:dyDescent="0.4">
      <c r="A144" s="14">
        <v>0.13100000000000001</v>
      </c>
      <c r="B144" s="44">
        <f t="shared" si="45"/>
        <v>0.82309727524052578</v>
      </c>
      <c r="C144" s="40">
        <f t="shared" si="31"/>
        <v>6.7624081489703162E-12</v>
      </c>
      <c r="D144" s="15">
        <f t="shared" si="32"/>
        <v>147876315355.53882</v>
      </c>
      <c r="E144" s="15">
        <f t="shared" si="33"/>
        <v>100549000259.02058</v>
      </c>
      <c r="F144" s="29">
        <f t="shared" si="34"/>
        <v>108431098814.14207</v>
      </c>
      <c r="G144" s="17">
        <f t="shared" si="35"/>
        <v>3.4174998867986632</v>
      </c>
      <c r="H144" s="16">
        <f t="shared" si="36"/>
        <v>1.4463289977282509E-11</v>
      </c>
      <c r="I144" s="16">
        <f t="shared" si="37"/>
        <v>69140562179.884384</v>
      </c>
      <c r="J144" s="16">
        <f t="shared" si="38"/>
        <v>-66525558617.833023</v>
      </c>
      <c r="K144" s="18">
        <f t="shared" si="39"/>
        <v>-18835269818.500648</v>
      </c>
      <c r="L144" s="17">
        <f t="shared" si="40"/>
        <v>3.1445291661441663</v>
      </c>
      <c r="M144" s="16">
        <f t="shared" si="41"/>
        <v>1.4323071594921166E-11</v>
      </c>
      <c r="N144" s="16">
        <f t="shared" si="42"/>
        <v>104726139924.61552</v>
      </c>
      <c r="O144" s="16">
        <f t="shared" si="44"/>
        <v>-100765234483.46141</v>
      </c>
      <c r="P144" s="18">
        <f t="shared" si="43"/>
        <v>-28529491811.162548</v>
      </c>
    </row>
    <row r="145" spans="1:16" x14ac:dyDescent="0.4">
      <c r="A145" s="14">
        <v>0.13200000000000001</v>
      </c>
      <c r="B145" s="44">
        <f t="shared" si="45"/>
        <v>0.82938046054770542</v>
      </c>
      <c r="C145" s="40">
        <f t="shared" si="31"/>
        <v>6.7618918533910522E-12</v>
      </c>
      <c r="D145" s="15">
        <f t="shared" si="32"/>
        <v>147887606261.92291</v>
      </c>
      <c r="E145" s="15">
        <f t="shared" si="33"/>
        <v>99873352423.160797</v>
      </c>
      <c r="F145" s="29">
        <f t="shared" si="34"/>
        <v>109069049512.86897</v>
      </c>
      <c r="G145" s="17">
        <f t="shared" si="35"/>
        <v>3.4435876721940732</v>
      </c>
      <c r="H145" s="16">
        <f t="shared" si="36"/>
        <v>1.4490851553964018E-11</v>
      </c>
      <c r="I145" s="16">
        <f t="shared" si="37"/>
        <v>69009056940.235291</v>
      </c>
      <c r="J145" s="16">
        <f t="shared" si="38"/>
        <v>-65886053451.352203</v>
      </c>
      <c r="K145" s="18">
        <f t="shared" si="39"/>
        <v>-20525055429.552361</v>
      </c>
      <c r="L145" s="17">
        <f t="shared" si="40"/>
        <v>3.1685332055803817</v>
      </c>
      <c r="M145" s="16">
        <f t="shared" si="41"/>
        <v>1.4324401071733253E-11</v>
      </c>
      <c r="N145" s="16">
        <f t="shared" si="42"/>
        <v>104716420078.46266</v>
      </c>
      <c r="O145" s="16">
        <f t="shared" si="44"/>
        <v>-99977480586.337631</v>
      </c>
      <c r="P145" s="18">
        <f t="shared" si="43"/>
        <v>-31145336884.637157</v>
      </c>
    </row>
    <row r="146" spans="1:16" x14ac:dyDescent="0.4">
      <c r="A146" s="14">
        <v>0.13300000000000001</v>
      </c>
      <c r="B146" s="44">
        <f t="shared" si="45"/>
        <v>0.83566364585488506</v>
      </c>
      <c r="C146" s="40">
        <f t="shared" si="31"/>
        <v>6.7613725787538322E-12</v>
      </c>
      <c r="D146" s="15">
        <f t="shared" si="32"/>
        <v>147898964056.83755</v>
      </c>
      <c r="E146" s="15">
        <f t="shared" si="33"/>
        <v>99193701977.643723</v>
      </c>
      <c r="F146" s="29">
        <f t="shared" si="34"/>
        <v>109702839785.74176</v>
      </c>
      <c r="G146" s="17">
        <f t="shared" si="35"/>
        <v>3.4696754575894828</v>
      </c>
      <c r="H146" s="16">
        <f t="shared" si="36"/>
        <v>1.4520822216528227E-11</v>
      </c>
      <c r="I146" s="16">
        <f t="shared" si="37"/>
        <v>68866623741.302811</v>
      </c>
      <c r="J146" s="16">
        <f t="shared" si="38"/>
        <v>-65193406018.909386</v>
      </c>
      <c r="K146" s="18">
        <f t="shared" si="39"/>
        <v>-22190801634.456596</v>
      </c>
      <c r="L146" s="17">
        <f t="shared" si="40"/>
        <v>3.1925372450165965</v>
      </c>
      <c r="M146" s="16">
        <f t="shared" si="41"/>
        <v>1.4327866076555989E-11</v>
      </c>
      <c r="N146" s="16">
        <f t="shared" si="42"/>
        <v>104691095797.88571</v>
      </c>
      <c r="O146" s="16">
        <f t="shared" si="44"/>
        <v>-99107067315.436005</v>
      </c>
      <c r="P146" s="18">
        <f t="shared" si="43"/>
        <v>-33734474169.545296</v>
      </c>
    </row>
    <row r="147" spans="1:16" x14ac:dyDescent="0.4">
      <c r="A147" s="14">
        <v>0.13400000000000001</v>
      </c>
      <c r="B147" s="44">
        <f t="shared" si="45"/>
        <v>0.84194683116206459</v>
      </c>
      <c r="C147" s="40">
        <f t="shared" si="31"/>
        <v>6.76085034555873E-12</v>
      </c>
      <c r="D147" s="15">
        <f t="shared" si="32"/>
        <v>147910388322.21896</v>
      </c>
      <c r="E147" s="15">
        <f t="shared" si="33"/>
        <v>98510073939.406387</v>
      </c>
      <c r="F147" s="29">
        <f t="shared" si="34"/>
        <v>110332444485.21158</v>
      </c>
      <c r="G147" s="17">
        <f t="shared" si="35"/>
        <v>3.4957632429848924</v>
      </c>
      <c r="H147" s="16">
        <f t="shared" si="36"/>
        <v>1.4553181568921776E-11</v>
      </c>
      <c r="I147" s="16">
        <f t="shared" si="37"/>
        <v>68713497132.166168</v>
      </c>
      <c r="J147" s="16">
        <f t="shared" si="38"/>
        <v>-64448756924.090973</v>
      </c>
      <c r="K147" s="18">
        <f t="shared" si="39"/>
        <v>-23830703285.292374</v>
      </c>
      <c r="L147" s="17">
        <f t="shared" si="40"/>
        <v>3.2165412844528114</v>
      </c>
      <c r="M147" s="16">
        <f t="shared" si="41"/>
        <v>1.4333464612970561E-11</v>
      </c>
      <c r="N147" s="16">
        <f t="shared" si="42"/>
        <v>104650204294.82402</v>
      </c>
      <c r="O147" s="16">
        <f t="shared" si="44"/>
        <v>-98155033001.461121</v>
      </c>
      <c r="P147" s="18">
        <f t="shared" si="43"/>
        <v>-36294004400.596024</v>
      </c>
    </row>
    <row r="148" spans="1:16" x14ac:dyDescent="0.4">
      <c r="A148" s="14">
        <v>0.13500000000000001</v>
      </c>
      <c r="B148" s="44">
        <f t="shared" si="45"/>
        <v>0.84823001646924423</v>
      </c>
      <c r="C148" s="40">
        <f t="shared" si="31"/>
        <v>6.7603251744226172E-12</v>
      </c>
      <c r="D148" s="15">
        <f t="shared" si="32"/>
        <v>147921878637.35529</v>
      </c>
      <c r="E148" s="15">
        <f t="shared" si="33"/>
        <v>97822493483.848267</v>
      </c>
      <c r="F148" s="29">
        <f t="shared" si="34"/>
        <v>110957838606.4136</v>
      </c>
      <c r="G148" s="17">
        <f t="shared" si="35"/>
        <v>3.521851028380302</v>
      </c>
      <c r="H148" s="16">
        <f t="shared" si="36"/>
        <v>1.458790758950678E-11</v>
      </c>
      <c r="I148" s="16">
        <f t="shared" si="37"/>
        <v>68549926976.457504</v>
      </c>
      <c r="J148" s="16">
        <f t="shared" si="38"/>
        <v>-63653321244.593391</v>
      </c>
      <c r="K148" s="18">
        <f t="shared" si="39"/>
        <v>-25443018354.948627</v>
      </c>
      <c r="L148" s="17">
        <f t="shared" si="40"/>
        <v>3.2405453238890263</v>
      </c>
      <c r="M148" s="16">
        <f t="shared" si="41"/>
        <v>1.4341193455289279E-11</v>
      </c>
      <c r="N148" s="16">
        <f t="shared" si="42"/>
        <v>104593805576.67426</v>
      </c>
      <c r="O148" s="16">
        <f t="shared" si="44"/>
        <v>-97122541193.269196</v>
      </c>
      <c r="P148" s="18">
        <f t="shared" si="43"/>
        <v>-38821078773.945251</v>
      </c>
    </row>
    <row r="149" spans="1:16" x14ac:dyDescent="0.4">
      <c r="A149" s="14">
        <v>0.13600000000000001</v>
      </c>
      <c r="B149" s="44">
        <f t="shared" si="45"/>
        <v>0.85451320177642376</v>
      </c>
      <c r="C149" s="40">
        <f t="shared" si="31"/>
        <v>6.7597970860783486E-12</v>
      </c>
      <c r="D149" s="15">
        <f t="shared" si="32"/>
        <v>147933434578.8985</v>
      </c>
      <c r="E149" s="15">
        <f t="shared" si="33"/>
        <v>97130985944.116608</v>
      </c>
      <c r="F149" s="29">
        <f t="shared" si="34"/>
        <v>111578997288.16827</v>
      </c>
      <c r="G149" s="17">
        <f t="shared" si="35"/>
        <v>3.5479388137757115</v>
      </c>
      <c r="H149" s="16">
        <f t="shared" si="36"/>
        <v>1.4624976646047304E-11</v>
      </c>
      <c r="I149" s="16">
        <f t="shared" si="37"/>
        <v>68376177562.667786</v>
      </c>
      <c r="J149" s="16">
        <f t="shared" si="38"/>
        <v>-62808384205.673622</v>
      </c>
      <c r="K149" s="18">
        <f t="shared" si="39"/>
        <v>-27026071330.364719</v>
      </c>
      <c r="L149" s="17">
        <f t="shared" si="40"/>
        <v>3.2645493633252411</v>
      </c>
      <c r="M149" s="16">
        <f t="shared" si="41"/>
        <v>1.4351048150414098E-11</v>
      </c>
      <c r="N149" s="16">
        <f t="shared" si="42"/>
        <v>104521982246.76138</v>
      </c>
      <c r="O149" s="16">
        <f t="shared" si="44"/>
        <v>-96010877660.957245</v>
      </c>
      <c r="P149" s="18">
        <f t="shared" si="43"/>
        <v>-41312905290.780548</v>
      </c>
    </row>
    <row r="150" spans="1:16" x14ac:dyDescent="0.4">
      <c r="A150" s="14">
        <v>0.13700000000000001</v>
      </c>
      <c r="B150" s="44">
        <f t="shared" si="45"/>
        <v>0.8607963870836034</v>
      </c>
      <c r="C150" s="40">
        <f t="shared" si="31"/>
        <v>6.7592661013739509E-12</v>
      </c>
      <c r="D150" s="15">
        <f t="shared" si="32"/>
        <v>147945055720.87637</v>
      </c>
      <c r="E150" s="15">
        <f t="shared" si="33"/>
        <v>96435576810.384918</v>
      </c>
      <c r="F150" s="29">
        <f t="shared" si="34"/>
        <v>112195895813.98048</v>
      </c>
      <c r="G150" s="17">
        <f t="shared" si="35"/>
        <v>3.5740265991711215</v>
      </c>
      <c r="H150" s="16">
        <f t="shared" si="36"/>
        <v>1.4664363511791892E-11</v>
      </c>
      <c r="I150" s="16">
        <f t="shared" si="37"/>
        <v>68192526678.425629</v>
      </c>
      <c r="J150" s="16">
        <f t="shared" si="38"/>
        <v>-61915296678.400772</v>
      </c>
      <c r="K150" s="18">
        <f t="shared" si="39"/>
        <v>-28578256280.14077</v>
      </c>
      <c r="L150" s="17">
        <f t="shared" si="40"/>
        <v>3.2885534027614565</v>
      </c>
      <c r="M150" s="16">
        <f t="shared" si="41"/>
        <v>1.436302302040235E-11</v>
      </c>
      <c r="N150" s="16">
        <f t="shared" si="42"/>
        <v>104434839230.52159</v>
      </c>
      <c r="O150" s="16">
        <f t="shared" si="44"/>
        <v>-94821447004.1707</v>
      </c>
      <c r="P150" s="18">
        <f t="shared" si="43"/>
        <v>-43766754884.731171</v>
      </c>
    </row>
    <row r="151" spans="1:16" x14ac:dyDescent="0.4">
      <c r="A151" s="14">
        <v>0.13800000000000001</v>
      </c>
      <c r="B151" s="44">
        <f t="shared" si="45"/>
        <v>0.86707957239078293</v>
      </c>
      <c r="C151" s="40">
        <f t="shared" si="31"/>
        <v>6.75873224127179E-12</v>
      </c>
      <c r="D151" s="15">
        <f t="shared" si="32"/>
        <v>147956741634.70486</v>
      </c>
      <c r="E151" s="15">
        <f t="shared" si="33"/>
        <v>95736291729.125793</v>
      </c>
      <c r="F151" s="29">
        <f t="shared" si="34"/>
        <v>112808509613.03641</v>
      </c>
      <c r="G151" s="17">
        <f t="shared" si="35"/>
        <v>3.6001143845665307</v>
      </c>
      <c r="H151" s="16">
        <f t="shared" si="36"/>
        <v>1.4706041382641243E-11</v>
      </c>
      <c r="I151" s="16">
        <f t="shared" si="37"/>
        <v>67999264654.618935</v>
      </c>
      <c r="J151" s="16">
        <f t="shared" si="38"/>
        <v>-60975470531.2547</v>
      </c>
      <c r="K151" s="18">
        <f t="shared" si="39"/>
        <v>-30098039588.335274</v>
      </c>
      <c r="L151" s="17">
        <f t="shared" si="40"/>
        <v>3.3125574421976713</v>
      </c>
      <c r="M151" s="16">
        <f t="shared" si="41"/>
        <v>1.437711116573818E-11</v>
      </c>
      <c r="N151" s="16">
        <f t="shared" si="42"/>
        <v>104332503429.10483</v>
      </c>
      <c r="O151" s="16">
        <f t="shared" si="44"/>
        <v>-93555768883.763702</v>
      </c>
      <c r="P151" s="18">
        <f t="shared" si="43"/>
        <v>-46179967305.661453</v>
      </c>
    </row>
    <row r="152" spans="1:16" x14ac:dyDescent="0.4">
      <c r="A152" s="14">
        <v>0.13900000000000001</v>
      </c>
      <c r="B152" s="44">
        <f t="shared" si="45"/>
        <v>0.87336275769796257</v>
      </c>
      <c r="C152" s="40">
        <f t="shared" si="31"/>
        <v>6.7581955268477485E-12</v>
      </c>
      <c r="D152" s="15">
        <f t="shared" si="32"/>
        <v>147968491889.20016</v>
      </c>
      <c r="E152" s="15">
        <f t="shared" si="33"/>
        <v>95033156502.376709</v>
      </c>
      <c r="F152" s="29">
        <f t="shared" si="34"/>
        <v>113416814261.19792</v>
      </c>
      <c r="G152" s="17">
        <f t="shared" si="35"/>
        <v>3.6262021699619407</v>
      </c>
      <c r="H152" s="16">
        <f t="shared" si="36"/>
        <v>1.4749981895389305E-11</v>
      </c>
      <c r="I152" s="16">
        <f t="shared" si="37"/>
        <v>67796693385.270515</v>
      </c>
      <c r="J152" s="16">
        <f t="shared" si="38"/>
        <v>-59990373863.817192</v>
      </c>
      <c r="K152" s="18">
        <f t="shared" si="39"/>
        <v>-31583962348.885586</v>
      </c>
      <c r="L152" s="17">
        <f t="shared" si="40"/>
        <v>3.3365614816338867</v>
      </c>
      <c r="M152" s="16">
        <f t="shared" si="41"/>
        <v>1.439330446930782E-11</v>
      </c>
      <c r="N152" s="16">
        <f t="shared" si="42"/>
        <v>104215123302.54594</v>
      </c>
      <c r="O152" s="16">
        <f t="shared" si="44"/>
        <v>-92215473897.16539</v>
      </c>
      <c r="P152" s="18">
        <f t="shared" si="43"/>
        <v>-48549956734.131752</v>
      </c>
    </row>
    <row r="153" spans="1:16" x14ac:dyDescent="0.4">
      <c r="A153" s="14">
        <v>0.14000000000000001</v>
      </c>
      <c r="B153" s="44">
        <f t="shared" si="45"/>
        <v>0.87964594300514221</v>
      </c>
      <c r="C153" s="40">
        <f t="shared" si="31"/>
        <v>6.757655979290393E-12</v>
      </c>
      <c r="D153" s="15">
        <f t="shared" si="32"/>
        <v>147980306050.59122</v>
      </c>
      <c r="E153" s="15">
        <f t="shared" si="33"/>
        <v>94326197087.000015</v>
      </c>
      <c r="F153" s="29">
        <f t="shared" si="34"/>
        <v>114020785481.99478</v>
      </c>
      <c r="G153" s="17">
        <f t="shared" si="35"/>
        <v>3.6522899553573507</v>
      </c>
      <c r="H153" s="16">
        <f t="shared" si="36"/>
        <v>1.4796155147025393E-11</v>
      </c>
      <c r="I153" s="16">
        <f t="shared" si="37"/>
        <v>67585125329.064911</v>
      </c>
      <c r="J153" s="16">
        <f t="shared" si="38"/>
        <v>-58961526151.233032</v>
      </c>
      <c r="K153" s="18">
        <f t="shared" si="39"/>
        <v>-33034642417.663219</v>
      </c>
      <c r="L153" s="17">
        <f t="shared" si="40"/>
        <v>3.360565521070102</v>
      </c>
      <c r="M153" s="16">
        <f t="shared" si="41"/>
        <v>1.4411593601076386E-11</v>
      </c>
      <c r="N153" s="16">
        <f t="shared" si="42"/>
        <v>104082868385.07344</v>
      </c>
      <c r="O153" s="16">
        <f t="shared" si="44"/>
        <v>-90802299119.843353</v>
      </c>
      <c r="P153" s="18">
        <f t="shared" si="43"/>
        <v>-50874217102.723198</v>
      </c>
    </row>
    <row r="154" spans="1:16" x14ac:dyDescent="0.4">
      <c r="A154" s="14">
        <v>0.14099999999999999</v>
      </c>
      <c r="B154" s="44">
        <f t="shared" si="45"/>
        <v>0.88592912831232162</v>
      </c>
      <c r="C154" s="40">
        <f t="shared" si="31"/>
        <v>6.7571136199001372E-12</v>
      </c>
      <c r="D154" s="15">
        <f t="shared" si="32"/>
        <v>147992183682.53201</v>
      </c>
      <c r="E154" s="15">
        <f t="shared" si="33"/>
        <v>93615439593.936142</v>
      </c>
      <c r="F154" s="29">
        <f t="shared" si="34"/>
        <v>114620399147.61417</v>
      </c>
      <c r="G154" s="17">
        <f t="shared" si="35"/>
        <v>3.6783777407527594</v>
      </c>
      <c r="H154" s="16">
        <f t="shared" si="36"/>
        <v>1.4844529715084212E-11</v>
      </c>
      <c r="I154" s="16">
        <f t="shared" si="37"/>
        <v>67364882498.355865</v>
      </c>
      <c r="J154" s="16">
        <f t="shared" si="38"/>
        <v>-57890493327.790924</v>
      </c>
      <c r="K154" s="18">
        <f t="shared" si="39"/>
        <v>-34448776121.689529</v>
      </c>
      <c r="L154" s="17">
        <f t="shared" si="40"/>
        <v>3.384569560506316</v>
      </c>
      <c r="M154" s="16">
        <f t="shared" si="41"/>
        <v>1.4431968023463536E-11</v>
      </c>
      <c r="N154" s="16">
        <f t="shared" si="42"/>
        <v>103935928735.51933</v>
      </c>
      <c r="O154" s="16">
        <f t="shared" si="44"/>
        <v>-89318083337.088669</v>
      </c>
      <c r="P154" s="18">
        <f t="shared" si="43"/>
        <v>-53150327102.510269</v>
      </c>
    </row>
    <row r="155" spans="1:16" x14ac:dyDescent="0.4">
      <c r="A155" s="14">
        <v>0.14199999999999999</v>
      </c>
      <c r="B155" s="44">
        <f t="shared" si="45"/>
        <v>0.89221231361950115</v>
      </c>
      <c r="C155" s="40">
        <f t="shared" si="31"/>
        <v>6.7565684700884019E-12</v>
      </c>
      <c r="D155" s="15">
        <f t="shared" si="32"/>
        <v>148004124346.11444</v>
      </c>
      <c r="E155" s="15">
        <f t="shared" si="33"/>
        <v>92900910287.450699</v>
      </c>
      <c r="F155" s="29">
        <f t="shared" si="34"/>
        <v>115215631279.88817</v>
      </c>
      <c r="G155" s="17">
        <f t="shared" si="35"/>
        <v>3.7044655261481689</v>
      </c>
      <c r="H155" s="16">
        <f t="shared" si="36"/>
        <v>1.4895072679029912E-11</v>
      </c>
      <c r="I155" s="16">
        <f t="shared" si="37"/>
        <v>67136295441.367935</v>
      </c>
      <c r="J155" s="16">
        <f t="shared" si="38"/>
        <v>-56778882837.40667</v>
      </c>
      <c r="K155" s="18">
        <f t="shared" si="39"/>
        <v>-35825139627.455566</v>
      </c>
      <c r="L155" s="17">
        <f t="shared" si="40"/>
        <v>3.4085735999425308</v>
      </c>
      <c r="M155" s="16">
        <f t="shared" si="41"/>
        <v>1.4454415997414867E-11</v>
      </c>
      <c r="N155" s="16">
        <f t="shared" si="42"/>
        <v>103774514326.15962</v>
      </c>
      <c r="O155" s="16">
        <f t="shared" si="44"/>
        <v>-87764761991.96344</v>
      </c>
      <c r="P155" s="18">
        <f t="shared" si="43"/>
        <v>-55375954855.19249</v>
      </c>
    </row>
    <row r="156" spans="1:16" x14ac:dyDescent="0.4">
      <c r="A156" s="14">
        <v>0.14299999999999999</v>
      </c>
      <c r="B156" s="44">
        <f t="shared" si="45"/>
        <v>0.89849549892668079</v>
      </c>
      <c r="C156" s="40">
        <f t="shared" si="31"/>
        <v>6.7560205513767674E-12</v>
      </c>
      <c r="D156" s="15">
        <f t="shared" si="32"/>
        <v>148016127599.88071</v>
      </c>
      <c r="E156" s="15">
        <f t="shared" si="33"/>
        <v>92182635584.374969</v>
      </c>
      <c r="F156" s="29">
        <f t="shared" si="34"/>
        <v>115806458051.27837</v>
      </c>
      <c r="G156" s="17">
        <f t="shared" si="35"/>
        <v>3.7305533115435789</v>
      </c>
      <c r="H156" s="16">
        <f t="shared" si="36"/>
        <v>1.4947749642659618E-11</v>
      </c>
      <c r="I156" s="16">
        <f t="shared" si="37"/>
        <v>66899702223.141624</v>
      </c>
      <c r="J156" s="16">
        <f t="shared" si="38"/>
        <v>-55628338677.996811</v>
      </c>
      <c r="K156" s="18">
        <f t="shared" si="39"/>
        <v>-37162589972.593468</v>
      </c>
      <c r="L156" s="17">
        <f t="shared" si="40"/>
        <v>3.4325776393787462</v>
      </c>
      <c r="M156" s="16">
        <f t="shared" si="41"/>
        <v>1.4478924589165563E-11</v>
      </c>
      <c r="N156" s="16">
        <f t="shared" si="42"/>
        <v>103598854373.64839</v>
      </c>
      <c r="O156" s="16">
        <f t="shared" si="44"/>
        <v>-86144361876.640213</v>
      </c>
      <c r="P156" s="18">
        <f t="shared" si="43"/>
        <v>-57548862233.747612</v>
      </c>
    </row>
    <row r="157" spans="1:16" x14ac:dyDescent="0.4">
      <c r="A157" s="14">
        <v>0.14399999999999999</v>
      </c>
      <c r="B157" s="44">
        <f t="shared" si="45"/>
        <v>0.90477868423386032</v>
      </c>
      <c r="C157" s="40">
        <f t="shared" si="31"/>
        <v>6.7554698853961263E-12</v>
      </c>
      <c r="D157" s="15">
        <f t="shared" si="32"/>
        <v>148028192999.83633</v>
      </c>
      <c r="E157" s="15">
        <f t="shared" si="33"/>
        <v>91460642053.340225</v>
      </c>
      <c r="F157" s="29">
        <f t="shared" si="34"/>
        <v>116392855785.85812</v>
      </c>
      <c r="G157" s="17">
        <f t="shared" si="35"/>
        <v>3.7566410969389881</v>
      </c>
      <c r="H157" s="16">
        <f t="shared" si="36"/>
        <v>1.5002524757511222E-11</v>
      </c>
      <c r="I157" s="16">
        <f t="shared" si="37"/>
        <v>66655447410.565758</v>
      </c>
      <c r="J157" s="16">
        <f t="shared" si="38"/>
        <v>-54440536465.728409</v>
      </c>
      <c r="K157" s="18">
        <f t="shared" si="39"/>
        <v>-38460065767.317558</v>
      </c>
      <c r="L157" s="17">
        <f t="shared" si="40"/>
        <v>3.456581678814961</v>
      </c>
      <c r="M157" s="16">
        <f t="shared" si="41"/>
        <v>1.4505479677692386E-11</v>
      </c>
      <c r="N157" s="16">
        <f t="shared" si="42"/>
        <v>103409196616.00798</v>
      </c>
      <c r="O157" s="16">
        <f t="shared" si="44"/>
        <v>-84458995595.506088</v>
      </c>
      <c r="P157" s="18">
        <f t="shared" si="43"/>
        <v>-59666908816.918594</v>
      </c>
    </row>
    <row r="158" spans="1:16" x14ac:dyDescent="0.4">
      <c r="A158" s="14">
        <v>0.14499999999999999</v>
      </c>
      <c r="B158" s="44">
        <f t="shared" si="45"/>
        <v>0.91106186954103996</v>
      </c>
      <c r="C158" s="40">
        <f t="shared" si="31"/>
        <v>6.7549164938858279E-12</v>
      </c>
      <c r="D158" s="15">
        <f t="shared" si="32"/>
        <v>148040320099.46295</v>
      </c>
      <c r="E158" s="15">
        <f t="shared" si="33"/>
        <v>90734956414.005371</v>
      </c>
      <c r="F158" s="29">
        <f t="shared" si="34"/>
        <v>116974800960.2923</v>
      </c>
      <c r="G158" s="17">
        <f t="shared" si="35"/>
        <v>3.7827288823343981</v>
      </c>
      <c r="H158" s="16">
        <f t="shared" si="36"/>
        <v>1.5059360747259488E-11</v>
      </c>
      <c r="I158" s="16">
        <f t="shared" si="37"/>
        <v>66403881066.597107</v>
      </c>
      <c r="J158" s="16">
        <f t="shared" si="38"/>
        <v>-53217178543.94574</v>
      </c>
      <c r="K158" s="18">
        <f t="shared" si="39"/>
        <v>-39716587574.06752</v>
      </c>
      <c r="L158" s="17">
        <f t="shared" si="40"/>
        <v>3.4805857182511764</v>
      </c>
      <c r="M158" s="16">
        <f t="shared" si="41"/>
        <v>1.4534065962849744E-11</v>
      </c>
      <c r="N158" s="16">
        <f t="shared" si="42"/>
        <v>103205806539.8989</v>
      </c>
      <c r="O158" s="16">
        <f t="shared" si="44"/>
        <v>-82710855829.306396</v>
      </c>
      <c r="P158" s="18">
        <f t="shared" si="43"/>
        <v>-61728055465.361359</v>
      </c>
    </row>
    <row r="159" spans="1:16" x14ac:dyDescent="0.4">
      <c r="A159" s="14">
        <v>0.14599999999999999</v>
      </c>
      <c r="B159" s="44">
        <f t="shared" si="45"/>
        <v>0.91734505484821949</v>
      </c>
      <c r="C159" s="40">
        <f t="shared" si="31"/>
        <v>6.7543603986928221E-12</v>
      </c>
      <c r="D159" s="15">
        <f t="shared" si="32"/>
        <v>148052508449.73138</v>
      </c>
      <c r="E159" s="15">
        <f t="shared" si="33"/>
        <v>90005605536.27829</v>
      </c>
      <c r="F159" s="29">
        <f t="shared" si="34"/>
        <v>117552270204.81422</v>
      </c>
      <c r="G159" s="17">
        <f t="shared" si="35"/>
        <v>3.8088166677298076</v>
      </c>
      <c r="H159" s="16">
        <f t="shared" si="36"/>
        <v>1.5118218933083836E-11</v>
      </c>
      <c r="I159" s="16">
        <f t="shared" si="37"/>
        <v>66145357758.489517</v>
      </c>
      <c r="J159" s="16">
        <f t="shared" si="38"/>
        <v>-51959989160.224739</v>
      </c>
      <c r="K159" s="18">
        <f t="shared" si="39"/>
        <v>-40931257975.633942</v>
      </c>
      <c r="L159" s="17">
        <f t="shared" si="40"/>
        <v>3.5045897576873912</v>
      </c>
      <c r="M159" s="16">
        <f t="shared" si="41"/>
        <v>1.456466697418511E-11</v>
      </c>
      <c r="N159" s="16">
        <f t="shared" si="42"/>
        <v>102988966562.61684</v>
      </c>
      <c r="O159" s="16">
        <f t="shared" si="44"/>
        <v>-80902209430.252853</v>
      </c>
      <c r="P159" s="18">
        <f t="shared" si="43"/>
        <v>-63730367509.84037</v>
      </c>
    </row>
    <row r="160" spans="1:16" x14ac:dyDescent="0.4">
      <c r="A160" s="14">
        <v>0.14699999999999999</v>
      </c>
      <c r="B160" s="44">
        <f t="shared" si="45"/>
        <v>0.92362824015539913</v>
      </c>
      <c r="C160" s="40">
        <f t="shared" si="31"/>
        <v>6.753801621770795E-12</v>
      </c>
      <c r="D160" s="15">
        <f t="shared" si="32"/>
        <v>148064757599.11462</v>
      </c>
      <c r="E160" s="15">
        <f t="shared" si="33"/>
        <v>89272616439.530731</v>
      </c>
      <c r="F160" s="29">
        <f t="shared" si="34"/>
        <v>118125240304.20003</v>
      </c>
      <c r="G160" s="17">
        <f t="shared" si="35"/>
        <v>3.8349044531252172</v>
      </c>
      <c r="H160" s="16">
        <f t="shared" si="36"/>
        <v>1.5179059259990614E-11</v>
      </c>
      <c r="I160" s="16">
        <f t="shared" si="37"/>
        <v>65880235584.548233</v>
      </c>
      <c r="J160" s="16">
        <f t="shared" si="38"/>
        <v>-50670709733.515228</v>
      </c>
      <c r="K160" s="18">
        <f t="shared" si="39"/>
        <v>-42103261343.718025</v>
      </c>
      <c r="L160" s="17">
        <f t="shared" si="40"/>
        <v>3.5285937971236061</v>
      </c>
      <c r="M160" s="16">
        <f t="shared" si="41"/>
        <v>1.459726508042875E-11</v>
      </c>
      <c r="N160" s="16">
        <f t="shared" si="42"/>
        <v>102758975173.44681</v>
      </c>
      <c r="O160" s="16">
        <f t="shared" si="44"/>
        <v>-79035391378.419067</v>
      </c>
      <c r="P160" s="18">
        <f t="shared" si="43"/>
        <v>-65672017544.43956</v>
      </c>
    </row>
    <row r="161" spans="1:16" x14ac:dyDescent="0.4">
      <c r="A161" s="14">
        <v>0.14799999999999999</v>
      </c>
      <c r="B161" s="44">
        <f t="shared" si="45"/>
        <v>0.92991142546257877</v>
      </c>
      <c r="C161" s="40">
        <f t="shared" si="31"/>
        <v>6.7532401851793045E-12</v>
      </c>
      <c r="D161" s="15">
        <f t="shared" si="32"/>
        <v>148077067093.60126</v>
      </c>
      <c r="E161" s="15">
        <f t="shared" si="33"/>
        <v>88536016291.806747</v>
      </c>
      <c r="F161" s="29">
        <f t="shared" si="34"/>
        <v>118693688198.74045</v>
      </c>
      <c r="G161" s="17">
        <f t="shared" si="35"/>
        <v>3.8609922385206272</v>
      </c>
      <c r="H161" s="16">
        <f t="shared" si="36"/>
        <v>1.524184032407186E-11</v>
      </c>
      <c r="I161" s="16">
        <f t="shared" si="37"/>
        <v>65608875223.595688</v>
      </c>
      <c r="J161" s="16">
        <f t="shared" si="38"/>
        <v>-49351094231.727455</v>
      </c>
      <c r="K161" s="18">
        <f t="shared" si="39"/>
        <v>-43231863321.35714</v>
      </c>
      <c r="L161" s="17">
        <f t="shared" si="40"/>
        <v>3.5525978365598214</v>
      </c>
      <c r="M161" s="16">
        <f t="shared" si="41"/>
        <v>1.463184149965225E-11</v>
      </c>
      <c r="N161" s="16">
        <f t="shared" si="42"/>
        <v>102516146039.14688</v>
      </c>
      <c r="O161" s="16">
        <f t="shared" si="44"/>
        <v>-77112798629.90155</v>
      </c>
      <c r="P161" s="18">
        <f t="shared" si="43"/>
        <v>-67551287820.321709</v>
      </c>
    </row>
    <row r="162" spans="1:16" x14ac:dyDescent="0.4">
      <c r="A162" s="14">
        <v>0.14899999999999999</v>
      </c>
      <c r="B162" s="44">
        <f t="shared" si="45"/>
        <v>0.9361946107697583</v>
      </c>
      <c r="C162" s="40">
        <f t="shared" si="31"/>
        <v>6.7526761110829031E-12</v>
      </c>
      <c r="D162" s="15">
        <f t="shared" si="32"/>
        <v>148089436476.70871</v>
      </c>
      <c r="E162" s="15">
        <f t="shared" si="33"/>
        <v>87795832409.024719</v>
      </c>
      <c r="F162" s="29">
        <f t="shared" si="34"/>
        <v>119257590985.20978</v>
      </c>
      <c r="G162" s="17">
        <f t="shared" si="35"/>
        <v>3.8870800239160364</v>
      </c>
      <c r="H162" s="16">
        <f t="shared" si="36"/>
        <v>1.5306519400682085E-11</v>
      </c>
      <c r="I162" s="16">
        <f t="shared" si="37"/>
        <v>65331639010.98497</v>
      </c>
      <c r="J162" s="16">
        <f t="shared" si="38"/>
        <v>-48002904678.419731</v>
      </c>
      <c r="K162" s="18">
        <f t="shared" si="39"/>
        <v>-44316410033.938927</v>
      </c>
      <c r="L162" s="17">
        <f t="shared" si="40"/>
        <v>3.5766018759960359</v>
      </c>
      <c r="M162" s="16">
        <f t="shared" si="41"/>
        <v>1.4668376310090045E-11</v>
      </c>
      <c r="N162" s="16">
        <f t="shared" si="42"/>
        <v>102260807078.43471</v>
      </c>
      <c r="O162" s="16">
        <f t="shared" si="44"/>
        <v>-75136883887.131531</v>
      </c>
      <c r="P162" s="18">
        <f t="shared" si="43"/>
        <v>-69366572238.107285</v>
      </c>
    </row>
    <row r="163" spans="1:16" x14ac:dyDescent="0.4">
      <c r="A163" s="14">
        <v>0.15</v>
      </c>
      <c r="B163" s="44">
        <f t="shared" si="45"/>
        <v>0.94247779607693793</v>
      </c>
      <c r="C163" s="40">
        <f t="shared" si="31"/>
        <v>6.7521094217502712E-12</v>
      </c>
      <c r="D163" s="15">
        <f t="shared" si="32"/>
        <v>148101865289.49667</v>
      </c>
      <c r="E163" s="15">
        <f t="shared" si="33"/>
        <v>87052092254.172668</v>
      </c>
      <c r="F163" s="29">
        <f t="shared" si="34"/>
        <v>119816925917.83195</v>
      </c>
      <c r="G163" s="17">
        <f t="shared" si="35"/>
        <v>3.9131678093114464</v>
      </c>
      <c r="H163" s="16">
        <f t="shared" si="36"/>
        <v>1.5373052473513837E-11</v>
      </c>
      <c r="I163" s="16">
        <f t="shared" si="37"/>
        <v>65048890044.634628</v>
      </c>
      <c r="J163" s="16">
        <f t="shared" si="38"/>
        <v>-46627906805.478241</v>
      </c>
      <c r="K163" s="18">
        <f t="shared" si="39"/>
        <v>-45356327044.620827</v>
      </c>
      <c r="L163" s="17">
        <f t="shared" si="40"/>
        <v>3.6006059154322512</v>
      </c>
      <c r="M163" s="16">
        <f t="shared" si="41"/>
        <v>1.4706848461617663E-11</v>
      </c>
      <c r="N163" s="16">
        <f t="shared" si="42"/>
        <v>101993299510.41116</v>
      </c>
      <c r="O163" s="16">
        <f t="shared" si="44"/>
        <v>-73110149321.401749</v>
      </c>
      <c r="P163" s="18">
        <f t="shared" si="43"/>
        <v>-71116377939.422501</v>
      </c>
    </row>
    <row r="164" spans="1:16" x14ac:dyDescent="0.4">
      <c r="A164" s="14">
        <v>0.151</v>
      </c>
      <c r="B164" s="44">
        <f t="shared" si="45"/>
        <v>0.94876098138411746</v>
      </c>
      <c r="C164" s="40">
        <f t="shared" si="31"/>
        <v>6.7515401395533339E-12</v>
      </c>
      <c r="D164" s="15">
        <f t="shared" si="32"/>
        <v>148114353070.58066</v>
      </c>
      <c r="E164" s="15">
        <f t="shared" si="33"/>
        <v>86304823436.497482</v>
      </c>
      <c r="F164" s="29">
        <f t="shared" si="34"/>
        <v>120371670409.2438</v>
      </c>
      <c r="G164" s="17">
        <f t="shared" si="35"/>
        <v>3.9392555947068559</v>
      </c>
      <c r="H164" s="16">
        <f t="shared" si="36"/>
        <v>1.544139426455229E-11</v>
      </c>
      <c r="I164" s="16">
        <f t="shared" si="37"/>
        <v>64760991324.185593</v>
      </c>
      <c r="J164" s="16">
        <f t="shared" si="38"/>
        <v>-45227865866.868713</v>
      </c>
      <c r="K164" s="18">
        <f t="shared" si="39"/>
        <v>-46351118070.870461</v>
      </c>
      <c r="L164" s="17">
        <f t="shared" si="40"/>
        <v>3.624609954868466</v>
      </c>
      <c r="M164" s="16">
        <f t="shared" si="41"/>
        <v>1.474723578788009E-11</v>
      </c>
      <c r="N164" s="16">
        <f t="shared" si="42"/>
        <v>101713976881.87534</v>
      </c>
      <c r="O164" s="16">
        <f t="shared" si="44"/>
        <v>-71035140277.125687</v>
      </c>
      <c r="P164" s="18">
        <f t="shared" si="43"/>
        <v>-72799326500.564194</v>
      </c>
    </row>
    <row r="165" spans="1:16" x14ac:dyDescent="0.4">
      <c r="A165" s="14">
        <v>0.152</v>
      </c>
      <c r="B165" s="44">
        <f t="shared" si="45"/>
        <v>0.9550441666912971</v>
      </c>
      <c r="C165" s="40">
        <f t="shared" si="31"/>
        <v>6.7509682869663753E-12</v>
      </c>
      <c r="D165" s="15">
        <f t="shared" si="32"/>
        <v>148126899356.14575</v>
      </c>
      <c r="E165" s="15">
        <f t="shared" si="33"/>
        <v>85554053710.687256</v>
      </c>
      <c r="F165" s="29">
        <f t="shared" si="34"/>
        <v>120921802031.45573</v>
      </c>
      <c r="G165" s="17">
        <f t="shared" si="35"/>
        <v>3.9653433801022655</v>
      </c>
      <c r="H165" s="16">
        <f t="shared" si="36"/>
        <v>1.5511498264888479E-11</v>
      </c>
      <c r="I165" s="16">
        <f t="shared" si="37"/>
        <v>64468304926.003197</v>
      </c>
      <c r="J165" s="16">
        <f t="shared" si="38"/>
        <v>-43804542626.701546</v>
      </c>
      <c r="K165" s="18">
        <f t="shared" si="39"/>
        <v>-47300363479.55072</v>
      </c>
      <c r="L165" s="17">
        <f t="shared" si="40"/>
        <v>3.6486139943046814</v>
      </c>
      <c r="M165" s="16">
        <f t="shared" si="41"/>
        <v>1.4789515019063288E-11</v>
      </c>
      <c r="N165" s="16">
        <f t="shared" si="42"/>
        <v>101423204078.46642</v>
      </c>
      <c r="O165" s="16">
        <f t="shared" si="44"/>
        <v>-68914438986.588531</v>
      </c>
      <c r="P165" s="18">
        <f t="shared" si="43"/>
        <v>-74414154733.531799</v>
      </c>
    </row>
    <row r="166" spans="1:16" x14ac:dyDescent="0.4">
      <c r="A166" s="14">
        <v>0.153</v>
      </c>
      <c r="B166" s="44">
        <f t="shared" si="45"/>
        <v>0.96132735199847663</v>
      </c>
      <c r="C166" s="40">
        <f t="shared" si="31"/>
        <v>6.7503938865651616E-12</v>
      </c>
      <c r="D166" s="15">
        <f t="shared" si="32"/>
        <v>148139503679.96011</v>
      </c>
      <c r="E166" s="15">
        <f t="shared" si="33"/>
        <v>84799810976.047302</v>
      </c>
      <c r="F166" s="29">
        <f t="shared" si="34"/>
        <v>121467298516.8089</v>
      </c>
      <c r="G166" s="17">
        <f t="shared" si="35"/>
        <v>3.9914311654976751</v>
      </c>
      <c r="H166" s="16">
        <f t="shared" si="36"/>
        <v>1.5583316766370179E-11</v>
      </c>
      <c r="I166" s="16">
        <f t="shared" si="37"/>
        <v>64171191216.369659</v>
      </c>
      <c r="J166" s="16">
        <f t="shared" si="38"/>
        <v>-42359689533.015335</v>
      </c>
      <c r="K166" s="18">
        <f t="shared" si="39"/>
        <v>-48203718578.491737</v>
      </c>
      <c r="L166" s="17">
        <f t="shared" si="40"/>
        <v>3.6726180337408962</v>
      </c>
      <c r="M166" s="16">
        <f t="shared" si="41"/>
        <v>1.4833661795301446E-11</v>
      </c>
      <c r="N166" s="16">
        <f t="shared" si="42"/>
        <v>101121356324.51349</v>
      </c>
      <c r="O166" s="16">
        <f t="shared" si="44"/>
        <v>-66750658323.000282</v>
      </c>
      <c r="P166" s="18">
        <f t="shared" si="43"/>
        <v>-75959715101.857101</v>
      </c>
    </row>
    <row r="167" spans="1:16" x14ac:dyDescent="0.4">
      <c r="A167" s="14">
        <v>0.154</v>
      </c>
      <c r="B167" s="44">
        <f t="shared" si="45"/>
        <v>0.96761053730565627</v>
      </c>
      <c r="C167" s="40">
        <f t="shared" si="31"/>
        <v>6.7498169610260303E-12</v>
      </c>
      <c r="D167" s="15">
        <f t="shared" si="32"/>
        <v>148152165573.38931</v>
      </c>
      <c r="E167" s="15">
        <f t="shared" si="33"/>
        <v>84042123275.669785</v>
      </c>
      <c r="F167" s="29">
        <f t="shared" si="34"/>
        <v>122008137758.93018</v>
      </c>
      <c r="G167" s="17">
        <f t="shared" si="35"/>
        <v>4.0175189508930851</v>
      </c>
      <c r="H167" s="16">
        <f t="shared" si="36"/>
        <v>1.5656800894068933E-11</v>
      </c>
      <c r="I167" s="16">
        <f t="shared" si="37"/>
        <v>63870008104.836876</v>
      </c>
      <c r="J167" s="16">
        <f t="shared" si="38"/>
        <v>-40895047086.859261</v>
      </c>
      <c r="K167" s="18">
        <f t="shared" si="39"/>
        <v>-49060911722.831772</v>
      </c>
      <c r="L167" s="17">
        <f t="shared" si="40"/>
        <v>3.6966220731771116</v>
      </c>
      <c r="M167" s="16">
        <f t="shared" si="41"/>
        <v>1.4879650680712368E-11</v>
      </c>
      <c r="N167" s="16">
        <f t="shared" si="42"/>
        <v>100808818176.38121</v>
      </c>
      <c r="O167" s="16">
        <f t="shared" si="44"/>
        <v>-64546435618.528435</v>
      </c>
      <c r="P167" s="18">
        <f t="shared" si="43"/>
        <v>-77434975760.710678</v>
      </c>
    </row>
    <row r="168" spans="1:16" x14ac:dyDescent="0.4">
      <c r="A168" s="14">
        <v>0.155</v>
      </c>
      <c r="B168" s="44">
        <f t="shared" si="45"/>
        <v>0.97389372261283591</v>
      </c>
      <c r="C168" s="40">
        <f t="shared" si="31"/>
        <v>6.7492375331250197E-12</v>
      </c>
      <c r="D168" s="15">
        <f t="shared" si="32"/>
        <v>148164884565.40985</v>
      </c>
      <c r="E168" s="15">
        <f t="shared" si="33"/>
        <v>83281018795.596573</v>
      </c>
      <c r="F168" s="29">
        <f t="shared" si="34"/>
        <v>122544297813.68335</v>
      </c>
      <c r="G168" s="17">
        <f t="shared" si="35"/>
        <v>4.0436067362884947</v>
      </c>
      <c r="H168" s="16">
        <f t="shared" si="36"/>
        <v>1.5731900639541096E-11</v>
      </c>
      <c r="I168" s="16">
        <f t="shared" si="37"/>
        <v>63565110339.342331</v>
      </c>
      <c r="J168" s="16">
        <f t="shared" si="38"/>
        <v>-39412340414.467255</v>
      </c>
      <c r="K168" s="18">
        <f t="shared" si="39"/>
        <v>-49871742254.576553</v>
      </c>
      <c r="L168" s="17">
        <f t="shared" si="40"/>
        <v>3.7206261126133264</v>
      </c>
      <c r="M168" s="16">
        <f t="shared" si="41"/>
        <v>1.4927455178052709E-11</v>
      </c>
      <c r="N168" s="16">
        <f t="shared" si="42"/>
        <v>100485982513.97835</v>
      </c>
      <c r="O168" s="16">
        <f t="shared" si="44"/>
        <v>-62304426572.69986</v>
      </c>
      <c r="P168" s="18">
        <f t="shared" si="43"/>
        <v>-78839020232.665329</v>
      </c>
    </row>
    <row r="169" spans="1:16" x14ac:dyDescent="0.4">
      <c r="A169" s="14">
        <v>0.156</v>
      </c>
      <c r="B169" s="44">
        <f t="shared" si="45"/>
        <v>0.98017690792001544</v>
      </c>
      <c r="C169" s="40">
        <f t="shared" si="31"/>
        <v>6.748655625736948E-12</v>
      </c>
      <c r="D169" s="15">
        <f t="shared" si="32"/>
        <v>148177660182.62354</v>
      </c>
      <c r="E169" s="15">
        <f t="shared" si="33"/>
        <v>82516525863.975723</v>
      </c>
      <c r="F169" s="29">
        <f t="shared" si="34"/>
        <v>123075756900.11775</v>
      </c>
      <c r="G169" s="17">
        <f t="shared" si="35"/>
        <v>4.0696945216839042</v>
      </c>
      <c r="H169" s="16">
        <f t="shared" si="36"/>
        <v>1.5808564894860275E-11</v>
      </c>
      <c r="I169" s="16">
        <f t="shared" si="37"/>
        <v>63256848844.332657</v>
      </c>
      <c r="J169" s="16">
        <f t="shared" si="38"/>
        <v>-37913276048.577133</v>
      </c>
      <c r="K169" s="18">
        <f t="shared" si="39"/>
        <v>-50636078293.83252</v>
      </c>
      <c r="L169" s="17">
        <f t="shared" si="40"/>
        <v>3.7446301520495413</v>
      </c>
      <c r="M169" s="16">
        <f t="shared" si="41"/>
        <v>1.4977047743984833E-11</v>
      </c>
      <c r="N169" s="16">
        <f t="shared" si="42"/>
        <v>100153249534.93846</v>
      </c>
      <c r="O169" s="16">
        <f t="shared" si="44"/>
        <v>-60027299275.125786</v>
      </c>
      <c r="P169" s="18">
        <f t="shared" si="43"/>
        <v>-80171046732.234528</v>
      </c>
    </row>
    <row r="170" spans="1:16" x14ac:dyDescent="0.4">
      <c r="A170" s="14">
        <v>0.157</v>
      </c>
      <c r="B170" s="44">
        <f t="shared" si="45"/>
        <v>0.98646009322719508</v>
      </c>
      <c r="C170" s="40">
        <f t="shared" si="31"/>
        <v>6.748071261834523E-12</v>
      </c>
      <c r="D170" s="15">
        <f t="shared" si="32"/>
        <v>148190491949.27161</v>
      </c>
      <c r="E170" s="15">
        <f t="shared" si="33"/>
        <v>81748672950.211319</v>
      </c>
      <c r="F170" s="29">
        <f t="shared" si="34"/>
        <v>123602493401.41371</v>
      </c>
      <c r="G170" s="17">
        <f t="shared" si="35"/>
        <v>4.0957823070793138</v>
      </c>
      <c r="H170" s="16">
        <f t="shared" si="36"/>
        <v>1.5886741487398016E-11</v>
      </c>
      <c r="I170" s="16">
        <f t="shared" si="37"/>
        <v>62945570102.79541</v>
      </c>
      <c r="J170" s="16">
        <f t="shared" si="38"/>
        <v>-36399538923.273926</v>
      </c>
      <c r="K170" s="18">
        <f t="shared" si="39"/>
        <v>-51353854400.025299</v>
      </c>
      <c r="L170" s="17">
        <f t="shared" si="40"/>
        <v>3.7686341914857562</v>
      </c>
      <c r="M170" s="16">
        <f t="shared" si="41"/>
        <v>1.5028399804946339E-11</v>
      </c>
      <c r="N170" s="16">
        <f t="shared" si="42"/>
        <v>99811025755.80275</v>
      </c>
      <c r="O170" s="16">
        <f t="shared" si="44"/>
        <v>-57717728364.952782</v>
      </c>
      <c r="P170" s="18">
        <f t="shared" si="43"/>
        <v>-81430367153.875992</v>
      </c>
    </row>
    <row r="171" spans="1:16" x14ac:dyDescent="0.4">
      <c r="A171" s="14">
        <v>0.158</v>
      </c>
      <c r="B171" s="44">
        <f t="shared" si="45"/>
        <v>0.99274327853437461</v>
      </c>
      <c r="C171" s="40">
        <f t="shared" si="31"/>
        <v>6.7474844644874307E-12</v>
      </c>
      <c r="D171" s="15">
        <f t="shared" si="32"/>
        <v>148203379387.24908</v>
      </c>
      <c r="E171" s="15">
        <f t="shared" si="33"/>
        <v>80977488664.10701</v>
      </c>
      <c r="F171" s="29">
        <f t="shared" si="34"/>
        <v>124124485865.82466</v>
      </c>
      <c r="G171" s="17">
        <f t="shared" si="35"/>
        <v>4.1218700924747234</v>
      </c>
      <c r="H171" s="16">
        <f t="shared" si="36"/>
        <v>1.5966377215329043E-11</v>
      </c>
      <c r="I171" s="16">
        <f t="shared" si="37"/>
        <v>62631615582.770851</v>
      </c>
      <c r="J171" s="16">
        <f t="shared" si="38"/>
        <v>-34872789585.13752</v>
      </c>
      <c r="K171" s="18">
        <f t="shared" si="39"/>
        <v>-52025069121.133408</v>
      </c>
      <c r="L171" s="17">
        <f t="shared" si="40"/>
        <v>3.7926382309219711</v>
      </c>
      <c r="M171" s="16">
        <f t="shared" si="41"/>
        <v>1.5081481773613184E-11</v>
      </c>
      <c r="N171" s="16">
        <f t="shared" si="42"/>
        <v>99459723024.326782</v>
      </c>
      <c r="O171" s="16">
        <f t="shared" si="44"/>
        <v>-55378389347.783768</v>
      </c>
      <c r="P171" s="18">
        <f t="shared" si="43"/>
        <v>-82616405739.544662</v>
      </c>
    </row>
    <row r="172" spans="1:16" x14ac:dyDescent="0.4">
      <c r="A172" s="14">
        <v>0.159</v>
      </c>
      <c r="B172" s="44">
        <f t="shared" si="45"/>
        <v>0.99902646384155425</v>
      </c>
      <c r="C172" s="40">
        <f t="shared" si="31"/>
        <v>6.7468952568614264E-12</v>
      </c>
      <c r="D172" s="15">
        <f t="shared" si="32"/>
        <v>148216322016.11914</v>
      </c>
      <c r="E172" s="15">
        <f t="shared" si="33"/>
        <v>80203001755.00264</v>
      </c>
      <c r="F172" s="29">
        <f t="shared" si="34"/>
        <v>124641713007.61623</v>
      </c>
      <c r="G172" s="17">
        <f t="shared" si="35"/>
        <v>4.1479578778701329</v>
      </c>
      <c r="H172" s="16">
        <f t="shared" si="36"/>
        <v>1.6047417883836915E-11</v>
      </c>
      <c r="I172" s="16">
        <f t="shared" si="37"/>
        <v>62315321208.604401</v>
      </c>
      <c r="J172" s="16">
        <f t="shared" si="38"/>
        <v>-33334661621.962749</v>
      </c>
      <c r="K172" s="18">
        <f t="shared" si="39"/>
        <v>-52649782448.560844</v>
      </c>
      <c r="L172" s="17">
        <f t="shared" si="40"/>
        <v>3.8166422703581864</v>
      </c>
      <c r="M172" s="16">
        <f t="shared" si="41"/>
        <v>1.51362630659469E-11</v>
      </c>
      <c r="N172" s="16">
        <f t="shared" si="42"/>
        <v>99099757546.805191</v>
      </c>
      <c r="O172" s="16">
        <f t="shared" si="44"/>
        <v>-53011953089.076981</v>
      </c>
      <c r="P172" s="18">
        <f t="shared" si="43"/>
        <v>-83728697443.093399</v>
      </c>
    </row>
    <row r="173" spans="1:16" x14ac:dyDescent="0.4">
      <c r="A173" s="14">
        <v>0.16</v>
      </c>
      <c r="B173" s="44">
        <f t="shared" si="45"/>
        <v>1.0053096491487339</v>
      </c>
      <c r="C173" s="40">
        <f t="shared" si="31"/>
        <v>6.7463036622174186E-12</v>
      </c>
      <c r="D173" s="15">
        <f t="shared" si="32"/>
        <v>148229319353.12759</v>
      </c>
      <c r="E173" s="15">
        <f t="shared" si="33"/>
        <v>79425241110.90451</v>
      </c>
      <c r="F173" s="29">
        <f t="shared" si="34"/>
        <v>125154153708.00192</v>
      </c>
      <c r="G173" s="17">
        <f t="shared" si="35"/>
        <v>4.1740456632655434</v>
      </c>
      <c r="H173" s="16">
        <f t="shared" si="36"/>
        <v>1.6129808341995423E-11</v>
      </c>
      <c r="I173" s="16">
        <f t="shared" si="37"/>
        <v>61997016876.909134</v>
      </c>
      <c r="J173" s="16">
        <f t="shared" si="38"/>
        <v>-31786759308.902683</v>
      </c>
      <c r="K173" s="18">
        <f t="shared" si="39"/>
        <v>-53228113194.754936</v>
      </c>
      <c r="L173" s="17">
        <f t="shared" si="40"/>
        <v>3.8406463097944021</v>
      </c>
      <c r="M173" s="16">
        <f t="shared" si="41"/>
        <v>1.5192712118816087E-11</v>
      </c>
      <c r="N173" s="16">
        <f t="shared" si="42"/>
        <v>98731548934.061523</v>
      </c>
      <c r="O173" s="16">
        <f t="shared" si="44"/>
        <v>-50621080501.230461</v>
      </c>
      <c r="P173" s="18">
        <f t="shared" si="43"/>
        <v>-84766886009.850143</v>
      </c>
    </row>
    <row r="174" spans="1:16" x14ac:dyDescent="0.4">
      <c r="A174" s="14">
        <v>0.161</v>
      </c>
      <c r="B174" s="44">
        <f t="shared" si="45"/>
        <v>1.0115928344559133</v>
      </c>
      <c r="C174" s="40">
        <f t="shared" si="31"/>
        <v>6.7457097039105498E-12</v>
      </c>
      <c r="D174" s="15">
        <f t="shared" si="32"/>
        <v>148242370913.21774</v>
      </c>
      <c r="E174" s="15">
        <f t="shared" si="33"/>
        <v>78644235757.609299</v>
      </c>
      <c r="F174" s="29">
        <f t="shared" si="34"/>
        <v>125661787016.07578</v>
      </c>
      <c r="G174" s="17">
        <f t="shared" si="35"/>
        <v>4.2001334486609521</v>
      </c>
      <c r="H174" s="16">
        <f t="shared" si="36"/>
        <v>1.6213492520300668E-11</v>
      </c>
      <c r="I174" s="16">
        <f t="shared" si="37"/>
        <v>61677026016.937141</v>
      </c>
      <c r="J174" s="16">
        <f t="shared" si="38"/>
        <v>-30230655470.570545</v>
      </c>
      <c r="K174" s="18">
        <f t="shared" si="39"/>
        <v>-53760236310.061028</v>
      </c>
      <c r="L174" s="17">
        <f t="shared" si="40"/>
        <v>3.8646503492306161</v>
      </c>
      <c r="M174" s="16">
        <f t="shared" si="41"/>
        <v>1.5250796408182021E-11</v>
      </c>
      <c r="N174" s="16">
        <f t="shared" si="42"/>
        <v>98355519269.488968</v>
      </c>
      <c r="O174" s="16">
        <f t="shared" si="44"/>
        <v>-48208417439.720108</v>
      </c>
      <c r="P174" s="18">
        <f t="shared" si="43"/>
        <v>-85730721790.54895</v>
      </c>
    </row>
    <row r="175" spans="1:16" x14ac:dyDescent="0.4">
      <c r="A175" s="14">
        <v>0.16200000000000001</v>
      </c>
      <c r="B175" s="44">
        <f t="shared" si="45"/>
        <v>1.0178760197630929</v>
      </c>
      <c r="C175" s="40">
        <f t="shared" si="31"/>
        <v>6.7451134053892772E-12</v>
      </c>
      <c r="D175" s="15">
        <f t="shared" si="32"/>
        <v>148255476209.04492</v>
      </c>
      <c r="E175" s="15">
        <f t="shared" si="33"/>
        <v>77860014857.820847</v>
      </c>
      <c r="F175" s="29">
        <f t="shared" si="34"/>
        <v>126164592149.74146</v>
      </c>
      <c r="G175" s="17">
        <f t="shared" si="35"/>
        <v>4.2262212340563616</v>
      </c>
      <c r="H175" s="16">
        <f t="shared" si="36"/>
        <v>1.629841346882829E-11</v>
      </c>
      <c r="I175" s="16">
        <f t="shared" si="37"/>
        <v>61355665194.809364</v>
      </c>
      <c r="J175" s="16">
        <f t="shared" si="38"/>
        <v>-28667889556.424191</v>
      </c>
      <c r="K175" s="18">
        <f t="shared" si="39"/>
        <v>-54246380154.607605</v>
      </c>
      <c r="L175" s="17">
        <f t="shared" si="40"/>
        <v>3.888654388666831</v>
      </c>
      <c r="M175" s="16">
        <f t="shared" si="41"/>
        <v>1.5310482467837913E-11</v>
      </c>
      <c r="N175" s="16">
        <f t="shared" si="42"/>
        <v>97972092202.253387</v>
      </c>
      <c r="O175" s="16">
        <f t="shared" si="44"/>
        <v>-45776589821.792328</v>
      </c>
      <c r="P175" s="18">
        <f t="shared" si="43"/>
        <v>-86620059309.459137</v>
      </c>
    </row>
    <row r="176" spans="1:16" x14ac:dyDescent="0.4">
      <c r="A176" s="14">
        <v>0.16300000000000001</v>
      </c>
      <c r="B176" s="44">
        <f t="shared" si="45"/>
        <v>1.0241592050702726</v>
      </c>
      <c r="C176" s="40">
        <f t="shared" si="31"/>
        <v>6.7445147901944454E-12</v>
      </c>
      <c r="D176" s="15">
        <f t="shared" si="32"/>
        <v>148268634750.99146</v>
      </c>
      <c r="E176" s="15">
        <f t="shared" si="33"/>
        <v>77072607710.260956</v>
      </c>
      <c r="F176" s="29">
        <f t="shared" si="34"/>
        <v>126662548496.63785</v>
      </c>
      <c r="G176" s="17">
        <f t="shared" si="35"/>
        <v>4.2523090194517721</v>
      </c>
      <c r="H176" s="16">
        <f t="shared" si="36"/>
        <v>1.63845133959898E-11</v>
      </c>
      <c r="I176" s="16">
        <f t="shared" si="37"/>
        <v>61033243760.828171</v>
      </c>
      <c r="J176" s="16">
        <f t="shared" si="38"/>
        <v>-27099965925.65992</v>
      </c>
      <c r="K176" s="18">
        <f t="shared" si="39"/>
        <v>-54686823740.246078</v>
      </c>
      <c r="L176" s="17">
        <f t="shared" si="40"/>
        <v>3.9126584281030468</v>
      </c>
      <c r="M176" s="16">
        <f t="shared" si="41"/>
        <v>1.5371735908691007E-11</v>
      </c>
      <c r="N176" s="16">
        <f t="shared" si="42"/>
        <v>97581692068.48764</v>
      </c>
      <c r="O176" s="16">
        <f t="shared" si="44"/>
        <v>-43328198979.348671</v>
      </c>
      <c r="P176" s="18">
        <f t="shared" si="43"/>
        <v>-87434854607.04509</v>
      </c>
    </row>
    <row r="177" spans="1:16" x14ac:dyDescent="0.4">
      <c r="A177" s="14">
        <v>0.16400000000000001</v>
      </c>
      <c r="B177" s="44">
        <f t="shared" si="45"/>
        <v>1.0304423903774522</v>
      </c>
      <c r="C177" s="40">
        <f t="shared" si="31"/>
        <v>6.7439138819583587E-12</v>
      </c>
      <c r="D177" s="15">
        <f t="shared" si="32"/>
        <v>148281846047.18158</v>
      </c>
      <c r="E177" s="15">
        <f t="shared" si="33"/>
        <v>76282043748.773209</v>
      </c>
      <c r="F177" s="29">
        <f t="shared" si="34"/>
        <v>127155635615.06155</v>
      </c>
      <c r="G177" s="17">
        <f t="shared" si="35"/>
        <v>4.2783968048471817</v>
      </c>
      <c r="H177" s="16">
        <f t="shared" si="36"/>
        <v>1.6471733707861707E-11</v>
      </c>
      <c r="I177" s="16">
        <f t="shared" si="37"/>
        <v>60710063538.892403</v>
      </c>
      <c r="J177" s="16">
        <f t="shared" si="38"/>
        <v>-25528352336.849022</v>
      </c>
      <c r="K177" s="18">
        <f t="shared" si="39"/>
        <v>-55081893956.744514</v>
      </c>
      <c r="L177" s="17">
        <f t="shared" si="40"/>
        <v>3.9366624675392616</v>
      </c>
      <c r="M177" s="16">
        <f t="shared" si="41"/>
        <v>1.5434521438576393E-11</v>
      </c>
      <c r="N177" s="16">
        <f t="shared" si="42"/>
        <v>97184743043.018051</v>
      </c>
      <c r="O177" s="16">
        <f t="shared" si="44"/>
        <v>-40865817255.798653</v>
      </c>
      <c r="P177" s="18">
        <f t="shared" si="43"/>
        <v>-88175162377.809738</v>
      </c>
    </row>
    <row r="178" spans="1:16" x14ac:dyDescent="0.4">
      <c r="A178" s="14">
        <v>0.16500000000000001</v>
      </c>
      <c r="B178" s="44">
        <f t="shared" si="45"/>
        <v>1.0367255756846319</v>
      </c>
      <c r="C178" s="40">
        <f t="shared" si="31"/>
        <v>6.7433107044038432E-12</v>
      </c>
      <c r="D178" s="15">
        <f t="shared" si="32"/>
        <v>148295109603.49664</v>
      </c>
      <c r="E178" s="15">
        <f t="shared" si="33"/>
        <v>75488352541.420395</v>
      </c>
      <c r="F178" s="29">
        <f t="shared" si="34"/>
        <v>127643833234.8857</v>
      </c>
      <c r="G178" s="17">
        <f t="shared" si="35"/>
        <v>4.3044845902425912</v>
      </c>
      <c r="H178" s="16">
        <f t="shared" si="36"/>
        <v>1.6560015048060707E-11</v>
      </c>
      <c r="I178" s="16">
        <f t="shared" si="37"/>
        <v>60386418556.854332</v>
      </c>
      <c r="J178" s="16">
        <f t="shared" si="38"/>
        <v>-23954478636.673824</v>
      </c>
      <c r="K178" s="18">
        <f t="shared" si="39"/>
        <v>-55431962795.563522</v>
      </c>
      <c r="L178" s="17">
        <f t="shared" si="40"/>
        <v>3.9606665069754765</v>
      </c>
      <c r="M178" s="16">
        <f t="shared" si="41"/>
        <v>1.5498802882591204E-11</v>
      </c>
      <c r="N178" s="16">
        <f t="shared" si="42"/>
        <v>96781668323.871155</v>
      </c>
      <c r="O178" s="16">
        <f t="shared" si="44"/>
        <v>-38391983854.831078</v>
      </c>
      <c r="P178" s="18">
        <f t="shared" si="43"/>
        <v>-88841132924.125839</v>
      </c>
    </row>
    <row r="179" spans="1:16" x14ac:dyDescent="0.4">
      <c r="A179" s="14">
        <v>0.16600000000000001</v>
      </c>
      <c r="B179" s="44">
        <f t="shared" si="45"/>
        <v>1.0430087609918113</v>
      </c>
      <c r="C179" s="40">
        <f t="shared" si="31"/>
        <v>6.7427052813433179E-12</v>
      </c>
      <c r="D179" s="15">
        <f t="shared" si="32"/>
        <v>148308424923.59012</v>
      </c>
      <c r="E179" s="15">
        <f t="shared" si="33"/>
        <v>74691563789.575333</v>
      </c>
      <c r="F179" s="29">
        <f t="shared" si="34"/>
        <v>128127121258.47504</v>
      </c>
      <c r="G179" s="17">
        <f t="shared" si="35"/>
        <v>4.3305723756380008</v>
      </c>
      <c r="H179" s="16">
        <f t="shared" si="36"/>
        <v>1.6649297338137686E-11</v>
      </c>
      <c r="I179" s="16">
        <f t="shared" si="37"/>
        <v>60062594816.500252</v>
      </c>
      <c r="J179" s="16">
        <f t="shared" si="38"/>
        <v>-22379735641.351574</v>
      </c>
      <c r="K179" s="18">
        <f t="shared" si="39"/>
        <v>-55737444583.639656</v>
      </c>
      <c r="L179" s="17">
        <f t="shared" si="40"/>
        <v>3.9846705464116914</v>
      </c>
      <c r="M179" s="16">
        <f t="shared" si="41"/>
        <v>1.5564543203937329E-11</v>
      </c>
      <c r="N179" s="16">
        <f t="shared" si="42"/>
        <v>96372889351.519684</v>
      </c>
      <c r="O179" s="16">
        <f t="shared" si="44"/>
        <v>-35909200947.271194</v>
      </c>
      <c r="P179" s="18">
        <f t="shared" si="43"/>
        <v>-89433008946.857834</v>
      </c>
    </row>
    <row r="180" spans="1:16" x14ac:dyDescent="0.4">
      <c r="A180" s="14">
        <v>0.16700000000000001</v>
      </c>
      <c r="B180" s="44">
        <f t="shared" si="45"/>
        <v>1.0492919462989909</v>
      </c>
      <c r="C180" s="40">
        <f t="shared" si="31"/>
        <v>6.7420976366778459E-12</v>
      </c>
      <c r="D180" s="15">
        <f t="shared" si="32"/>
        <v>148321791508.90314</v>
      </c>
      <c r="E180" s="15">
        <f t="shared" si="33"/>
        <v>73891707327.004913</v>
      </c>
      <c r="F180" s="29">
        <f t="shared" si="34"/>
        <v>128605479761.59795</v>
      </c>
      <c r="G180" s="17">
        <f t="shared" si="35"/>
        <v>4.3566601610334104</v>
      </c>
      <c r="H180" s="16">
        <f t="shared" si="36"/>
        <v>1.6739519818463162E-11</v>
      </c>
      <c r="I180" s="16">
        <f t="shared" si="37"/>
        <v>59738870101.699783</v>
      </c>
      <c r="J180" s="16">
        <f t="shared" si="38"/>
        <v>-20805474203.671562</v>
      </c>
      <c r="K180" s="18">
        <f t="shared" si="39"/>
        <v>-55998793238.677185</v>
      </c>
      <c r="L180" s="17">
        <f t="shared" si="40"/>
        <v>4.0086745858479063</v>
      </c>
      <c r="M180" s="16">
        <f t="shared" si="41"/>
        <v>1.5631704525260794E-11</v>
      </c>
      <c r="N180" s="16">
        <f t="shared" si="42"/>
        <v>95958825064.534958</v>
      </c>
      <c r="O180" s="16">
        <f t="shared" si="44"/>
        <v>-33419930040.457989</v>
      </c>
      <c r="P180" s="18">
        <f t="shared" si="43"/>
        <v>-89951122193.427444</v>
      </c>
    </row>
    <row r="181" spans="1:16" x14ac:dyDescent="0.4">
      <c r="A181" s="14">
        <v>0.16800000000000001</v>
      </c>
      <c r="B181" s="44">
        <f t="shared" si="45"/>
        <v>1.0555751316061706</v>
      </c>
      <c r="C181" s="40">
        <f t="shared" si="31"/>
        <v>6.7414877943962013E-12</v>
      </c>
      <c r="D181" s="15">
        <f t="shared" si="32"/>
        <v>148335208858.67963</v>
      </c>
      <c r="E181" s="15">
        <f t="shared" si="33"/>
        <v>73088813118.9478</v>
      </c>
      <c r="F181" s="29">
        <f t="shared" si="34"/>
        <v>129078888994.33412</v>
      </c>
      <c r="G181" s="17">
        <f t="shared" si="35"/>
        <v>4.3827479464288199</v>
      </c>
      <c r="H181" s="16">
        <f t="shared" si="36"/>
        <v>1.6830621089576269E-11</v>
      </c>
      <c r="I181" s="16">
        <f t="shared" si="37"/>
        <v>59415513823.154831</v>
      </c>
      <c r="J181" s="16">
        <f t="shared" si="38"/>
        <v>-19233004458.014965</v>
      </c>
      <c r="K181" s="18">
        <f t="shared" si="39"/>
        <v>-56216499556.513474</v>
      </c>
      <c r="L181" s="17">
        <f t="shared" si="40"/>
        <v>4.0326786252841211</v>
      </c>
      <c r="M181" s="16">
        <f t="shared" si="41"/>
        <v>1.570024815047541E-11</v>
      </c>
      <c r="N181" s="16">
        <f t="shared" si="42"/>
        <v>95539891193.030563</v>
      </c>
      <c r="O181" s="16">
        <f t="shared" si="44"/>
        <v>-30926588612.91748</v>
      </c>
      <c r="P181" s="18">
        <f t="shared" si="43"/>
        <v>-90395889983.690536</v>
      </c>
    </row>
    <row r="182" spans="1:16" x14ac:dyDescent="0.4">
      <c r="A182" s="14">
        <v>0.16900000000000001</v>
      </c>
      <c r="B182" s="44">
        <f t="shared" si="45"/>
        <v>1.0618583169133502</v>
      </c>
      <c r="C182" s="40">
        <f t="shared" si="31"/>
        <v>6.7408757785739112E-12</v>
      </c>
      <c r="D182" s="15">
        <f t="shared" si="32"/>
        <v>148348676469.98212</v>
      </c>
      <c r="E182" s="15">
        <f t="shared" si="33"/>
        <v>72282911261.185425</v>
      </c>
      <c r="F182" s="29">
        <f t="shared" si="34"/>
        <v>129547329381.97922</v>
      </c>
      <c r="G182" s="17">
        <f t="shared" si="35"/>
        <v>4.4088357318242304</v>
      </c>
      <c r="H182" s="16">
        <f t="shared" si="36"/>
        <v>1.6922539153969176E-11</v>
      </c>
      <c r="I182" s="16">
        <f t="shared" si="37"/>
        <v>59092786898.084991</v>
      </c>
      <c r="J182" s="16">
        <f t="shared" si="38"/>
        <v>-17663595235.269463</v>
      </c>
      <c r="K182" s="18">
        <f t="shared" si="39"/>
        <v>-56391088540.185593</v>
      </c>
      <c r="L182" s="17">
        <f t="shared" si="40"/>
        <v>4.0566826647203369</v>
      </c>
      <c r="M182" s="16">
        <f t="shared" si="41"/>
        <v>1.5770134587058143E-11</v>
      </c>
      <c r="N182" s="16">
        <f t="shared" si="42"/>
        <v>95116499591.004379</v>
      </c>
      <c r="O182" s="16">
        <f t="shared" si="44"/>
        <v>-28431547015.522827</v>
      </c>
      <c r="P182" s="18">
        <f t="shared" si="43"/>
        <v>-90767811633.583252</v>
      </c>
    </row>
    <row r="183" spans="1:16" x14ac:dyDescent="0.4">
      <c r="A183" s="14">
        <v>0.17</v>
      </c>
      <c r="B183" s="44">
        <f t="shared" si="45"/>
        <v>1.0681415022205298</v>
      </c>
      <c r="C183" s="40">
        <f t="shared" si="31"/>
        <v>6.7402616133723124E-12</v>
      </c>
      <c r="D183" s="15">
        <f t="shared" si="32"/>
        <v>148362193837.70718</v>
      </c>
      <c r="E183" s="15">
        <f t="shared" si="33"/>
        <v>71474031979.106277</v>
      </c>
      <c r="F183" s="29">
        <f t="shared" si="34"/>
        <v>130010781525.94536</v>
      </c>
      <c r="G183" s="17">
        <f t="shared" si="35"/>
        <v>4.43492351721964</v>
      </c>
      <c r="H183" s="16">
        <f t="shared" si="36"/>
        <v>1.7015211458278494E-11</v>
      </c>
      <c r="I183" s="16">
        <f t="shared" si="37"/>
        <v>58770941663.111984</v>
      </c>
      <c r="J183" s="16">
        <f t="shared" si="38"/>
        <v>-16098473639.189409</v>
      </c>
      <c r="K183" s="18">
        <f t="shared" si="39"/>
        <v>-56523116779.395981</v>
      </c>
      <c r="L183" s="17">
        <f t="shared" si="40"/>
        <v>4.0806867041565518</v>
      </c>
      <c r="M183" s="16">
        <f t="shared" si="41"/>
        <v>1.5841323568803376E-11</v>
      </c>
      <c r="N183" s="16">
        <f t="shared" si="42"/>
        <v>94689057608.417191</v>
      </c>
      <c r="O183" s="16">
        <f t="shared" si="44"/>
        <v>-25937125638.835232</v>
      </c>
      <c r="P183" s="18">
        <f t="shared" si="43"/>
        <v>-91067464795.971039</v>
      </c>
    </row>
    <row r="184" spans="1:16" x14ac:dyDescent="0.4">
      <c r="A184" s="14">
        <v>0.17100000000000001</v>
      </c>
      <c r="B184" s="44">
        <f t="shared" si="45"/>
        <v>1.0744246875277093</v>
      </c>
      <c r="C184" s="40">
        <f t="shared" si="31"/>
        <v>6.7396453230375968E-12</v>
      </c>
      <c r="D184" s="15">
        <f t="shared" si="32"/>
        <v>148375760454.60123</v>
      </c>
      <c r="E184" s="15">
        <f t="shared" si="33"/>
        <v>70662205626.763733</v>
      </c>
      <c r="F184" s="29">
        <f t="shared" si="34"/>
        <v>130469226204.65779</v>
      </c>
      <c r="G184" s="17">
        <f t="shared" si="35"/>
        <v>4.4610113026150486</v>
      </c>
      <c r="H184" s="16">
        <f t="shared" si="36"/>
        <v>1.7108574935854965E-11</v>
      </c>
      <c r="I184" s="16">
        <f t="shared" si="37"/>
        <v>58450221818.549561</v>
      </c>
      <c r="J184" s="16">
        <f t="shared" si="38"/>
        <v>-14538824775.479549</v>
      </c>
      <c r="K184" s="18">
        <f t="shared" si="39"/>
        <v>-56613169888.158966</v>
      </c>
      <c r="L184" s="17">
        <f t="shared" si="40"/>
        <v>4.1046907435927666</v>
      </c>
      <c r="M184" s="16">
        <f t="shared" si="41"/>
        <v>1.5913774079022939E-11</v>
      </c>
      <c r="N184" s="16">
        <f t="shared" si="42"/>
        <v>94257967503.588928</v>
      </c>
      <c r="O184" s="16">
        <f t="shared" si="44"/>
        <v>-23445592344.914242</v>
      </c>
      <c r="P184" s="18">
        <f t="shared" si="43"/>
        <v>-91295501737.510178</v>
      </c>
    </row>
    <row r="185" spans="1:16" x14ac:dyDescent="0.4">
      <c r="A185" s="14">
        <v>0.17199999999999999</v>
      </c>
      <c r="B185" s="44">
        <f t="shared" si="45"/>
        <v>1.0807078728348887</v>
      </c>
      <c r="C185" s="40">
        <f t="shared" si="31"/>
        <v>6.73902693189985E-12</v>
      </c>
      <c r="D185" s="15">
        <f t="shared" si="32"/>
        <v>148389375811.27643</v>
      </c>
      <c r="E185" s="15">
        <f t="shared" si="33"/>
        <v>69847462685.927124</v>
      </c>
      <c r="F185" s="29">
        <f t="shared" si="34"/>
        <v>130922644374.44826</v>
      </c>
      <c r="G185" s="17">
        <f t="shared" si="35"/>
        <v>4.4870990880104582</v>
      </c>
      <c r="H185" s="16">
        <f t="shared" si="36"/>
        <v>1.7202566049682459E-11</v>
      </c>
      <c r="I185" s="16">
        <f t="shared" si="37"/>
        <v>58130862402.266953</v>
      </c>
      <c r="J185" s="16">
        <f t="shared" si="38"/>
        <v>-12985791624.694036</v>
      </c>
      <c r="K185" s="18">
        <f t="shared" si="39"/>
        <v>-56661860007.515816</v>
      </c>
      <c r="L185" s="17">
        <f t="shared" si="40"/>
        <v>4.1286947830289815</v>
      </c>
      <c r="M185" s="16">
        <f t="shared" si="41"/>
        <v>1.5987444374178548E-11</v>
      </c>
      <c r="N185" s="16">
        <f t="shared" si="42"/>
        <v>93823625896.247818</v>
      </c>
      <c r="O185" s="16">
        <f t="shared" si="44"/>
        <v>-20959160160.582924</v>
      </c>
      <c r="P185" s="18">
        <f t="shared" si="43"/>
        <v>-91452645569.617599</v>
      </c>
    </row>
    <row r="186" spans="1:16" x14ac:dyDescent="0.4">
      <c r="A186" s="14">
        <v>0.17299999999999999</v>
      </c>
      <c r="B186" s="44">
        <f t="shared" si="45"/>
        <v>1.0869910581420683</v>
      </c>
      <c r="C186" s="40">
        <f t="shared" si="31"/>
        <v>6.7384064643720944E-12</v>
      </c>
      <c r="D186" s="15">
        <f t="shared" si="32"/>
        <v>148403039396.22662</v>
      </c>
      <c r="E186" s="15">
        <f t="shared" si="33"/>
        <v>69029833765.126358</v>
      </c>
      <c r="F186" s="29">
        <f t="shared" si="34"/>
        <v>131371017170.4437</v>
      </c>
      <c r="G186" s="17">
        <f t="shared" si="35"/>
        <v>4.5131868734058678</v>
      </c>
      <c r="H186" s="16">
        <f t="shared" si="36"/>
        <v>1.7297120835617072E-11</v>
      </c>
      <c r="I186" s="16">
        <f t="shared" si="37"/>
        <v>57813089791.271332</v>
      </c>
      <c r="J186" s="16">
        <f t="shared" si="38"/>
        <v>-11440475049.931963</v>
      </c>
      <c r="K186" s="18">
        <f t="shared" si="39"/>
        <v>-56669823379.339073</v>
      </c>
      <c r="L186" s="17">
        <f t="shared" si="40"/>
        <v>4.1526988224651964</v>
      </c>
      <c r="M186" s="16">
        <f t="shared" si="41"/>
        <v>1.6062292007933013E-11</v>
      </c>
      <c r="N186" s="16">
        <f t="shared" si="42"/>
        <v>93386423261.335571</v>
      </c>
      <c r="O186" s="16">
        <f t="shared" si="44"/>
        <v>-18479985227.930183</v>
      </c>
      <c r="P186" s="18">
        <f t="shared" si="43"/>
        <v>-91539686450.854736</v>
      </c>
    </row>
    <row r="187" spans="1:16" x14ac:dyDescent="0.4">
      <c r="A187" s="14">
        <v>0.17399999999999999</v>
      </c>
      <c r="B187" s="44">
        <f t="shared" si="45"/>
        <v>1.093274243449248</v>
      </c>
      <c r="C187" s="40">
        <f t="shared" si="31"/>
        <v>6.7377839449493291E-12</v>
      </c>
      <c r="D187" s="15">
        <f t="shared" si="32"/>
        <v>148416750695.84326</v>
      </c>
      <c r="E187" s="15">
        <f t="shared" si="33"/>
        <v>68209349598.689766</v>
      </c>
      <c r="F187" s="29">
        <f t="shared" si="34"/>
        <v>131814325907.45139</v>
      </c>
      <c r="G187" s="17">
        <f t="shared" si="35"/>
        <v>4.5392746588012773</v>
      </c>
      <c r="H187" s="16">
        <f t="shared" si="36"/>
        <v>1.7392174945916886E-11</v>
      </c>
      <c r="I187" s="16">
        <f t="shared" si="37"/>
        <v>57497121729.146782</v>
      </c>
      <c r="J187" s="16">
        <f t="shared" si="38"/>
        <v>-9903933930.271841</v>
      </c>
      <c r="K187" s="18">
        <f t="shared" si="39"/>
        <v>-56637717996.412361</v>
      </c>
      <c r="L187" s="17">
        <f t="shared" si="40"/>
        <v>4.1767028619014113</v>
      </c>
      <c r="M187" s="16">
        <f t="shared" si="41"/>
        <v>1.6138273855606377E-11</v>
      </c>
      <c r="N187" s="16">
        <f t="shared" si="42"/>
        <v>92946743463.453217</v>
      </c>
      <c r="O187" s="16">
        <f t="shared" si="44"/>
        <v>-16010165006.734972</v>
      </c>
      <c r="P187" s="18">
        <f t="shared" si="43"/>
        <v>-91557477777.176132</v>
      </c>
    </row>
    <row r="188" spans="1:16" x14ac:dyDescent="0.4">
      <c r="A188" s="14">
        <v>0.17499999999999999</v>
      </c>
      <c r="B188" s="44">
        <f t="shared" si="45"/>
        <v>1.0995574287564276</v>
      </c>
      <c r="C188" s="40">
        <f t="shared" si="31"/>
        <v>6.7371593982075529E-12</v>
      </c>
      <c r="D188" s="15">
        <f t="shared" si="32"/>
        <v>148430509194.43198</v>
      </c>
      <c r="E188" s="15">
        <f t="shared" si="33"/>
        <v>67386041045.775566</v>
      </c>
      <c r="F188" s="29">
        <f t="shared" si="34"/>
        <v>132252552080.84041</v>
      </c>
      <c r="G188" s="17">
        <f t="shared" si="35"/>
        <v>4.5653624441966878</v>
      </c>
      <c r="H188" s="16">
        <f t="shared" si="36"/>
        <v>1.7487663693032807E-11</v>
      </c>
      <c r="I188" s="16">
        <f t="shared" si="37"/>
        <v>57183167377.492867</v>
      </c>
      <c r="J188" s="16">
        <f t="shared" si="38"/>
        <v>-8377185410.9156876</v>
      </c>
      <c r="K188" s="18">
        <f t="shared" si="39"/>
        <v>-56566221333.172913</v>
      </c>
      <c r="L188" s="17">
        <f t="shared" si="40"/>
        <v>4.200706901337627</v>
      </c>
      <c r="M188" s="16">
        <f t="shared" si="41"/>
        <v>1.6215346139022926E-11</v>
      </c>
      <c r="N188" s="16">
        <f t="shared" si="42"/>
        <v>92504963331.629761</v>
      </c>
      <c r="O188" s="16">
        <f t="shared" si="44"/>
        <v>-13551736722.510237</v>
      </c>
      <c r="P188" s="18">
        <f t="shared" si="43"/>
        <v>-91506932375.585266</v>
      </c>
    </row>
    <row r="189" spans="1:16" x14ac:dyDescent="0.4">
      <c r="A189" s="14">
        <v>0.17599999999999999</v>
      </c>
      <c r="B189" s="44">
        <f t="shared" si="45"/>
        <v>1.105840614063607</v>
      </c>
      <c r="C189" s="40">
        <f t="shared" si="31"/>
        <v>6.7365328488028009E-12</v>
      </c>
      <c r="D189" s="15">
        <f t="shared" si="32"/>
        <v>148444314374.22849</v>
      </c>
      <c r="E189" s="15">
        <f t="shared" si="33"/>
        <v>66559939089.3964</v>
      </c>
      <c r="F189" s="29">
        <f t="shared" si="34"/>
        <v>132685677367.41829</v>
      </c>
      <c r="G189" s="17">
        <f t="shared" si="35"/>
        <v>4.5914502295920965</v>
      </c>
      <c r="H189" s="16">
        <f t="shared" si="36"/>
        <v>1.7583522093630632E-11</v>
      </c>
      <c r="I189" s="16">
        <f t="shared" si="37"/>
        <v>56871427389.523689</v>
      </c>
      <c r="J189" s="16">
        <f t="shared" si="38"/>
        <v>-6861205261.0986433</v>
      </c>
      <c r="K189" s="18">
        <f t="shared" si="39"/>
        <v>-56456028160.745934</v>
      </c>
      <c r="L189" s="17">
        <f t="shared" si="40"/>
        <v>4.224710940773841</v>
      </c>
      <c r="M189" s="16">
        <f t="shared" si="41"/>
        <v>1.6293464451734657E-11</v>
      </c>
      <c r="N189" s="16">
        <f t="shared" si="42"/>
        <v>92061452273.908813</v>
      </c>
      <c r="O189" s="16">
        <f t="shared" si="44"/>
        <v>-11106676052.981955</v>
      </c>
      <c r="P189" s="18">
        <f t="shared" si="43"/>
        <v>-91389018715.791595</v>
      </c>
    </row>
    <row r="190" spans="1:16" x14ac:dyDescent="0.4">
      <c r="A190" s="14">
        <v>0.17699999999999999</v>
      </c>
      <c r="B190" s="44">
        <f t="shared" si="45"/>
        <v>1.1121237993707866</v>
      </c>
      <c r="C190" s="40">
        <f t="shared" si="31"/>
        <v>6.7359043214701716E-12</v>
      </c>
      <c r="D190" s="15">
        <f t="shared" si="32"/>
        <v>148458165715.41519</v>
      </c>
      <c r="E190" s="15">
        <f t="shared" si="33"/>
        <v>65731074835.437347</v>
      </c>
      <c r="F190" s="29">
        <f t="shared" si="34"/>
        <v>133113683626.30421</v>
      </c>
      <c r="G190" s="17">
        <f t="shared" si="35"/>
        <v>4.617538014987506</v>
      </c>
      <c r="H190" s="16">
        <f t="shared" si="36"/>
        <v>1.767968491281441E-11</v>
      </c>
      <c r="I190" s="16">
        <f t="shared" si="37"/>
        <v>56562094004.016449</v>
      </c>
      <c r="J190" s="16">
        <f t="shared" si="38"/>
        <v>-5356928330.9568834</v>
      </c>
      <c r="K190" s="18">
        <f t="shared" si="39"/>
        <v>-56307848449.18322</v>
      </c>
      <c r="L190" s="17">
        <f t="shared" si="40"/>
        <v>4.2487149802100559</v>
      </c>
      <c r="M190" s="16">
        <f t="shared" si="41"/>
        <v>1.6372583784606824E-11</v>
      </c>
      <c r="N190" s="16">
        <f t="shared" si="42"/>
        <v>91616571931.076019</v>
      </c>
      <c r="O190" s="16">
        <f t="shared" si="44"/>
        <v>-8676896045.0417557</v>
      </c>
      <c r="P190" s="18">
        <f t="shared" si="43"/>
        <v>-91204757153.481659</v>
      </c>
    </row>
    <row r="191" spans="1:16" x14ac:dyDescent="0.4">
      <c r="A191" s="14">
        <v>0.17799999999999999</v>
      </c>
      <c r="B191" s="44">
        <f t="shared" si="45"/>
        <v>1.1184069846779663</v>
      </c>
      <c r="C191" s="40">
        <f t="shared" si="31"/>
        <v>6.7352738410228484E-12</v>
      </c>
      <c r="D191" s="15">
        <f t="shared" si="32"/>
        <v>148472062696.13763</v>
      </c>
      <c r="E191" s="15">
        <f t="shared" si="33"/>
        <v>64899479511.667587</v>
      </c>
      <c r="F191" s="29">
        <f t="shared" si="34"/>
        <v>133536552899.79767</v>
      </c>
      <c r="G191" s="17">
        <f t="shared" si="35"/>
        <v>4.6436258003829165</v>
      </c>
      <c r="H191" s="16">
        <f t="shared" si="36"/>
        <v>1.7776086708521019E-11</v>
      </c>
      <c r="I191" s="16">
        <f t="shared" si="37"/>
        <v>56255351157.836502</v>
      </c>
      <c r="J191" s="16">
        <f t="shared" si="38"/>
        <v>-3865249098.7334943</v>
      </c>
      <c r="K191" s="18">
        <f t="shared" si="39"/>
        <v>-56122405359.145439</v>
      </c>
      <c r="L191" s="17">
        <f t="shared" si="40"/>
        <v>4.2727190196462717</v>
      </c>
      <c r="M191" s="16">
        <f t="shared" si="41"/>
        <v>1.6452658551750644E-11</v>
      </c>
      <c r="N191" s="16">
        <f t="shared" si="42"/>
        <v>91170675868.696777</v>
      </c>
      <c r="O191" s="16">
        <f t="shared" si="44"/>
        <v>-6264246253.5462103</v>
      </c>
      <c r="P191" s="18">
        <f t="shared" si="43"/>
        <v>-90955216217.817337</v>
      </c>
    </row>
    <row r="192" spans="1:16" x14ac:dyDescent="0.4">
      <c r="A192" s="14">
        <v>0.17899999999999999</v>
      </c>
      <c r="B192" s="44">
        <f t="shared" si="45"/>
        <v>1.1246901699851459</v>
      </c>
      <c r="C192" s="40">
        <f t="shared" si="31"/>
        <v>6.734641432351119E-12</v>
      </c>
      <c r="D192" s="15">
        <f t="shared" si="32"/>
        <v>148486004792.52118</v>
      </c>
      <c r="E192" s="15">
        <f t="shared" si="33"/>
        <v>64065184466.745117</v>
      </c>
      <c r="F192" s="29">
        <f t="shared" si="34"/>
        <v>133954267414.24307</v>
      </c>
      <c r="G192" s="17">
        <f t="shared" si="35"/>
        <v>4.6697135857783261</v>
      </c>
      <c r="H192" s="16">
        <f t="shared" si="36"/>
        <v>1.7872661876055681E-11</v>
      </c>
      <c r="I192" s="16">
        <f t="shared" si="37"/>
        <v>55951374615.312202</v>
      </c>
      <c r="J192" s="16">
        <f t="shared" si="38"/>
        <v>-2387022299.9230747</v>
      </c>
      <c r="K192" s="18">
        <f t="shared" si="39"/>
        <v>-55900433324.641342</v>
      </c>
      <c r="L192" s="17">
        <f t="shared" si="40"/>
        <v>4.2967230590824865</v>
      </c>
      <c r="M192" s="16">
        <f t="shared" si="41"/>
        <v>1.6533642616788354E-11</v>
      </c>
      <c r="N192" s="16">
        <f t="shared" si="42"/>
        <v>90724109306.493149</v>
      </c>
      <c r="O192" s="16">
        <f t="shared" si="44"/>
        <v>-3870512092.7626266</v>
      </c>
      <c r="P192" s="18">
        <f t="shared" si="43"/>
        <v>-90641508954.762527</v>
      </c>
    </row>
    <row r="193" spans="1:16" x14ac:dyDescent="0.4">
      <c r="A193" s="14">
        <v>0.18</v>
      </c>
      <c r="B193" s="44">
        <f t="shared" si="45"/>
        <v>1.1309733552923256</v>
      </c>
      <c r="C193" s="40">
        <f t="shared" si="31"/>
        <v>6.7340071204213948E-12</v>
      </c>
      <c r="D193" s="15">
        <f t="shared" si="32"/>
        <v>148499991478.68777</v>
      </c>
      <c r="E193" s="15">
        <f t="shared" si="33"/>
        <v>63228221169.215004</v>
      </c>
      <c r="F193" s="29">
        <f t="shared" si="34"/>
        <v>134366809580.89008</v>
      </c>
      <c r="G193" s="17">
        <f t="shared" si="35"/>
        <v>4.6958013711737356</v>
      </c>
      <c r="H193" s="16">
        <f t="shared" si="36"/>
        <v>1.796934469273822E-11</v>
      </c>
      <c r="I193" s="16">
        <f t="shared" si="37"/>
        <v>55650332112.785416</v>
      </c>
      <c r="J193" s="16">
        <f t="shared" si="38"/>
        <v>-923063630.21598947</v>
      </c>
      <c r="K193" s="18">
        <f t="shared" si="39"/>
        <v>-55642676227.854897</v>
      </c>
      <c r="L193" s="17">
        <f t="shared" si="40"/>
        <v>4.3207270985187014</v>
      </c>
      <c r="M193" s="16">
        <f t="shared" si="41"/>
        <v>1.6615489319435446E-11</v>
      </c>
      <c r="N193" s="16">
        <f t="shared" si="42"/>
        <v>90277208883.967209</v>
      </c>
      <c r="O193" s="16">
        <f t="shared" si="44"/>
        <v>-1497414390.7949274</v>
      </c>
      <c r="P193" s="18">
        <f t="shared" si="43"/>
        <v>-90264789336.826614</v>
      </c>
    </row>
    <row r="194" spans="1:16" x14ac:dyDescent="0.4">
      <c r="A194" s="14">
        <v>0.18099999999999999</v>
      </c>
      <c r="B194" s="44">
        <f t="shared" si="45"/>
        <v>1.137256540599505</v>
      </c>
      <c r="C194" s="40">
        <f t="shared" si="31"/>
        <v>6.733370930275227E-12</v>
      </c>
      <c r="D194" s="15">
        <f t="shared" si="32"/>
        <v>148514022226.77267</v>
      </c>
      <c r="E194" s="15">
        <f t="shared" si="33"/>
        <v>62388621206.501007</v>
      </c>
      <c r="F194" s="29">
        <f t="shared" si="34"/>
        <v>134774161996.74945</v>
      </c>
      <c r="G194" s="17">
        <f t="shared" si="35"/>
        <v>4.7218891565691452</v>
      </c>
      <c r="H194" s="16">
        <f t="shared" si="36"/>
        <v>1.8066069362629548E-11</v>
      </c>
      <c r="I194" s="16">
        <f t="shared" si="37"/>
        <v>55352383516.723541</v>
      </c>
      <c r="J194" s="16">
        <f t="shared" si="38"/>
        <v>525849485.60906416</v>
      </c>
      <c r="K194" s="18">
        <f t="shared" si="39"/>
        <v>-55349885666.557007</v>
      </c>
      <c r="L194" s="17">
        <f t="shared" si="40"/>
        <v>4.3447311379549163</v>
      </c>
      <c r="M194" s="16">
        <f t="shared" si="41"/>
        <v>1.6698151502384739E-11</v>
      </c>
      <c r="N194" s="16">
        <f t="shared" si="42"/>
        <v>89830302461.070511</v>
      </c>
      <c r="O194" s="16">
        <f t="shared" si="44"/>
        <v>853390863.05089033</v>
      </c>
      <c r="P194" s="18">
        <f t="shared" si="43"/>
        <v>-89826248748.80545</v>
      </c>
    </row>
    <row r="195" spans="1:16" x14ac:dyDescent="0.4">
      <c r="A195" s="14">
        <v>0.182</v>
      </c>
      <c r="B195" s="44">
        <f t="shared" si="45"/>
        <v>1.1435397259066846</v>
      </c>
      <c r="C195" s="40">
        <f t="shared" si="31"/>
        <v>6.7327328870283101E-12</v>
      </c>
      <c r="D195" s="15">
        <f t="shared" si="32"/>
        <v>148528096506.94153</v>
      </c>
      <c r="E195" s="15">
        <f t="shared" si="33"/>
        <v>61546416283.890488</v>
      </c>
      <c r="F195" s="29">
        <f t="shared" si="34"/>
        <v>135176307445.44473</v>
      </c>
      <c r="G195" s="17">
        <f t="shared" si="35"/>
        <v>4.7479769419645548</v>
      </c>
      <c r="H195" s="16">
        <f t="shared" si="36"/>
        <v>1.816277006130806E-11</v>
      </c>
      <c r="I195" s="16">
        <f t="shared" si="37"/>
        <v>55057680993.84182</v>
      </c>
      <c r="J195" s="16">
        <f t="shared" si="38"/>
        <v>1958977066.3860281</v>
      </c>
      <c r="K195" s="18">
        <f t="shared" si="39"/>
        <v>-55022819314.108437</v>
      </c>
      <c r="L195" s="17">
        <f t="shared" si="40"/>
        <v>4.3687351773911312</v>
      </c>
      <c r="M195" s="16">
        <f t="shared" si="41"/>
        <v>1.6781581538476834E-11</v>
      </c>
      <c r="N195" s="16">
        <f t="shared" si="42"/>
        <v>89383708952.627487</v>
      </c>
      <c r="O195" s="16">
        <f t="shared" si="44"/>
        <v>3180312588.2891016</v>
      </c>
      <c r="P195" s="18">
        <f t="shared" si="43"/>
        <v>-89327112558.107407</v>
      </c>
    </row>
    <row r="196" spans="1:16" x14ac:dyDescent="0.4">
      <c r="A196" s="14">
        <v>0.183</v>
      </c>
      <c r="B196" s="44">
        <f t="shared" si="45"/>
        <v>1.1498229112138643</v>
      </c>
      <c r="C196" s="40">
        <f t="shared" si="31"/>
        <v>6.7320930158695008E-12</v>
      </c>
      <c r="D196" s="15">
        <f t="shared" si="32"/>
        <v>148542213787.40744</v>
      </c>
      <c r="E196" s="15">
        <f t="shared" si="33"/>
        <v>60701638223.513008</v>
      </c>
      <c r="F196" s="29">
        <f t="shared" si="34"/>
        <v>135573228898.05937</v>
      </c>
      <c r="G196" s="17">
        <f t="shared" si="35"/>
        <v>4.7740647273599643</v>
      </c>
      <c r="H196" s="16">
        <f t="shared" si="36"/>
        <v>1.8259380980665366E-11</v>
      </c>
      <c r="I196" s="16">
        <f t="shared" si="37"/>
        <v>54766369191.753418</v>
      </c>
      <c r="J196" s="16">
        <f t="shared" si="38"/>
        <v>3375615696.0671291</v>
      </c>
      <c r="K196" s="18">
        <f t="shared" si="39"/>
        <v>-54662239371.616516</v>
      </c>
      <c r="L196" s="17">
        <f t="shared" si="40"/>
        <v>4.392739216827346</v>
      </c>
      <c r="M196" s="16">
        <f t="shared" si="41"/>
        <v>1.6865731358141269E-11</v>
      </c>
      <c r="N196" s="16">
        <f t="shared" si="42"/>
        <v>88937738195.144089</v>
      </c>
      <c r="O196" s="16">
        <f t="shared" si="44"/>
        <v>5481824511.1900482</v>
      </c>
      <c r="P196" s="18">
        <f t="shared" si="43"/>
        <v>-88768636777.279099</v>
      </c>
    </row>
    <row r="197" spans="1:16" x14ac:dyDescent="0.4">
      <c r="A197" s="14">
        <v>0.184</v>
      </c>
      <c r="B197" s="44">
        <f t="shared" si="45"/>
        <v>1.1561060965210439</v>
      </c>
      <c r="C197" s="40">
        <f t="shared" si="31"/>
        <v>6.7314513420598149E-12</v>
      </c>
      <c r="D197" s="15">
        <f t="shared" si="32"/>
        <v>148556373534.44812</v>
      </c>
      <c r="E197" s="15">
        <f t="shared" si="33"/>
        <v>59854318963.311981</v>
      </c>
      <c r="F197" s="29">
        <f t="shared" si="34"/>
        <v>135964909513.97934</v>
      </c>
      <c r="G197" s="17">
        <f t="shared" si="35"/>
        <v>4.8001525127553748</v>
      </c>
      <c r="H197" s="16">
        <f t="shared" si="36"/>
        <v>1.8355836373690954E-11</v>
      </c>
      <c r="I197" s="16">
        <f t="shared" si="37"/>
        <v>54478585428.734787</v>
      </c>
      <c r="J197" s="16">
        <f t="shared" si="38"/>
        <v>4775097600.9007654</v>
      </c>
      <c r="K197" s="18">
        <f t="shared" si="39"/>
        <v>-54268911111.407295</v>
      </c>
      <c r="L197" s="17">
        <f t="shared" si="40"/>
        <v>4.4167432562635618</v>
      </c>
      <c r="M197" s="16">
        <f t="shared" si="41"/>
        <v>1.6950552477092583E-11</v>
      </c>
      <c r="N197" s="16">
        <f t="shared" si="42"/>
        <v>88492690844.569168</v>
      </c>
      <c r="O197" s="16">
        <f t="shared" si="44"/>
        <v>7756464901.276145</v>
      </c>
      <c r="P197" s="18">
        <f t="shared" si="43"/>
        <v>-88152104825.396927</v>
      </c>
    </row>
    <row r="198" spans="1:16" x14ac:dyDescent="0.4">
      <c r="A198" s="14">
        <v>0.185</v>
      </c>
      <c r="B198" s="44">
        <f t="shared" si="45"/>
        <v>1.1623892818282235</v>
      </c>
      <c r="C198" s="40">
        <f t="shared" si="31"/>
        <v>6.7308078909314381E-12</v>
      </c>
      <c r="D198" s="15">
        <f t="shared" si="32"/>
        <v>148570575212.4231</v>
      </c>
      <c r="E198" s="15">
        <f t="shared" si="33"/>
        <v>59004490556.00985</v>
      </c>
      <c r="F198" s="29">
        <f t="shared" si="34"/>
        <v>136351332641.73112</v>
      </c>
      <c r="G198" s="17">
        <f t="shared" si="35"/>
        <v>4.8262402981507844</v>
      </c>
      <c r="H198" s="16">
        <f t="shared" si="36"/>
        <v>1.8452070599215262E-11</v>
      </c>
      <c r="I198" s="16">
        <f t="shared" si="37"/>
        <v>54194459891.267075</v>
      </c>
      <c r="J198" s="16">
        <f t="shared" si="38"/>
        <v>6156789688.7946596</v>
      </c>
      <c r="K198" s="18">
        <f t="shared" si="39"/>
        <v>-53843601510.616913</v>
      </c>
      <c r="L198" s="17">
        <f t="shared" si="40"/>
        <v>4.4407472956997767</v>
      </c>
      <c r="M198" s="16">
        <f t="shared" si="41"/>
        <v>1.7035996024265326E-11</v>
      </c>
      <c r="N198" s="16">
        <f t="shared" si="42"/>
        <v>88048858303.527756</v>
      </c>
      <c r="O198" s="16">
        <f t="shared" si="44"/>
        <v>10002836157.071024</v>
      </c>
      <c r="P198" s="18">
        <f t="shared" si="43"/>
        <v>-87478824394.075516</v>
      </c>
    </row>
    <row r="199" spans="1:16" x14ac:dyDescent="0.4">
      <c r="A199" s="14">
        <v>0.186</v>
      </c>
      <c r="B199" s="44">
        <f t="shared" si="45"/>
        <v>1.168672467135403</v>
      </c>
      <c r="C199" s="40">
        <f t="shared" si="31"/>
        <v>6.7301626878867178E-12</v>
      </c>
      <c r="D199" s="15">
        <f t="shared" si="32"/>
        <v>148584818283.79123</v>
      </c>
      <c r="E199" s="15">
        <f t="shared" si="33"/>
        <v>58152185168.066788</v>
      </c>
      <c r="F199" s="29">
        <f t="shared" si="34"/>
        <v>136732481819.81534</v>
      </c>
      <c r="G199" s="17">
        <f t="shared" si="35"/>
        <v>4.852328083546193</v>
      </c>
      <c r="H199" s="16">
        <f t="shared" si="36"/>
        <v>1.8548018166580717E-11</v>
      </c>
      <c r="I199" s="16">
        <f t="shared" si="37"/>
        <v>53914115838.088356</v>
      </c>
      <c r="J199" s="16">
        <f t="shared" si="38"/>
        <v>7520092557.0177059</v>
      </c>
      <c r="K199" s="18">
        <f t="shared" si="39"/>
        <v>-53387077973.388809</v>
      </c>
      <c r="L199" s="17">
        <f t="shared" si="40"/>
        <v>4.4647513351359915</v>
      </c>
      <c r="M199" s="16">
        <f t="shared" si="41"/>
        <v>1.7122012769971925E-11</v>
      </c>
      <c r="N199" s="16">
        <f t="shared" si="42"/>
        <v>87606522676.507706</v>
      </c>
      <c r="O199" s="16">
        <f t="shared" si="44"/>
        <v>12219604251.775263</v>
      </c>
      <c r="P199" s="18">
        <f t="shared" si="43"/>
        <v>-86750124422.962387</v>
      </c>
    </row>
    <row r="200" spans="1:16" x14ac:dyDescent="0.4">
      <c r="A200" s="14">
        <v>0.187</v>
      </c>
      <c r="B200" s="44">
        <f t="shared" si="45"/>
        <v>1.1749556524425826</v>
      </c>
      <c r="C200" s="40">
        <f t="shared" si="31"/>
        <v>6.7295157583971657E-12</v>
      </c>
      <c r="D200" s="15">
        <f t="shared" si="32"/>
        <v>148599102209.1283</v>
      </c>
      <c r="E200" s="15">
        <f t="shared" si="33"/>
        <v>57297435078.632591</v>
      </c>
      <c r="F200" s="29">
        <f t="shared" si="34"/>
        <v>137108340777.53563</v>
      </c>
      <c r="G200" s="17">
        <f t="shared" si="35"/>
        <v>4.8784158689416035</v>
      </c>
      <c r="H200" s="16">
        <f t="shared" si="36"/>
        <v>1.8643613780210365E-11</v>
      </c>
      <c r="I200" s="16">
        <f t="shared" si="37"/>
        <v>53637669809.566101</v>
      </c>
      <c r="J200" s="16">
        <f t="shared" si="38"/>
        <v>8864439474.0290318</v>
      </c>
      <c r="K200" s="18">
        <f t="shared" si="39"/>
        <v>-52900107139.885025</v>
      </c>
      <c r="L200" s="17">
        <f t="shared" si="40"/>
        <v>4.4887553745722073</v>
      </c>
      <c r="M200" s="16">
        <f t="shared" si="41"/>
        <v>1.7208553154267155E-11</v>
      </c>
      <c r="N200" s="16">
        <f t="shared" si="42"/>
        <v>87165956751.457016</v>
      </c>
      <c r="O200" s="16">
        <f t="shared" si="44"/>
        <v>14405498049.456999</v>
      </c>
      <c r="P200" s="18">
        <f t="shared" si="43"/>
        <v>-85967352188.746429</v>
      </c>
    </row>
    <row r="201" spans="1:16" x14ac:dyDescent="0.4">
      <c r="A201" s="14">
        <v>0.188</v>
      </c>
      <c r="B201" s="44">
        <f t="shared" si="45"/>
        <v>1.1812388377497622</v>
      </c>
      <c r="C201" s="40">
        <f t="shared" si="31"/>
        <v>6.7288671280024509E-12</v>
      </c>
      <c r="D201" s="15">
        <f t="shared" si="32"/>
        <v>148613426447.14441</v>
      </c>
      <c r="E201" s="15">
        <f t="shared" si="33"/>
        <v>56440272678.492218</v>
      </c>
      <c r="F201" s="29">
        <f t="shared" si="34"/>
        <v>137478893435.82254</v>
      </c>
      <c r="G201" s="17">
        <f t="shared" si="35"/>
        <v>4.9045036543370131</v>
      </c>
      <c r="H201" s="16">
        <f t="shared" si="36"/>
        <v>1.8738792384043701E-11</v>
      </c>
      <c r="I201" s="16">
        <f t="shared" si="37"/>
        <v>53365231841.274445</v>
      </c>
      <c r="J201" s="16">
        <f t="shared" si="38"/>
        <v>10189295340.859613</v>
      </c>
      <c r="K201" s="18">
        <f t="shared" si="39"/>
        <v>-52383453780.079338</v>
      </c>
      <c r="L201" s="17">
        <f t="shared" si="40"/>
        <v>4.5127594140084222</v>
      </c>
      <c r="M201" s="16">
        <f t="shared" si="41"/>
        <v>1.7295567315502914E-11</v>
      </c>
      <c r="N201" s="16">
        <f t="shared" si="42"/>
        <v>86727424006.234955</v>
      </c>
      <c r="O201" s="16">
        <f t="shared" si="44"/>
        <v>16559308502.207418</v>
      </c>
      <c r="P201" s="18">
        <f t="shared" si="43"/>
        <v>-85131870510.907837</v>
      </c>
    </row>
    <row r="202" spans="1:16" x14ac:dyDescent="0.4">
      <c r="A202" s="14">
        <v>0.189</v>
      </c>
      <c r="B202" s="44">
        <f t="shared" si="45"/>
        <v>1.1875220230569419</v>
      </c>
      <c r="C202" s="40">
        <f t="shared" si="31"/>
        <v>6.7282168223093902E-12</v>
      </c>
      <c r="D202" s="15">
        <f t="shared" si="32"/>
        <v>148627790454.70184</v>
      </c>
      <c r="E202" s="15">
        <f t="shared" si="33"/>
        <v>55580730469.004532</v>
      </c>
      <c r="F202" s="29">
        <f t="shared" si="34"/>
        <v>137844123908.05286</v>
      </c>
      <c r="G202" s="17">
        <f t="shared" si="35"/>
        <v>4.9305914397324226</v>
      </c>
      <c r="H202" s="16">
        <f t="shared" si="36"/>
        <v>1.8833489205809563E-11</v>
      </c>
      <c r="I202" s="16">
        <f t="shared" si="37"/>
        <v>53096905680.734413</v>
      </c>
      <c r="J202" s="16">
        <f t="shared" si="38"/>
        <v>11494155637.112486</v>
      </c>
      <c r="K202" s="18">
        <f t="shared" si="39"/>
        <v>-51837879770.093239</v>
      </c>
      <c r="L202" s="17">
        <f t="shared" si="40"/>
        <v>4.5367634534446371</v>
      </c>
      <c r="M202" s="16">
        <f t="shared" si="41"/>
        <v>1.7383005119056815E-11</v>
      </c>
      <c r="N202" s="16">
        <f t="shared" si="42"/>
        <v>86291178638.356659</v>
      </c>
      <c r="O202" s="16">
        <f t="shared" si="44"/>
        <v>18679887738.524597</v>
      </c>
      <c r="P202" s="18">
        <f t="shared" si="43"/>
        <v>-84245055076.680313</v>
      </c>
    </row>
    <row r="203" spans="1:16" x14ac:dyDescent="0.4">
      <c r="A203" s="14">
        <v>0.19</v>
      </c>
      <c r="B203" s="44">
        <f t="shared" si="45"/>
        <v>1.1938052083641213</v>
      </c>
      <c r="C203" s="40">
        <f t="shared" si="31"/>
        <v>6.7275648669909397E-12</v>
      </c>
      <c r="D203" s="15">
        <f t="shared" si="32"/>
        <v>148642193686.83298</v>
      </c>
      <c r="E203" s="15">
        <f t="shared" si="33"/>
        <v>54718841061.034668</v>
      </c>
      <c r="F203" s="29">
        <f t="shared" si="34"/>
        <v>138204016500.86438</v>
      </c>
      <c r="G203" s="17">
        <f t="shared" si="35"/>
        <v>4.9566792251278322</v>
      </c>
      <c r="H203" s="16">
        <f t="shared" si="36"/>
        <v>1.8927639801105831E-11</v>
      </c>
      <c r="I203" s="16">
        <f t="shared" si="37"/>
        <v>52832789006.349106</v>
      </c>
      <c r="J203" s="16">
        <f t="shared" si="38"/>
        <v>12778545356.288992</v>
      </c>
      <c r="K203" s="18">
        <f t="shared" si="39"/>
        <v>-51264143148.663551</v>
      </c>
      <c r="L203" s="17">
        <f t="shared" si="40"/>
        <v>4.5607674928808519</v>
      </c>
      <c r="M203" s="16">
        <f t="shared" si="41"/>
        <v>1.7470816186218084E-11</v>
      </c>
      <c r="N203" s="16">
        <f t="shared" si="42"/>
        <v>85857465616.476486</v>
      </c>
      <c r="O203" s="16">
        <f t="shared" si="44"/>
        <v>20766148052.951</v>
      </c>
      <c r="P203" s="18">
        <f t="shared" si="43"/>
        <v>-83308291886.986633</v>
      </c>
    </row>
    <row r="204" spans="1:16" x14ac:dyDescent="0.4">
      <c r="A204" s="14">
        <v>0.191</v>
      </c>
      <c r="B204" s="44">
        <f t="shared" si="45"/>
        <v>1.2000883936713009</v>
      </c>
      <c r="C204" s="40">
        <f t="shared" si="31"/>
        <v>6.726911287785177E-12</v>
      </c>
      <c r="D204" s="15">
        <f t="shared" si="32"/>
        <v>148656635596.75812</v>
      </c>
      <c r="E204" s="15">
        <f t="shared" si="33"/>
        <v>53854637173.879578</v>
      </c>
      <c r="F204" s="29">
        <f t="shared" si="34"/>
        <v>138558555714.96521</v>
      </c>
      <c r="G204" s="17">
        <f t="shared" si="35"/>
        <v>4.9827670105232418</v>
      </c>
      <c r="H204" s="16">
        <f t="shared" si="36"/>
        <v>1.902118009725604E-11</v>
      </c>
      <c r="I204" s="16">
        <f t="shared" si="37"/>
        <v>52572973647.637039</v>
      </c>
      <c r="J204" s="16">
        <f t="shared" si="38"/>
        <v>14042017934.802259</v>
      </c>
      <c r="K204" s="18">
        <f t="shared" si="39"/>
        <v>-50662997251.187485</v>
      </c>
      <c r="L204" s="17">
        <f t="shared" si="40"/>
        <v>4.5847715323170668</v>
      </c>
      <c r="M204" s="16">
        <f t="shared" si="41"/>
        <v>1.7558949923214035E-11</v>
      </c>
      <c r="N204" s="16">
        <f t="shared" si="42"/>
        <v>85426520752.069901</v>
      </c>
      <c r="O204" s="16">
        <f t="shared" si="44"/>
        <v>22817060806.721909</v>
      </c>
      <c r="P204" s="18">
        <f t="shared" si="43"/>
        <v>-82322974824.44487</v>
      </c>
    </row>
    <row r="205" spans="1:16" x14ac:dyDescent="0.4">
      <c r="A205" s="14">
        <v>0.192</v>
      </c>
      <c r="B205" s="44">
        <f t="shared" si="45"/>
        <v>1.2063715789784806</v>
      </c>
      <c r="C205" s="40">
        <f t="shared" ref="C205:C268" si="46">((semiejeMayorTierra*(1-(excentricidadTierra^2)))^-1)*(1+excentricidadTierra*COS(Φ))</f>
        <v>6.726256110494292E-12</v>
      </c>
      <c r="D205" s="15">
        <f t="shared" ref="D205:D268" si="47">1/u0Tierra</f>
        <v>148671115635.90359</v>
      </c>
      <c r="E205" s="15">
        <f t="shared" ref="E205:E268" si="48">r0Tierra*COS(Φ)</f>
        <v>52988151634.187347</v>
      </c>
      <c r="F205" s="29">
        <f t="shared" ref="F205:F268" si="49">r0Tierra*SIN(Φ)</f>
        <v>138907726245.93848</v>
      </c>
      <c r="G205" s="17">
        <f t="shared" ref="G205:G268" si="50">Φ*relaciónOrbitas</f>
        <v>5.0088547959186513</v>
      </c>
      <c r="H205" s="16">
        <f t="shared" ref="H205:H268" si="51">((semiejeMayorMercurio*(1-(excentricidadMercurio^2)))^-1)*(1+excentricidadMercurio*COS(ΦMercurio))</f>
        <v>1.9114046436913027E-11</v>
      </c>
      <c r="I205" s="16">
        <f t="shared" ref="I205:I268" si="52">1/u0Mercurio</f>
        <v>52317545805.936783</v>
      </c>
      <c r="J205" s="16">
        <f t="shared" ref="J205:J268" si="53">r0Mercurio*COS(ΦMercurio)</f>
        <v>15284154178.698202</v>
      </c>
      <c r="K205" s="18">
        <f t="shared" ref="K205:K268" si="54">r0Mercurio*SIN(ΦMercurio)</f>
        <v>-50035189918.676994</v>
      </c>
      <c r="L205" s="17">
        <f t="shared" ref="L205:L268" si="55">ΦMercurio*(1-(simulaciónÁngulo*((3/2)*rsSol*((semiejeMayorMercurio*(1-(excentricidadMercurio^2)))^-1))))</f>
        <v>4.6087755717532817</v>
      </c>
      <c r="M205" s="16">
        <f t="shared" ref="M205:M268" si="56">((semiejeMayorMercurio*(1-(excentricidadMercurio^2)))^-1)*(1+excentricidadMercurio*COS(ΦLPMercurio))</f>
        <v>1.7647355550360536E-11</v>
      </c>
      <c r="N205" s="16">
        <f t="shared" ref="N205:N268" si="57">1*simulaciónRadio/uMercurio</f>
        <v>84998570789.794907</v>
      </c>
      <c r="O205" s="16">
        <f t="shared" si="44"/>
        <v>24831655248.874435</v>
      </c>
      <c r="P205" s="18">
        <f t="shared" ref="P205:P268" si="58">rMercurio*SIN(ΦMercurio)</f>
        <v>-81290503343.925873</v>
      </c>
    </row>
    <row r="206" spans="1:16" x14ac:dyDescent="0.4">
      <c r="A206" s="14">
        <v>0.193</v>
      </c>
      <c r="B206" s="44">
        <f t="shared" si="45"/>
        <v>1.2126547642856602</v>
      </c>
      <c r="C206" s="40">
        <f t="shared" si="46"/>
        <v>6.7255993609835602E-12</v>
      </c>
      <c r="D206" s="15">
        <f t="shared" si="47"/>
        <v>148685633253.91995</v>
      </c>
      <c r="E206" s="15">
        <f t="shared" si="48"/>
        <v>52119417374.869675</v>
      </c>
      <c r="F206" s="29">
        <f t="shared" si="49"/>
        <v>139251512985.04199</v>
      </c>
      <c r="G206" s="17">
        <f t="shared" si="50"/>
        <v>5.0349425813140618</v>
      </c>
      <c r="H206" s="16">
        <f t="shared" si="51"/>
        <v>1.9206175621379882E-11</v>
      </c>
      <c r="I206" s="16">
        <f t="shared" si="52"/>
        <v>52066586274.82415</v>
      </c>
      <c r="J206" s="16">
        <f t="shared" si="53"/>
        <v>16504561191.775318</v>
      </c>
      <c r="K206" s="18">
        <f t="shared" si="54"/>
        <v>-49381462778.867241</v>
      </c>
      <c r="L206" s="17">
        <f t="shared" si="55"/>
        <v>4.6327796111894974</v>
      </c>
      <c r="M206" s="16">
        <f t="shared" si="56"/>
        <v>1.7735982131319519E-11</v>
      </c>
      <c r="N206" s="16">
        <f t="shared" si="57"/>
        <v>84573833515.043304</v>
      </c>
      <c r="O206" s="16">
        <f t="shared" ref="O206:O269" si="59">rMercurio*COS(ΦMercurio)</f>
        <v>26809017266.933636</v>
      </c>
      <c r="P206" s="18">
        <f t="shared" si="58"/>
        <v>-80212280285.574203</v>
      </c>
    </row>
    <row r="207" spans="1:16" x14ac:dyDescent="0.4">
      <c r="A207" s="14">
        <v>0.19400000000000001</v>
      </c>
      <c r="B207" s="44">
        <f t="shared" ref="B207:B270" si="60">A207*2*PI()</f>
        <v>1.2189379495928399</v>
      </c>
      <c r="C207" s="40">
        <f t="shared" si="46"/>
        <v>6.724941065180331E-12</v>
      </c>
      <c r="D207" s="15">
        <f t="shared" si="47"/>
        <v>148700187898.70016</v>
      </c>
      <c r="E207" s="15">
        <f t="shared" si="48"/>
        <v>51248467434.007965</v>
      </c>
      <c r="F207" s="29">
        <f t="shared" si="49"/>
        <v>139589901020.00272</v>
      </c>
      <c r="G207" s="17">
        <f t="shared" si="50"/>
        <v>5.0610303667094714</v>
      </c>
      <c r="H207" s="16">
        <f t="shared" si="51"/>
        <v>1.9297504953618841E-11</v>
      </c>
      <c r="I207" s="16">
        <f t="shared" si="52"/>
        <v>51820170659.547935</v>
      </c>
      <c r="J207" s="16">
        <f t="shared" si="53"/>
        <v>17702871308.476326</v>
      </c>
      <c r="K207" s="18">
        <f t="shared" si="54"/>
        <v>-48702550596.659698</v>
      </c>
      <c r="L207" s="17">
        <f t="shared" si="55"/>
        <v>4.6567836506257123</v>
      </c>
      <c r="M207" s="16">
        <f t="shared" si="56"/>
        <v>1.7824778602446783E-11</v>
      </c>
      <c r="N207" s="16">
        <f t="shared" si="57"/>
        <v>84152517877.226089</v>
      </c>
      <c r="O207" s="16">
        <f t="shared" si="59"/>
        <v>28748288075.934769</v>
      </c>
      <c r="P207" s="18">
        <f t="shared" si="58"/>
        <v>-79089709809.68335</v>
      </c>
    </row>
    <row r="208" spans="1:16" x14ac:dyDescent="0.4">
      <c r="A208" s="14">
        <v>0.19500000000000001</v>
      </c>
      <c r="B208" s="44">
        <f t="shared" si="60"/>
        <v>1.2252211349000193</v>
      </c>
      <c r="C208" s="40">
        <f t="shared" si="46"/>
        <v>6.7242812490729923E-12</v>
      </c>
      <c r="D208" s="15">
        <f t="shared" si="47"/>
        <v>148714779016.39819</v>
      </c>
      <c r="E208" s="15">
        <f t="shared" si="48"/>
        <v>50375334953.752838</v>
      </c>
      <c r="F208" s="29">
        <f t="shared" si="49"/>
        <v>139922875635.80646</v>
      </c>
      <c r="G208" s="17">
        <f t="shared" si="50"/>
        <v>5.0871181521048801</v>
      </c>
      <c r="H208" s="16">
        <f t="shared" si="51"/>
        <v>1.9387972280918736E-11</v>
      </c>
      <c r="I208" s="16">
        <f t="shared" si="52"/>
        <v>51578369594.853424</v>
      </c>
      <c r="J208" s="16">
        <f t="shared" si="53"/>
        <v>18878741034.620483</v>
      </c>
      <c r="K208" s="18">
        <f t="shared" si="54"/>
        <v>-47999180691.039268</v>
      </c>
      <c r="L208" s="17">
        <f t="shared" si="55"/>
        <v>4.6807876900619263</v>
      </c>
      <c r="M208" s="16">
        <f t="shared" si="56"/>
        <v>1.7913693802213147E-11</v>
      </c>
      <c r="N208" s="16">
        <f t="shared" si="57"/>
        <v>83734824127.376938</v>
      </c>
      <c r="O208" s="16">
        <f t="shared" si="59"/>
        <v>30648662854.166214</v>
      </c>
      <c r="P208" s="18">
        <f t="shared" si="58"/>
        <v>-77924195452.339432</v>
      </c>
    </row>
    <row r="209" spans="1:16" x14ac:dyDescent="0.4">
      <c r="A209" s="14">
        <v>0.19600000000000001</v>
      </c>
      <c r="B209" s="44">
        <f t="shared" si="60"/>
        <v>1.2315043202071989</v>
      </c>
      <c r="C209" s="40">
        <f t="shared" si="46"/>
        <v>6.7236199387099552E-12</v>
      </c>
      <c r="D209" s="15">
        <f t="shared" si="47"/>
        <v>148729406051.4473</v>
      </c>
      <c r="E209" s="15">
        <f t="shared" si="48"/>
        <v>49500053179.217026</v>
      </c>
      <c r="F209" s="29">
        <f t="shared" si="49"/>
        <v>140250422315.48172</v>
      </c>
      <c r="G209" s="17">
        <f t="shared" si="50"/>
        <v>5.1132059375002896</v>
      </c>
      <c r="H209" s="16">
        <f t="shared" si="51"/>
        <v>1.9477516037192019E-11</v>
      </c>
      <c r="I209" s="16">
        <f t="shared" si="52"/>
        <v>51341248960.622871</v>
      </c>
      <c r="J209" s="16">
        <f t="shared" si="53"/>
        <v>20031849998.752235</v>
      </c>
      <c r="K209" s="18">
        <f t="shared" si="54"/>
        <v>-47272072415.583275</v>
      </c>
      <c r="L209" s="17">
        <f t="shared" si="55"/>
        <v>4.7047917294981412</v>
      </c>
      <c r="M209" s="16">
        <f t="shared" si="56"/>
        <v>1.800267650068201E-11</v>
      </c>
      <c r="N209" s="16">
        <f t="shared" si="57"/>
        <v>83320943968.702332</v>
      </c>
      <c r="O209" s="16">
        <f t="shared" si="59"/>
        <v>32509389333.625504</v>
      </c>
      <c r="P209" s="18">
        <f t="shared" si="58"/>
        <v>-76717138300.319763</v>
      </c>
    </row>
    <row r="210" spans="1:16" x14ac:dyDescent="0.4">
      <c r="A210" s="14">
        <v>0.19700000000000001</v>
      </c>
      <c r="B210" s="44">
        <f t="shared" si="60"/>
        <v>1.2377875055143785</v>
      </c>
      <c r="C210" s="40">
        <f t="shared" si="46"/>
        <v>6.722957160198623E-12</v>
      </c>
      <c r="D210" s="15">
        <f t="shared" si="47"/>
        <v>148744068446.57864</v>
      </c>
      <c r="E210" s="15">
        <f t="shared" si="48"/>
        <v>48622655457.361992</v>
      </c>
      <c r="F210" s="29">
        <f t="shared" si="49"/>
        <v>140572526740.879</v>
      </c>
      <c r="G210" s="17">
        <f t="shared" si="50"/>
        <v>5.1392937228957001</v>
      </c>
      <c r="H210" s="16">
        <f t="shared" si="51"/>
        <v>1.9566075284872595E-11</v>
      </c>
      <c r="I210" s="16">
        <f t="shared" si="52"/>
        <v>51108870094.818893</v>
      </c>
      <c r="J210" s="16">
        <f t="shared" si="53"/>
        <v>21161899916.604473</v>
      </c>
      <c r="K210" s="18">
        <f t="shared" si="54"/>
        <v>-46521936699.6763</v>
      </c>
      <c r="L210" s="17">
        <f t="shared" si="55"/>
        <v>4.7287957689343569</v>
      </c>
      <c r="M210" s="16">
        <f t="shared" si="56"/>
        <v>1.8091675429026288E-11</v>
      </c>
      <c r="N210" s="16">
        <f t="shared" si="57"/>
        <v>82911060718.754639</v>
      </c>
      <c r="O210" s="16">
        <f t="shared" si="59"/>
        <v>34329766352.781654</v>
      </c>
      <c r="P210" s="18">
        <f t="shared" si="58"/>
        <v>-75469935283.346039</v>
      </c>
    </row>
    <row r="211" spans="1:16" x14ac:dyDescent="0.4">
      <c r="A211" s="14">
        <v>0.19800000000000001</v>
      </c>
      <c r="B211" s="44">
        <f t="shared" si="60"/>
        <v>1.2440706908215582</v>
      </c>
      <c r="C211" s="40">
        <f t="shared" si="46"/>
        <v>6.7222929397043528E-12</v>
      </c>
      <c r="D211" s="15">
        <f t="shared" si="47"/>
        <v>148758765642.84033</v>
      </c>
      <c r="E211" s="15">
        <f t="shared" si="48"/>
        <v>47743175235.877861</v>
      </c>
      <c r="F211" s="29">
        <f t="shared" si="49"/>
        <v>140889174793.44449</v>
      </c>
      <c r="G211" s="17">
        <f t="shared" si="50"/>
        <v>5.1653815082911096</v>
      </c>
      <c r="H211" s="16">
        <f t="shared" si="51"/>
        <v>1.9653589756385864E-11</v>
      </c>
      <c r="I211" s="16">
        <f t="shared" si="52"/>
        <v>50881290003.271744</v>
      </c>
      <c r="J211" s="16">
        <f t="shared" si="53"/>
        <v>22268613570.911621</v>
      </c>
      <c r="K211" s="18">
        <f t="shared" si="54"/>
        <v>-45749475647.557442</v>
      </c>
      <c r="L211" s="17">
        <f t="shared" si="55"/>
        <v>4.7527998083705718</v>
      </c>
      <c r="M211" s="16">
        <f t="shared" si="56"/>
        <v>1.8180639309067789E-11</v>
      </c>
      <c r="N211" s="16">
        <f t="shared" si="57"/>
        <v>82505349481.95462</v>
      </c>
      <c r="O211" s="16">
        <f t="shared" si="59"/>
        <v>36109142378.829643</v>
      </c>
      <c r="P211" s="18">
        <f t="shared" si="58"/>
        <v>-74183977581.448669</v>
      </c>
    </row>
    <row r="212" spans="1:16" x14ac:dyDescent="0.4">
      <c r="A212" s="14">
        <v>0.19900000000000001</v>
      </c>
      <c r="B212" s="44">
        <f t="shared" si="60"/>
        <v>1.2503538761287378</v>
      </c>
      <c r="C212" s="40">
        <f t="shared" si="46"/>
        <v>6.7216273034494348E-12</v>
      </c>
      <c r="D212" s="15">
        <f t="shared" si="47"/>
        <v>148773497079.61575</v>
      </c>
      <c r="E212" s="15">
        <f t="shared" si="48"/>
        <v>46861646062.056801</v>
      </c>
      <c r="F212" s="29">
        <f t="shared" si="49"/>
        <v>141200352554.98816</v>
      </c>
      <c r="G212" s="17">
        <f t="shared" si="50"/>
        <v>5.1914692936865192</v>
      </c>
      <c r="H212" s="16">
        <f t="shared" si="51"/>
        <v>1.9739999895162894E-11</v>
      </c>
      <c r="I212" s="16">
        <f t="shared" si="52"/>
        <v>50658561565.901566</v>
      </c>
      <c r="J212" s="16">
        <f t="shared" si="53"/>
        <v>23351733808.557755</v>
      </c>
      <c r="K212" s="18">
        <f t="shared" si="54"/>
        <v>-44955382192.352676</v>
      </c>
      <c r="L212" s="17">
        <f t="shared" si="55"/>
        <v>4.7768038478067867</v>
      </c>
      <c r="M212" s="16">
        <f t="shared" si="56"/>
        <v>1.826951688282197E-11</v>
      </c>
      <c r="N212" s="16">
        <f t="shared" si="57"/>
        <v>82103977331.244293</v>
      </c>
      <c r="O212" s="16">
        <f t="shared" si="59"/>
        <v>37846914006.212074</v>
      </c>
      <c r="P212" s="18">
        <f t="shared" si="58"/>
        <v>-72860649144.897583</v>
      </c>
    </row>
    <row r="213" spans="1:16" x14ac:dyDescent="0.4">
      <c r="A213" s="14">
        <v>0.2</v>
      </c>
      <c r="B213" s="44">
        <f t="shared" si="60"/>
        <v>1.2566370614359172</v>
      </c>
      <c r="C213" s="40">
        <f t="shared" si="46"/>
        <v>6.7209602777120472E-12</v>
      </c>
      <c r="D213" s="15">
        <f t="shared" si="47"/>
        <v>148788262194.64288</v>
      </c>
      <c r="E213" s="15">
        <f t="shared" si="48"/>
        <v>45978101581.660164</v>
      </c>
      <c r="F213" s="29">
        <f t="shared" si="49"/>
        <v>141506046308.44696</v>
      </c>
      <c r="G213" s="17">
        <f t="shared" si="50"/>
        <v>5.2175570790819288</v>
      </c>
      <c r="H213" s="16">
        <f t="shared" si="51"/>
        <v>1.9825246896170678E-11</v>
      </c>
      <c r="I213" s="16">
        <f t="shared" si="52"/>
        <v>50440733739.016075</v>
      </c>
      <c r="J213" s="16">
        <f t="shared" si="53"/>
        <v>24411022556.81052</v>
      </c>
      <c r="K213" s="18">
        <f t="shared" si="54"/>
        <v>-44140339802.285194</v>
      </c>
      <c r="L213" s="17">
        <f t="shared" si="55"/>
        <v>4.8008078872430024</v>
      </c>
      <c r="M213" s="16">
        <f t="shared" si="56"/>
        <v>1.8358256942031064E-11</v>
      </c>
      <c r="N213" s="16">
        <f t="shared" si="57"/>
        <v>81707103497.705353</v>
      </c>
      <c r="O213" s="16">
        <f t="shared" si="59"/>
        <v>39542524437.770874</v>
      </c>
      <c r="P213" s="18">
        <f t="shared" si="58"/>
        <v>-71501325323.891922</v>
      </c>
    </row>
    <row r="214" spans="1:16" x14ac:dyDescent="0.4">
      <c r="A214" s="14">
        <v>0.20100000000000001</v>
      </c>
      <c r="B214" s="44">
        <f t="shared" si="60"/>
        <v>1.2629202467430969</v>
      </c>
      <c r="C214" s="40">
        <f t="shared" si="46"/>
        <v>6.7202918888252246E-12</v>
      </c>
      <c r="D214" s="15">
        <f t="shared" si="47"/>
        <v>148803060424.03317</v>
      </c>
      <c r="E214" s="15">
        <f t="shared" si="48"/>
        <v>45092575537.778854</v>
      </c>
      <c r="F214" s="29">
        <f t="shared" si="49"/>
        <v>141806242538.64206</v>
      </c>
      <c r="G214" s="17">
        <f t="shared" si="50"/>
        <v>5.2436448644773384</v>
      </c>
      <c r="H214" s="16">
        <f t="shared" si="51"/>
        <v>1.9909272745930935E-11</v>
      </c>
      <c r="I214" s="16">
        <f t="shared" si="52"/>
        <v>50227851753.368561</v>
      </c>
      <c r="J214" s="16">
        <f t="shared" si="53"/>
        <v>25446259860.172382</v>
      </c>
      <c r="K214" s="18">
        <f t="shared" si="54"/>
        <v>-43305022236.305908</v>
      </c>
      <c r="L214" s="17">
        <f t="shared" si="55"/>
        <v>4.8248119266792173</v>
      </c>
      <c r="M214" s="16">
        <f t="shared" si="56"/>
        <v>1.8446808357668532E-11</v>
      </c>
      <c r="N214" s="16">
        <f t="shared" si="57"/>
        <v>81314879567.035461</v>
      </c>
      <c r="O214" s="16">
        <f t="shared" si="59"/>
        <v>41195461954.48497</v>
      </c>
      <c r="P214" s="18">
        <f t="shared" si="58"/>
        <v>-70107371604.975052</v>
      </c>
    </row>
    <row r="215" spans="1:16" x14ac:dyDescent="0.4">
      <c r="A215" s="14">
        <v>0.20200000000000001</v>
      </c>
      <c r="B215" s="44">
        <f t="shared" si="60"/>
        <v>1.2692034320502765</v>
      </c>
      <c r="C215" s="40">
        <f t="shared" si="46"/>
        <v>6.7196221631758155E-12</v>
      </c>
      <c r="D215" s="15">
        <f t="shared" si="47"/>
        <v>148817891202.29074</v>
      </c>
      <c r="E215" s="15">
        <f t="shared" si="48"/>
        <v>44205101769.687546</v>
      </c>
      <c r="F215" s="29">
        <f t="shared" si="49"/>
        <v>142100927933.03079</v>
      </c>
      <c r="G215" s="17">
        <f t="shared" si="50"/>
        <v>5.2697326498727479</v>
      </c>
      <c r="H215" s="16">
        <f t="shared" si="51"/>
        <v>1.9992020262000269E-11</v>
      </c>
      <c r="I215" s="16">
        <f t="shared" si="52"/>
        <v>50019957307.703659</v>
      </c>
      <c r="J215" s="16">
        <f t="shared" si="53"/>
        <v>26457242939.174683</v>
      </c>
      <c r="K215" s="18">
        <f t="shared" si="54"/>
        <v>-42450093346.446106</v>
      </c>
      <c r="L215" s="17">
        <f t="shared" si="55"/>
        <v>4.8488159661154322</v>
      </c>
      <c r="M215" s="16">
        <f t="shared" si="56"/>
        <v>1.8535120109397901E-11</v>
      </c>
      <c r="N215" s="16">
        <f t="shared" si="57"/>
        <v>80927449681.831406</v>
      </c>
      <c r="O215" s="16">
        <f t="shared" si="59"/>
        <v>42805258379.344742</v>
      </c>
      <c r="P215" s="18">
        <f t="shared" si="58"/>
        <v>-68680142450.950775</v>
      </c>
    </row>
    <row r="216" spans="1:16" x14ac:dyDescent="0.4">
      <c r="A216" s="14">
        <v>0.20300000000000001</v>
      </c>
      <c r="B216" s="44">
        <f t="shared" si="60"/>
        <v>1.2754866173574562</v>
      </c>
      <c r="C216" s="40">
        <f t="shared" si="46"/>
        <v>6.7189511272034428E-12</v>
      </c>
      <c r="D216" s="15">
        <f t="shared" si="47"/>
        <v>148832753962.33151</v>
      </c>
      <c r="E216" s="15">
        <f t="shared" si="48"/>
        <v>43315714211.69223</v>
      </c>
      <c r="F216" s="29">
        <f t="shared" si="49"/>
        <v>142390089382.45285</v>
      </c>
      <c r="G216" s="17">
        <f t="shared" si="50"/>
        <v>5.2958204352681584</v>
      </c>
      <c r="H216" s="16">
        <f t="shared" si="51"/>
        <v>2.0073433131884765E-11</v>
      </c>
      <c r="I216" s="16">
        <f t="shared" si="52"/>
        <v>49817088757.557564</v>
      </c>
      <c r="J216" s="16">
        <f t="shared" si="53"/>
        <v>27443785272.248978</v>
      </c>
      <c r="K216" s="18">
        <f t="shared" si="54"/>
        <v>-41576206924.262085</v>
      </c>
      <c r="L216" s="17">
        <f t="shared" si="55"/>
        <v>4.872820005551648</v>
      </c>
      <c r="M216" s="16">
        <f t="shared" si="56"/>
        <v>1.8623141314968951E-11</v>
      </c>
      <c r="N216" s="16">
        <f t="shared" si="57"/>
        <v>80544950748.68634</v>
      </c>
      <c r="O216" s="16">
        <f t="shared" si="59"/>
        <v>44371487540.517456</v>
      </c>
      <c r="P216" s="18">
        <f t="shared" si="58"/>
        <v>-67220980240.918922</v>
      </c>
    </row>
    <row r="217" spans="1:16" x14ac:dyDescent="0.4">
      <c r="A217" s="14">
        <v>0.20399999999999999</v>
      </c>
      <c r="B217" s="44">
        <f t="shared" si="60"/>
        <v>1.2817698026646356</v>
      </c>
      <c r="C217" s="40">
        <f t="shared" si="46"/>
        <v>6.7182788073994549E-12</v>
      </c>
      <c r="D217" s="15">
        <f t="shared" si="47"/>
        <v>148847648135.50287</v>
      </c>
      <c r="E217" s="15">
        <f t="shared" si="48"/>
        <v>42424446891.97155</v>
      </c>
      <c r="F217" s="29">
        <f t="shared" si="49"/>
        <v>142673713981.87106</v>
      </c>
      <c r="G217" s="17">
        <f t="shared" si="50"/>
        <v>5.3219082206635671</v>
      </c>
      <c r="H217" s="16">
        <f t="shared" si="51"/>
        <v>2.015345595136254E-11</v>
      </c>
      <c r="I217" s="16">
        <f t="shared" si="52"/>
        <v>49619281299.115936</v>
      </c>
      <c r="J217" s="16">
        <f t="shared" si="53"/>
        <v>28405715701.632698</v>
      </c>
      <c r="K217" s="18">
        <f t="shared" si="54"/>
        <v>-40684006588.815887</v>
      </c>
      <c r="L217" s="17">
        <f t="shared" si="55"/>
        <v>4.8968240449878619</v>
      </c>
      <c r="M217" s="16">
        <f t="shared" si="56"/>
        <v>1.8710821259534342E-11</v>
      </c>
      <c r="N217" s="16">
        <f t="shared" si="57"/>
        <v>80167512649.165817</v>
      </c>
      <c r="O217" s="16">
        <f t="shared" si="59"/>
        <v>45893763738.569511</v>
      </c>
      <c r="P217" s="18">
        <f t="shared" si="58"/>
        <v>-65731214306.922127</v>
      </c>
    </row>
    <row r="218" spans="1:16" x14ac:dyDescent="0.4">
      <c r="A218" s="14">
        <v>0.20499999999999999</v>
      </c>
      <c r="B218" s="44">
        <f t="shared" si="60"/>
        <v>1.288052987971815</v>
      </c>
      <c r="C218" s="40">
        <f t="shared" si="46"/>
        <v>6.7176052303058912E-12</v>
      </c>
      <c r="D218" s="15">
        <f t="shared" si="47"/>
        <v>148862573151.60275</v>
      </c>
      <c r="E218" s="15">
        <f t="shared" si="48"/>
        <v>41531333931.411362</v>
      </c>
      <c r="F218" s="29">
        <f t="shared" si="49"/>
        <v>142951789031.10614</v>
      </c>
      <c r="G218" s="17">
        <f t="shared" si="50"/>
        <v>5.3479960060589757</v>
      </c>
      <c r="H218" s="16">
        <f t="shared" si="51"/>
        <v>2.0232034262188206E-11</v>
      </c>
      <c r="I218" s="16">
        <f t="shared" si="52"/>
        <v>49426567147.966293</v>
      </c>
      <c r="J218" s="16">
        <f t="shared" si="53"/>
        <v>29342877564.103149</v>
      </c>
      <c r="K218" s="18">
        <f t="shared" si="54"/>
        <v>-39774125713.715858</v>
      </c>
      <c r="L218" s="17">
        <f t="shared" si="55"/>
        <v>4.9208280844240759</v>
      </c>
      <c r="M218" s="16">
        <f t="shared" si="56"/>
        <v>1.8798109424869821E-11</v>
      </c>
      <c r="N218" s="16">
        <f t="shared" si="57"/>
        <v>79795258453.783981</v>
      </c>
      <c r="O218" s="16">
        <f t="shared" si="59"/>
        <v>47371740222.134575</v>
      </c>
      <c r="P218" s="18">
        <f t="shared" si="58"/>
        <v>-64212160063.595284</v>
      </c>
    </row>
    <row r="219" spans="1:16" x14ac:dyDescent="0.4">
      <c r="A219" s="14">
        <v>0.20599999999999999</v>
      </c>
      <c r="B219" s="44">
        <f t="shared" si="60"/>
        <v>1.2943361732789946</v>
      </c>
      <c r="C219" s="40">
        <f t="shared" si="46"/>
        <v>6.7169304225144167E-12</v>
      </c>
      <c r="D219" s="15">
        <f t="shared" si="47"/>
        <v>148877528438.8996</v>
      </c>
      <c r="E219" s="15">
        <f t="shared" si="48"/>
        <v>40636409542.433296</v>
      </c>
      <c r="F219" s="29">
        <f t="shared" si="49"/>
        <v>143224302035.56586</v>
      </c>
      <c r="G219" s="17">
        <f t="shared" si="50"/>
        <v>5.3740837914543862</v>
      </c>
      <c r="H219" s="16">
        <f t="shared" si="51"/>
        <v>2.030911458915356E-11</v>
      </c>
      <c r="I219" s="16">
        <f t="shared" si="52"/>
        <v>49238975712.612679</v>
      </c>
      <c r="J219" s="16">
        <f t="shared" si="53"/>
        <v>30255127847.181683</v>
      </c>
      <c r="K219" s="18">
        <f t="shared" si="54"/>
        <v>-38847187390.826027</v>
      </c>
      <c r="L219" s="17">
        <f t="shared" si="55"/>
        <v>4.9448321238602917</v>
      </c>
      <c r="M219" s="16">
        <f t="shared" si="56"/>
        <v>1.8884955518481094E-11</v>
      </c>
      <c r="N219" s="16">
        <f t="shared" si="57"/>
        <v>79428304638.159088</v>
      </c>
      <c r="O219" s="16">
        <f t="shared" si="59"/>
        <v>48805107676.04847</v>
      </c>
      <c r="P219" s="18">
        <f t="shared" si="58"/>
        <v>-62665118227.140686</v>
      </c>
    </row>
    <row r="220" spans="1:16" x14ac:dyDescent="0.4">
      <c r="A220" s="14">
        <v>0.20699999999999999</v>
      </c>
      <c r="B220" s="44">
        <f t="shared" si="60"/>
        <v>1.3006193585861743</v>
      </c>
      <c r="C220" s="40">
        <f t="shared" si="46"/>
        <v>6.7162544106652911E-12</v>
      </c>
      <c r="D220" s="15">
        <f t="shared" si="47"/>
        <v>148892513424.1517</v>
      </c>
      <c r="E220" s="15">
        <f t="shared" si="48"/>
        <v>39739708027.816833</v>
      </c>
      <c r="F220" s="29">
        <f t="shared" si="49"/>
        <v>143491240706.96814</v>
      </c>
      <c r="G220" s="17">
        <f t="shared" si="50"/>
        <v>5.4001715768497958</v>
      </c>
      <c r="H220" s="16">
        <f t="shared" si="51"/>
        <v>2.0384644476479266E-11</v>
      </c>
      <c r="I220" s="16">
        <f t="shared" si="52"/>
        <v>49056533762.648926</v>
      </c>
      <c r="J220" s="16">
        <f t="shared" si="53"/>
        <v>31142336371.313396</v>
      </c>
      <c r="K220" s="18">
        <f t="shared" si="54"/>
        <v>-37903804428.3405</v>
      </c>
      <c r="L220" s="17">
        <f t="shared" si="55"/>
        <v>4.9688361632965066</v>
      </c>
      <c r="M220" s="16">
        <f t="shared" si="56"/>
        <v>1.8971309502580665E-11</v>
      </c>
      <c r="N220" s="16">
        <f t="shared" si="57"/>
        <v>79066761300.581558</v>
      </c>
      <c r="O220" s="16">
        <f t="shared" si="59"/>
        <v>50193592725.620583</v>
      </c>
      <c r="P220" s="18">
        <f t="shared" si="58"/>
        <v>-61091374119.900673</v>
      </c>
    </row>
    <row r="221" spans="1:16" x14ac:dyDescent="0.4">
      <c r="A221" s="14">
        <v>0.20799999999999999</v>
      </c>
      <c r="B221" s="44">
        <f t="shared" si="60"/>
        <v>1.3069025438933539</v>
      </c>
      <c r="C221" s="40">
        <f t="shared" si="46"/>
        <v>6.7155772214463044E-12</v>
      </c>
      <c r="D221" s="15">
        <f t="shared" si="47"/>
        <v>148907527532.62726</v>
      </c>
      <c r="E221" s="15">
        <f t="shared" si="48"/>
        <v>38841263779.514801</v>
      </c>
      <c r="F221" s="29">
        <f t="shared" si="49"/>
        <v>143752592964.05856</v>
      </c>
      <c r="G221" s="17">
        <f t="shared" si="50"/>
        <v>5.4262593622452053</v>
      </c>
      <c r="H221" s="16">
        <f t="shared" si="51"/>
        <v>2.0458572523512796E-11</v>
      </c>
      <c r="I221" s="16">
        <f t="shared" si="52"/>
        <v>48879265591.512398</v>
      </c>
      <c r="J221" s="16">
        <f t="shared" si="53"/>
        <v>32004384998.401688</v>
      </c>
      <c r="K221" s="18">
        <f t="shared" si="54"/>
        <v>-36944579381.009186</v>
      </c>
      <c r="L221" s="17">
        <f t="shared" si="55"/>
        <v>4.9928402027327214</v>
      </c>
      <c r="M221" s="16">
        <f t="shared" si="56"/>
        <v>1.905712162291794E-11</v>
      </c>
      <c r="N221" s="16">
        <f t="shared" si="57"/>
        <v>78710732380.283081</v>
      </c>
      <c r="O221" s="16">
        <f t="shared" si="59"/>
        <v>51536956460.372162</v>
      </c>
      <c r="P221" s="18">
        <f t="shared" si="58"/>
        <v>-59492197056.775833</v>
      </c>
    </row>
    <row r="222" spans="1:16" x14ac:dyDescent="0.4">
      <c r="A222" s="14">
        <v>0.20899999999999999</v>
      </c>
      <c r="B222" s="44">
        <f t="shared" si="60"/>
        <v>1.3131857292005336</v>
      </c>
      <c r="C222" s="40">
        <f t="shared" si="46"/>
        <v>6.7148988815917257E-12</v>
      </c>
      <c r="D222" s="15">
        <f t="shared" si="47"/>
        <v>148922570188.12415</v>
      </c>
      <c r="E222" s="15">
        <f t="shared" si="48"/>
        <v>37941111277.462799</v>
      </c>
      <c r="F222" s="29">
        <f t="shared" si="49"/>
        <v>144008346933.32169</v>
      </c>
      <c r="G222" s="17">
        <f t="shared" si="50"/>
        <v>5.4523471476406158</v>
      </c>
      <c r="H222" s="16">
        <f t="shared" si="51"/>
        <v>2.0530848419708329E-11</v>
      </c>
      <c r="I222" s="16">
        <f t="shared" si="52"/>
        <v>48707193173.763954</v>
      </c>
      <c r="J222" s="16">
        <f t="shared" si="53"/>
        <v>32841166866.961563</v>
      </c>
      <c r="K222" s="18">
        <f t="shared" si="54"/>
        <v>-35970104610.394783</v>
      </c>
      <c r="L222" s="17">
        <f t="shared" si="55"/>
        <v>5.0168442421689372</v>
      </c>
      <c r="M222" s="16">
        <f t="shared" si="56"/>
        <v>1.914234243744592E-11</v>
      </c>
      <c r="N222" s="16">
        <f t="shared" si="57"/>
        <v>78360315875.748093</v>
      </c>
      <c r="O222" s="16">
        <f t="shared" si="59"/>
        <v>52834992980.245094</v>
      </c>
      <c r="P222" s="18">
        <f t="shared" si="58"/>
        <v>-57868839809.732407</v>
      </c>
    </row>
    <row r="223" spans="1:16" x14ac:dyDescent="0.4">
      <c r="A223" s="14">
        <v>0.21</v>
      </c>
      <c r="B223" s="44">
        <f t="shared" si="60"/>
        <v>1.319468914507713</v>
      </c>
      <c r="C223" s="40">
        <f t="shared" si="46"/>
        <v>6.7142194178812543E-12</v>
      </c>
      <c r="D223" s="15">
        <f t="shared" si="47"/>
        <v>148937640812.98984</v>
      </c>
      <c r="E223" s="15">
        <f t="shared" si="48"/>
        <v>37039285088.382141</v>
      </c>
      <c r="F223" s="29">
        <f t="shared" si="49"/>
        <v>144258490949.68631</v>
      </c>
      <c r="G223" s="17">
        <f t="shared" si="50"/>
        <v>5.4784349330360245</v>
      </c>
      <c r="H223" s="16">
        <f t="shared" si="51"/>
        <v>2.0601422978864775E-11</v>
      </c>
      <c r="I223" s="16">
        <f t="shared" si="52"/>
        <v>48540336316.860779</v>
      </c>
      <c r="J223" s="16">
        <f t="shared" si="53"/>
        <v>33652585654.053711</v>
      </c>
      <c r="K223" s="18">
        <f t="shared" si="54"/>
        <v>-34980962373.13279</v>
      </c>
      <c r="L223" s="17">
        <f t="shared" si="55"/>
        <v>5.0408482816051512</v>
      </c>
      <c r="M223" s="16">
        <f t="shared" si="56"/>
        <v>1.9226922844808059E-11</v>
      </c>
      <c r="N223" s="16">
        <f t="shared" si="57"/>
        <v>78015604062.459351</v>
      </c>
      <c r="O223" s="16">
        <f t="shared" si="59"/>
        <v>54087527966.976532</v>
      </c>
      <c r="P223" s="18">
        <f t="shared" si="58"/>
        <v>-56222538146.653923</v>
      </c>
    </row>
    <row r="224" spans="1:16" x14ac:dyDescent="0.4">
      <c r="A224" s="14">
        <v>0.21099999999999999</v>
      </c>
      <c r="B224" s="44">
        <f t="shared" si="60"/>
        <v>1.3257520998148926</v>
      </c>
      <c r="C224" s="40">
        <f t="shared" si="46"/>
        <v>6.7135388571389486E-12</v>
      </c>
      <c r="D224" s="15">
        <f t="shared" si="47"/>
        <v>148952738828.14188</v>
      </c>
      <c r="E224" s="15">
        <f t="shared" si="48"/>
        <v>36135819864.576454</v>
      </c>
      <c r="F224" s="29">
        <f t="shared" si="49"/>
        <v>144503013557.22491</v>
      </c>
      <c r="G224" s="17">
        <f t="shared" si="50"/>
        <v>5.504522718431434</v>
      </c>
      <c r="H224" s="16">
        <f t="shared" si="51"/>
        <v>2.0670248172598653E-11</v>
      </c>
      <c r="I224" s="16">
        <f t="shared" si="52"/>
        <v>48378712807.40799</v>
      </c>
      <c r="J224" s="16">
        <f t="shared" si="53"/>
        <v>34438554864.068733</v>
      </c>
      <c r="K224" s="18">
        <f t="shared" si="54"/>
        <v>-33977724935.260006</v>
      </c>
      <c r="L224" s="17">
        <f t="shared" si="55"/>
        <v>5.0648523210413661</v>
      </c>
      <c r="M224" s="16">
        <f t="shared" si="56"/>
        <v>1.9310814112628803E-11</v>
      </c>
      <c r="N224" s="16">
        <f t="shared" si="57"/>
        <v>77676683709.519867</v>
      </c>
      <c r="O224" s="16">
        <f t="shared" si="59"/>
        <v>55294417283.040932</v>
      </c>
      <c r="P224" s="18">
        <f t="shared" si="58"/>
        <v>-54554510440.821793</v>
      </c>
    </row>
    <row r="225" spans="1:16" x14ac:dyDescent="0.4">
      <c r="A225" s="14">
        <v>0.21199999999999999</v>
      </c>
      <c r="B225" s="44">
        <f t="shared" si="60"/>
        <v>1.3320352851220723</v>
      </c>
      <c r="C225" s="40">
        <f t="shared" si="46"/>
        <v>6.7128572262321866E-12</v>
      </c>
      <c r="D225" s="15">
        <f t="shared" si="47"/>
        <v>148967863653.08755</v>
      </c>
      <c r="E225" s="15">
        <f t="shared" si="48"/>
        <v>35230750342.722191</v>
      </c>
      <c r="F225" s="29">
        <f t="shared" si="49"/>
        <v>144741903509.84631</v>
      </c>
      <c r="G225" s="17">
        <f t="shared" si="50"/>
        <v>5.5306105038268445</v>
      </c>
      <c r="H225" s="16">
        <f t="shared" si="51"/>
        <v>2.0737277163029065E-11</v>
      </c>
      <c r="I225" s="16">
        <f t="shared" si="52"/>
        <v>48222338551.891708</v>
      </c>
      <c r="J225" s="16">
        <f t="shared" si="53"/>
        <v>35198997144.346657</v>
      </c>
      <c r="K225" s="18">
        <f t="shared" si="54"/>
        <v>-32960954710.77161</v>
      </c>
      <c r="L225" s="17">
        <f t="shared" si="55"/>
        <v>5.0888563604775818</v>
      </c>
      <c r="M225" s="16">
        <f t="shared" si="56"/>
        <v>1.9393967905591541E-11</v>
      </c>
      <c r="N225" s="16">
        <f t="shared" si="57"/>
        <v>77343636294.64035</v>
      </c>
      <c r="O225" s="16">
        <f t="shared" si="59"/>
        <v>56455545600.279373</v>
      </c>
      <c r="P225" s="18">
        <f t="shared" si="58"/>
        <v>-52865957347.355255</v>
      </c>
    </row>
    <row r="226" spans="1:16" x14ac:dyDescent="0.4">
      <c r="A226" s="14">
        <v>0.21299999999999999</v>
      </c>
      <c r="B226" s="44">
        <f t="shared" si="60"/>
        <v>1.3383184704292519</v>
      </c>
      <c r="C226" s="40">
        <f t="shared" si="46"/>
        <v>6.712174552070586E-12</v>
      </c>
      <c r="D226" s="15">
        <f t="shared" si="47"/>
        <v>148983014705.9447</v>
      </c>
      <c r="E226" s="15">
        <f t="shared" si="48"/>
        <v>34324111342.652668</v>
      </c>
      <c r="F226" s="29">
        <f t="shared" si="49"/>
        <v>144975149771.98303</v>
      </c>
      <c r="G226" s="17">
        <f t="shared" si="50"/>
        <v>5.5566982892222541</v>
      </c>
      <c r="H226" s="16">
        <f t="shared" si="51"/>
        <v>2.0802464334652408E-11</v>
      </c>
      <c r="I226" s="16">
        <f t="shared" si="52"/>
        <v>48071227711.911812</v>
      </c>
      <c r="J226" s="16">
        <f t="shared" si="53"/>
        <v>35933843627.545876</v>
      </c>
      <c r="K226" s="18">
        <f t="shared" si="54"/>
        <v>-31931204422.657772</v>
      </c>
      <c r="L226" s="17">
        <f t="shared" si="55"/>
        <v>5.1128603999137967</v>
      </c>
      <c r="M226" s="16">
        <f t="shared" si="56"/>
        <v>1.9476336313287773E-11</v>
      </c>
      <c r="N226" s="16">
        <f t="shared" si="57"/>
        <v>77016538217.027069</v>
      </c>
      <c r="O226" s="16">
        <f t="shared" si="59"/>
        <v>57570825060.076187</v>
      </c>
      <c r="P226" s="18">
        <f t="shared" si="58"/>
        <v>-51158061542.995308</v>
      </c>
    </row>
    <row r="227" spans="1:16" x14ac:dyDescent="0.4">
      <c r="A227" s="14">
        <v>0.214</v>
      </c>
      <c r="B227" s="44">
        <f t="shared" si="60"/>
        <v>1.3446016557364315</v>
      </c>
      <c r="C227" s="40">
        <f t="shared" si="46"/>
        <v>6.7114908616049552E-12</v>
      </c>
      <c r="D227" s="15">
        <f t="shared" si="47"/>
        <v>148998191403.46182</v>
      </c>
      <c r="E227" s="15">
        <f t="shared" si="48"/>
        <v>33415937766.135925</v>
      </c>
      <c r="F227" s="29">
        <f t="shared" si="49"/>
        <v>145202741519.27151</v>
      </c>
      <c r="G227" s="17">
        <f t="shared" si="50"/>
        <v>5.5827860746176636</v>
      </c>
      <c r="H227" s="16">
        <f t="shared" si="51"/>
        <v>2.0865765325385332E-11</v>
      </c>
      <c r="I227" s="16">
        <f t="shared" si="52"/>
        <v>47925392833.944984</v>
      </c>
      <c r="J227" s="16">
        <f t="shared" si="53"/>
        <v>36643033300.609459</v>
      </c>
      <c r="K227" s="18">
        <f t="shared" si="54"/>
        <v>-30889017284.762745</v>
      </c>
      <c r="L227" s="17">
        <f t="shared" si="55"/>
        <v>5.1368644393500116</v>
      </c>
      <c r="M227" s="16">
        <f t="shared" si="56"/>
        <v>1.9557871877821476E-11</v>
      </c>
      <c r="N227" s="16">
        <f t="shared" si="57"/>
        <v>76695461007.748611</v>
      </c>
      <c r="O227" s="16">
        <f t="shared" si="59"/>
        <v>58640193966.69371</v>
      </c>
      <c r="P227" s="18">
        <f t="shared" si="58"/>
        <v>-49431987525.686508</v>
      </c>
    </row>
    <row r="228" spans="1:16" x14ac:dyDescent="0.4">
      <c r="A228" s="14">
        <v>0.215</v>
      </c>
      <c r="B228" s="44">
        <f t="shared" si="60"/>
        <v>1.350884841043611</v>
      </c>
      <c r="C228" s="40">
        <f t="shared" si="46"/>
        <v>6.7108061818262252E-12</v>
      </c>
      <c r="D228" s="15">
        <f t="shared" si="47"/>
        <v>149013393161.03867</v>
      </c>
      <c r="E228" s="15">
        <f t="shared" si="48"/>
        <v>32506264595.646381</v>
      </c>
      <c r="F228" s="29">
        <f t="shared" si="49"/>
        <v>145424668139.22632</v>
      </c>
      <c r="G228" s="17">
        <f t="shared" si="50"/>
        <v>5.6088738600130732</v>
      </c>
      <c r="H228" s="16">
        <f t="shared" si="51"/>
        <v>2.0927137056754607E-11</v>
      </c>
      <c r="I228" s="16">
        <f t="shared" si="52"/>
        <v>47784844973.681297</v>
      </c>
      <c r="J228" s="16">
        <f t="shared" si="53"/>
        <v>37326512400.121346</v>
      </c>
      <c r="K228" s="18">
        <f t="shared" si="54"/>
        <v>-29834927202.899994</v>
      </c>
      <c r="L228" s="17">
        <f t="shared" si="55"/>
        <v>5.1608684787862273</v>
      </c>
      <c r="M228" s="16">
        <f t="shared" si="56"/>
        <v>1.9638527621152756E-11</v>
      </c>
      <c r="N228" s="16">
        <f t="shared" si="57"/>
        <v>76380471537.201324</v>
      </c>
      <c r="O228" s="16">
        <f t="shared" si="59"/>
        <v>59663615515.143547</v>
      </c>
      <c r="P228" s="18">
        <f t="shared" si="58"/>
        <v>-47688881470.488937</v>
      </c>
    </row>
    <row r="229" spans="1:16" x14ac:dyDescent="0.4">
      <c r="A229" s="14">
        <v>0.216</v>
      </c>
      <c r="B229" s="44">
        <f t="shared" si="60"/>
        <v>1.3571680263507906</v>
      </c>
      <c r="C229" s="40">
        <f t="shared" si="46"/>
        <v>6.7101205397643762E-12</v>
      </c>
      <c r="D229" s="15">
        <f t="shared" si="47"/>
        <v>149028619392.7471</v>
      </c>
      <c r="E229" s="15">
        <f t="shared" si="48"/>
        <v>31595126893.130192</v>
      </c>
      <c r="F229" s="29">
        <f t="shared" si="49"/>
        <v>145640919231.90845</v>
      </c>
      <c r="G229" s="17">
        <f t="shared" si="50"/>
        <v>5.6349616454084828</v>
      </c>
      <c r="H229" s="16">
        <f t="shared" si="51"/>
        <v>2.0986537763213499E-11</v>
      </c>
      <c r="I229" s="16">
        <f t="shared" si="52"/>
        <v>47649593814.986565</v>
      </c>
      <c r="J229" s="16">
        <f t="shared" si="53"/>
        <v>37984233833.796509</v>
      </c>
      <c r="K229" s="18">
        <f t="shared" si="54"/>
        <v>-28769458993.743256</v>
      </c>
      <c r="L229" s="17">
        <f t="shared" si="55"/>
        <v>5.1848725182224422</v>
      </c>
      <c r="M229" s="16">
        <f t="shared" si="56"/>
        <v>1.9718257072164981E-11</v>
      </c>
      <c r="N229" s="16">
        <f t="shared" si="57"/>
        <v>76071632219.333191</v>
      </c>
      <c r="O229" s="16">
        <f t="shared" si="59"/>
        <v>60641076554.757927</v>
      </c>
      <c r="P229" s="18">
        <f t="shared" si="58"/>
        <v>-45929871138.437569</v>
      </c>
    </row>
    <row r="230" spans="1:16" x14ac:dyDescent="0.4">
      <c r="A230" s="14">
        <v>0.217</v>
      </c>
      <c r="B230" s="44">
        <f t="shared" si="60"/>
        <v>1.3634512116579702</v>
      </c>
      <c r="C230" s="40">
        <f t="shared" si="46"/>
        <v>6.7094339624873874E-12</v>
      </c>
      <c r="D230" s="15">
        <f t="shared" si="47"/>
        <v>149043869511.35147</v>
      </c>
      <c r="E230" s="15">
        <f t="shared" si="48"/>
        <v>30682559798.764595</v>
      </c>
      <c r="F230" s="29">
        <f t="shared" si="49"/>
        <v>145851484610.58597</v>
      </c>
      <c r="G230" s="17">
        <f t="shared" si="50"/>
        <v>5.6610494308038923</v>
      </c>
      <c r="H230" s="16">
        <f t="shared" si="51"/>
        <v>2.1043927020564638E-11</v>
      </c>
      <c r="I230" s="16">
        <f t="shared" si="52"/>
        <v>47519647783.551788</v>
      </c>
      <c r="J230" s="16">
        <f t="shared" si="53"/>
        <v>38616156627.808151</v>
      </c>
      <c r="K230" s="18">
        <f t="shared" si="54"/>
        <v>-27693128620.100101</v>
      </c>
      <c r="L230" s="17">
        <f t="shared" si="55"/>
        <v>5.2088765576586571</v>
      </c>
      <c r="M230" s="16">
        <f t="shared" si="56"/>
        <v>1.9797014293439896E-11</v>
      </c>
      <c r="N230" s="16">
        <f t="shared" si="57"/>
        <v>75769001212.321823</v>
      </c>
      <c r="O230" s="16">
        <f t="shared" si="59"/>
        <v>61572586389.421097</v>
      </c>
      <c r="P230" s="18">
        <f t="shared" si="58"/>
        <v>-44156065835.059433</v>
      </c>
    </row>
    <row r="231" spans="1:16" x14ac:dyDescent="0.4">
      <c r="A231" s="14">
        <v>0.218</v>
      </c>
      <c r="B231" s="44">
        <f t="shared" si="60"/>
        <v>1.3697343969651499</v>
      </c>
      <c r="C231" s="40">
        <f t="shared" si="46"/>
        <v>6.7087464771001514E-12</v>
      </c>
      <c r="D231" s="15">
        <f t="shared" si="47"/>
        <v>149059142928.32971</v>
      </c>
      <c r="E231" s="15">
        <f t="shared" si="48"/>
        <v>29768598529.710934</v>
      </c>
      <c r="F231" s="29">
        <f t="shared" si="49"/>
        <v>146056354302.38943</v>
      </c>
      <c r="G231" s="17">
        <f t="shared" si="50"/>
        <v>5.6871372161993028</v>
      </c>
      <c r="H231" s="16">
        <f t="shared" si="51"/>
        <v>2.1099265773470068E-11</v>
      </c>
      <c r="I231" s="16">
        <f t="shared" si="52"/>
        <v>47395014155.2976</v>
      </c>
      <c r="J231" s="16">
        <f t="shared" si="53"/>
        <v>39222245399.620483</v>
      </c>
      <c r="K231" s="18">
        <f t="shared" si="54"/>
        <v>-26606443441.257038</v>
      </c>
      <c r="L231" s="17">
        <f t="shared" si="55"/>
        <v>5.2328805970948729</v>
      </c>
      <c r="M231" s="16">
        <f t="shared" si="56"/>
        <v>1.9874753907725201E-11</v>
      </c>
      <c r="N231" s="16">
        <f t="shared" si="57"/>
        <v>75472632615.438766</v>
      </c>
      <c r="O231" s="16">
        <f t="shared" si="59"/>
        <v>62458175615.235291</v>
      </c>
      <c r="P231" s="18">
        <f t="shared" si="58"/>
        <v>-42368556415.358536</v>
      </c>
    </row>
    <row r="232" spans="1:16" x14ac:dyDescent="0.4">
      <c r="A232" s="14">
        <v>0.219</v>
      </c>
      <c r="B232" s="44">
        <f t="shared" si="60"/>
        <v>1.3760175822723293</v>
      </c>
      <c r="C232" s="40">
        <f t="shared" si="46"/>
        <v>6.7080581107434158E-12</v>
      </c>
      <c r="D232" s="15">
        <f t="shared" si="47"/>
        <v>149074439053.8942</v>
      </c>
      <c r="E232" s="15">
        <f t="shared" si="48"/>
        <v>28853278378.861629</v>
      </c>
      <c r="F232" s="29">
        <f t="shared" si="49"/>
        <v>146255518548.95984</v>
      </c>
      <c r="G232" s="17">
        <f t="shared" si="50"/>
        <v>5.7132250015947115</v>
      </c>
      <c r="H232" s="16">
        <f t="shared" si="51"/>
        <v>2.1152516362029707E-11</v>
      </c>
      <c r="I232" s="16">
        <f t="shared" si="52"/>
        <v>47275699159.607895</v>
      </c>
      <c r="J232" s="16">
        <f t="shared" si="53"/>
        <v>39802469855.967712</v>
      </c>
      <c r="K232" s="18">
        <f t="shared" si="54"/>
        <v>-25509902477.166245</v>
      </c>
      <c r="L232" s="17">
        <f t="shared" si="55"/>
        <v>5.2568846365310868</v>
      </c>
      <c r="M232" s="16">
        <f t="shared" si="56"/>
        <v>1.9951431124079372E-11</v>
      </c>
      <c r="N232" s="16">
        <f t="shared" si="57"/>
        <v>75182576661.864166</v>
      </c>
      <c r="O232" s="16">
        <f t="shared" si="59"/>
        <v>63297894996.221764</v>
      </c>
      <c r="P232" s="18">
        <f t="shared" si="58"/>
        <v>-40568415332.181343</v>
      </c>
    </row>
    <row r="233" spans="1:16" x14ac:dyDescent="0.4">
      <c r="A233" s="14">
        <v>0.22</v>
      </c>
      <c r="B233" s="44">
        <f t="shared" si="60"/>
        <v>1.3823007675795089</v>
      </c>
      <c r="C233" s="40">
        <f t="shared" si="46"/>
        <v>6.7073688905927052E-12</v>
      </c>
      <c r="D233" s="15">
        <f t="shared" si="47"/>
        <v>149089757297.01273</v>
      </c>
      <c r="E233" s="15">
        <f t="shared" si="48"/>
        <v>27936634713.580891</v>
      </c>
      <c r="F233" s="29">
        <f t="shared" si="49"/>
        <v>146448967807.09006</v>
      </c>
      <c r="G233" s="17">
        <f t="shared" si="50"/>
        <v>5.739312786990121</v>
      </c>
      <c r="H233" s="16">
        <f t="shared" si="51"/>
        <v>2.1203642547410216E-11</v>
      </c>
      <c r="I233" s="16">
        <f t="shared" si="52"/>
        <v>47161708077.470802</v>
      </c>
      <c r="J233" s="16">
        <f t="shared" si="53"/>
        <v>40356804315.597855</v>
      </c>
      <c r="K233" s="18">
        <f t="shared" si="54"/>
        <v>-24403996685.32016</v>
      </c>
      <c r="L233" s="17">
        <f t="shared" si="55"/>
        <v>5.2808886759673017</v>
      </c>
      <c r="M233" s="16">
        <f t="shared" si="56"/>
        <v>2.002700176367874E-11</v>
      </c>
      <c r="N233" s="16">
        <f t="shared" si="57"/>
        <v>74898879907.247101</v>
      </c>
      <c r="O233" s="16">
        <f t="shared" si="59"/>
        <v>64091814378.499413</v>
      </c>
      <c r="P233" s="18">
        <f t="shared" si="58"/>
        <v>-38756696724.981598</v>
      </c>
    </row>
    <row r="234" spans="1:16" x14ac:dyDescent="0.4">
      <c r="A234" s="14">
        <v>0.221</v>
      </c>
      <c r="B234" s="44">
        <f t="shared" si="60"/>
        <v>1.3885839528866886</v>
      </c>
      <c r="C234" s="40">
        <f t="shared" si="46"/>
        <v>6.7066788438572493E-12</v>
      </c>
      <c r="D234" s="15">
        <f t="shared" si="47"/>
        <v>149105097065.42984</v>
      </c>
      <c r="E234" s="15">
        <f t="shared" si="48"/>
        <v>27018702974.439655</v>
      </c>
      <c r="F234" s="29">
        <f t="shared" si="49"/>
        <v>146636692749.3602</v>
      </c>
      <c r="G234" s="17">
        <f t="shared" si="50"/>
        <v>5.7654005723855315</v>
      </c>
      <c r="H234" s="16">
        <f t="shared" si="51"/>
        <v>2.1252609536506742E-11</v>
      </c>
      <c r="I234" s="16">
        <f t="shared" si="52"/>
        <v>47053045334.609222</v>
      </c>
      <c r="J234" s="16">
        <f t="shared" si="53"/>
        <v>40885227256.382469</v>
      </c>
      <c r="K234" s="18">
        <f t="shared" si="54"/>
        <v>-23289209249.237095</v>
      </c>
      <c r="L234" s="17">
        <f t="shared" si="55"/>
        <v>5.3048927154035175</v>
      </c>
      <c r="M234" s="16">
        <f t="shared" si="56"/>
        <v>2.0101422285271798E-11</v>
      </c>
      <c r="N234" s="16">
        <f t="shared" si="57"/>
        <v>74621585413.836197</v>
      </c>
      <c r="O234" s="16">
        <f t="shared" si="59"/>
        <v>64840021643.236458</v>
      </c>
      <c r="P234" s="18">
        <f t="shared" si="58"/>
        <v>-36934436546.116127</v>
      </c>
    </row>
    <row r="235" spans="1:16" x14ac:dyDescent="0.4">
      <c r="A235" s="14">
        <v>0.222</v>
      </c>
      <c r="B235" s="44">
        <f t="shared" si="60"/>
        <v>1.3948671381938682</v>
      </c>
      <c r="C235" s="40">
        <f t="shared" si="46"/>
        <v>6.7059879977789153E-12</v>
      </c>
      <c r="D235" s="15">
        <f t="shared" si="47"/>
        <v>149120457765.68781</v>
      </c>
      <c r="E235" s="15">
        <f t="shared" si="48"/>
        <v>26099518673.944138</v>
      </c>
      <c r="F235" s="29">
        <f t="shared" si="49"/>
        <v>146818684264.76489</v>
      </c>
      <c r="G235" s="17">
        <f t="shared" si="50"/>
        <v>5.7914883577809411</v>
      </c>
      <c r="H235" s="16">
        <f t="shared" si="51"/>
        <v>2.1299384005620796E-11</v>
      </c>
      <c r="I235" s="16">
        <f t="shared" si="52"/>
        <v>46949714589.685097</v>
      </c>
      <c r="J235" s="16">
        <f t="shared" si="53"/>
        <v>41387720886.382454</v>
      </c>
      <c r="K235" s="18">
        <f t="shared" si="54"/>
        <v>-22166015877.54982</v>
      </c>
      <c r="L235" s="17">
        <f t="shared" si="55"/>
        <v>5.3288967548397324</v>
      </c>
      <c r="M235" s="16">
        <f t="shared" si="56"/>
        <v>2.0174649810266186E-11</v>
      </c>
      <c r="N235" s="16">
        <f t="shared" si="57"/>
        <v>74350732930.030914</v>
      </c>
      <c r="O235" s="16">
        <f t="shared" si="59"/>
        <v>65542621698.538506</v>
      </c>
      <c r="P235" s="18">
        <f t="shared" si="58"/>
        <v>-35102652721.910522</v>
      </c>
    </row>
    <row r="236" spans="1:16" x14ac:dyDescent="0.4">
      <c r="A236" s="14">
        <v>0.223</v>
      </c>
      <c r="B236" s="44">
        <f t="shared" si="60"/>
        <v>1.4011503235010478</v>
      </c>
      <c r="C236" s="40">
        <f t="shared" si="46"/>
        <v>6.7052963796311201E-12</v>
      </c>
      <c r="D236" s="15">
        <f t="shared" si="47"/>
        <v>149135838803.14819</v>
      </c>
      <c r="E236" s="15">
        <f t="shared" si="48"/>
        <v>25179117395.258503</v>
      </c>
      <c r="F236" s="29">
        <f t="shared" si="49"/>
        <v>146994933459.33524</v>
      </c>
      <c r="G236" s="17">
        <f t="shared" si="50"/>
        <v>5.8175761431763506</v>
      </c>
      <c r="H236" s="16">
        <f t="shared" si="51"/>
        <v>2.1343934123138174E-11</v>
      </c>
      <c r="I236" s="16">
        <f t="shared" si="52"/>
        <v>46851718817.663368</v>
      </c>
      <c r="J236" s="16">
        <f t="shared" si="53"/>
        <v>41864270738.452255</v>
      </c>
      <c r="K236" s="18">
        <f t="shared" si="54"/>
        <v>-21034885112.758808</v>
      </c>
      <c r="L236" s="17">
        <f t="shared" si="55"/>
        <v>5.3529007942759472</v>
      </c>
      <c r="M236" s="16">
        <f t="shared" si="56"/>
        <v>2.0246642147433943E-11</v>
      </c>
      <c r="N236" s="16">
        <f t="shared" si="57"/>
        <v>74086359065.229477</v>
      </c>
      <c r="O236" s="16">
        <f t="shared" si="59"/>
        <v>66199735510.314789</v>
      </c>
      <c r="P236" s="18">
        <f t="shared" si="58"/>
        <v>-33262345345.848316</v>
      </c>
    </row>
    <row r="237" spans="1:16" x14ac:dyDescent="0.4">
      <c r="A237" s="14">
        <v>0.224</v>
      </c>
      <c r="B237" s="44">
        <f t="shared" si="60"/>
        <v>1.4074335088082273</v>
      </c>
      <c r="C237" s="40">
        <f t="shared" si="46"/>
        <v>6.7046040167177647E-12</v>
      </c>
      <c r="D237" s="15">
        <f t="shared" si="47"/>
        <v>149151239582.01331</v>
      </c>
      <c r="E237" s="15">
        <f t="shared" si="48"/>
        <v>24257534790.921577</v>
      </c>
      <c r="F237" s="29">
        <f t="shared" si="49"/>
        <v>147165431656.75275</v>
      </c>
      <c r="G237" s="17">
        <f t="shared" si="50"/>
        <v>5.8436639285717602</v>
      </c>
      <c r="H237" s="16">
        <f t="shared" si="51"/>
        <v>2.1386229571191462E-11</v>
      </c>
      <c r="I237" s="16">
        <f t="shared" si="52"/>
        <v>46759060388.422096</v>
      </c>
      <c r="J237" s="16">
        <f t="shared" si="53"/>
        <v>42314865287.961487</v>
      </c>
      <c r="K237" s="18">
        <f t="shared" si="54"/>
        <v>-19896278648.776924</v>
      </c>
      <c r="L237" s="17">
        <f t="shared" si="55"/>
        <v>5.3769048337121621</v>
      </c>
      <c r="M237" s="16">
        <f t="shared" si="56"/>
        <v>2.0317357817220628E-11</v>
      </c>
      <c r="N237" s="16">
        <f t="shared" si="57"/>
        <v>73828497459.872803</v>
      </c>
      <c r="O237" s="16">
        <f t="shared" si="59"/>
        <v>66811499172.054825</v>
      </c>
      <c r="P237" s="18">
        <f t="shared" si="58"/>
        <v>-31414496901.350536</v>
      </c>
    </row>
    <row r="238" spans="1:16" x14ac:dyDescent="0.4">
      <c r="A238" s="14">
        <v>0.22500000000000001</v>
      </c>
      <c r="B238" s="44">
        <f t="shared" si="60"/>
        <v>1.4137166941154069</v>
      </c>
      <c r="C238" s="40">
        <f t="shared" si="46"/>
        <v>6.7039109363721526E-12</v>
      </c>
      <c r="D238" s="15">
        <f t="shared" si="47"/>
        <v>149166659505.34747</v>
      </c>
      <c r="E238" s="15">
        <f t="shared" si="48"/>
        <v>23334806581.557308</v>
      </c>
      <c r="F238" s="29">
        <f t="shared" si="49"/>
        <v>147330170398.95657</v>
      </c>
      <c r="G238" s="17">
        <f t="shared" si="50"/>
        <v>5.8697517139671698</v>
      </c>
      <c r="H238" s="16">
        <f t="shared" si="51"/>
        <v>2.1426241566292344E-11</v>
      </c>
      <c r="I238" s="16">
        <f t="shared" si="52"/>
        <v>46671741140.695206</v>
      </c>
      <c r="J238" s="16">
        <f t="shared" si="53"/>
        <v>42739495593.214569</v>
      </c>
      <c r="K238" s="18">
        <f t="shared" si="54"/>
        <v>-18750651656.453274</v>
      </c>
      <c r="L238" s="17">
        <f t="shared" si="55"/>
        <v>5.400908873148377</v>
      </c>
      <c r="M238" s="16">
        <f t="shared" si="56"/>
        <v>2.0386756075644438E-11</v>
      </c>
      <c r="N238" s="16">
        <f t="shared" si="57"/>
        <v>73577178950.603806</v>
      </c>
      <c r="O238" s="16">
        <f t="shared" si="59"/>
        <v>67378063013.349358</v>
      </c>
      <c r="P238" s="18">
        <f t="shared" si="58"/>
        <v>-29560072511.722622</v>
      </c>
    </row>
    <row r="239" spans="1:16" x14ac:dyDescent="0.4">
      <c r="A239" s="14">
        <v>0.22600000000000001</v>
      </c>
      <c r="B239" s="44">
        <f t="shared" si="60"/>
        <v>1.4199998794225865</v>
      </c>
      <c r="C239" s="40">
        <f t="shared" si="46"/>
        <v>6.7032171659559087E-12</v>
      </c>
      <c r="D239" s="15">
        <f t="shared" si="47"/>
        <v>149182097975.09903</v>
      </c>
      <c r="E239" s="15">
        <f t="shared" si="48"/>
        <v>22410968554.57975</v>
      </c>
      <c r="F239" s="29">
        <f t="shared" si="49"/>
        <v>147489141446.74408</v>
      </c>
      <c r="G239" s="17">
        <f t="shared" si="50"/>
        <v>5.8958394993625793</v>
      </c>
      <c r="H239" s="16">
        <f t="shared" si="51"/>
        <v>2.1463942878919771E-11</v>
      </c>
      <c r="I239" s="16">
        <f t="shared" si="52"/>
        <v>46589762451.433044</v>
      </c>
      <c r="J239" s="16">
        <f t="shared" si="53"/>
        <v>43138154958.152229</v>
      </c>
      <c r="K239" s="18">
        <f t="shared" si="54"/>
        <v>-17598453116.322651</v>
      </c>
      <c r="L239" s="17">
        <f t="shared" si="55"/>
        <v>5.4249129125845919</v>
      </c>
      <c r="M239" s="16">
        <f t="shared" si="56"/>
        <v>2.0454796937771546E-11</v>
      </c>
      <c r="N239" s="16">
        <f t="shared" si="57"/>
        <v>73332431730.481796</v>
      </c>
      <c r="O239" s="16">
        <f t="shared" si="59"/>
        <v>67899590746.901093</v>
      </c>
      <c r="P239" s="18">
        <f t="shared" si="58"/>
        <v>-27700020214.958622</v>
      </c>
    </row>
    <row r="240" spans="1:16" x14ac:dyDescent="0.4">
      <c r="A240" s="14">
        <v>0.22700000000000001</v>
      </c>
      <c r="B240" s="44">
        <f t="shared" si="60"/>
        <v>1.4262830647297662</v>
      </c>
      <c r="C240" s="40">
        <f t="shared" si="46"/>
        <v>6.7025227328578999E-12</v>
      </c>
      <c r="D240" s="15">
        <f t="shared" si="47"/>
        <v>149197554392.12189</v>
      </c>
      <c r="E240" s="15">
        <f t="shared" si="48"/>
        <v>21486056562.89167</v>
      </c>
      <c r="F240" s="29">
        <f t="shared" si="49"/>
        <v>147642336780.36386</v>
      </c>
      <c r="G240" s="17">
        <f t="shared" si="50"/>
        <v>5.9219272847579898</v>
      </c>
      <c r="H240" s="16">
        <f t="shared" si="51"/>
        <v>2.1499307852050567E-11</v>
      </c>
      <c r="I240" s="16">
        <f t="shared" si="52"/>
        <v>46513125300.665047</v>
      </c>
      <c r="J240" s="16">
        <f t="shared" si="53"/>
        <v>43510838616.92717</v>
      </c>
      <c r="K240" s="18">
        <f t="shared" si="54"/>
        <v>-16440126157.882307</v>
      </c>
      <c r="L240" s="17">
        <f t="shared" si="55"/>
        <v>5.4489169520208076</v>
      </c>
      <c r="M240" s="16">
        <f t="shared" si="56"/>
        <v>2.0521441200754032E-11</v>
      </c>
      <c r="N240" s="16">
        <f t="shared" si="57"/>
        <v>73094281504.209579</v>
      </c>
      <c r="O240" s="16">
        <f t="shared" si="59"/>
        <v>68376258653.693054</v>
      </c>
      <c r="P240" s="18">
        <f t="shared" si="58"/>
        <v>-25835271261.202202</v>
      </c>
    </row>
    <row r="241" spans="1:16" x14ac:dyDescent="0.4">
      <c r="A241" s="14">
        <v>0.22800000000000001</v>
      </c>
      <c r="B241" s="44">
        <f t="shared" si="60"/>
        <v>1.4325662500369458</v>
      </c>
      <c r="C241" s="40">
        <f t="shared" si="46"/>
        <v>6.7018276644931577E-12</v>
      </c>
      <c r="D241" s="15">
        <f t="shared" si="47"/>
        <v>149213028156.19736</v>
      </c>
      <c r="E241" s="15">
        <f t="shared" si="48"/>
        <v>20560106523.577503</v>
      </c>
      <c r="F241" s="29">
        <f t="shared" si="49"/>
        <v>147789748600.10178</v>
      </c>
      <c r="G241" s="17">
        <f t="shared" si="50"/>
        <v>5.9480150701533994</v>
      </c>
      <c r="H241" s="16">
        <f t="shared" si="51"/>
        <v>2.1532312418619887E-11</v>
      </c>
      <c r="I241" s="16">
        <f t="shared" si="52"/>
        <v>46441830331.946068</v>
      </c>
      <c r="J241" s="16">
        <f t="shared" si="53"/>
        <v>43857543439.955833</v>
      </c>
      <c r="K241" s="18">
        <f t="shared" si="54"/>
        <v>-15276108404.749329</v>
      </c>
      <c r="L241" s="17">
        <f t="shared" si="55"/>
        <v>5.4729209914570225</v>
      </c>
      <c r="M241" s="16">
        <f t="shared" si="56"/>
        <v>2.0586650466417264E-11</v>
      </c>
      <c r="N241" s="16">
        <f t="shared" si="57"/>
        <v>72862751638.345947</v>
      </c>
      <c r="O241" s="16">
        <f t="shared" si="59"/>
        <v>68808254805.911835</v>
      </c>
      <c r="P241" s="18">
        <f t="shared" si="58"/>
        <v>-23966740430.771873</v>
      </c>
    </row>
    <row r="242" spans="1:16" x14ac:dyDescent="0.4">
      <c r="A242" s="14">
        <v>0.22900000000000001</v>
      </c>
      <c r="B242" s="44">
        <f t="shared" si="60"/>
        <v>1.4388494353441252</v>
      </c>
      <c r="C242" s="40">
        <f t="shared" si="46"/>
        <v>6.7011319883017889E-12</v>
      </c>
      <c r="D242" s="15">
        <f t="shared" si="47"/>
        <v>149228518666.05624</v>
      </c>
      <c r="E242" s="15">
        <f t="shared" si="48"/>
        <v>19633154416.590416</v>
      </c>
      <c r="F242" s="29">
        <f t="shared" si="49"/>
        <v>147931369326.85986</v>
      </c>
      <c r="G242" s="17">
        <f t="shared" si="50"/>
        <v>5.974102855548808</v>
      </c>
      <c r="H242" s="16">
        <f t="shared" si="51"/>
        <v>2.1562934117899693E-11</v>
      </c>
      <c r="I242" s="16">
        <f t="shared" si="52"/>
        <v>46375877908.465439</v>
      </c>
      <c r="J242" s="16">
        <f t="shared" si="53"/>
        <v>44178267661.061699</v>
      </c>
      <c r="K242" s="18">
        <f t="shared" si="54"/>
        <v>-14106832325.099894</v>
      </c>
      <c r="L242" s="17">
        <f t="shared" si="55"/>
        <v>5.4969250308932374</v>
      </c>
      <c r="M242" s="16">
        <f t="shared" si="56"/>
        <v>2.0650387163383624E-11</v>
      </c>
      <c r="N242" s="16">
        <f t="shared" si="57"/>
        <v>72637863306.492157</v>
      </c>
      <c r="O242" s="16">
        <f t="shared" si="59"/>
        <v>69195778327.164566</v>
      </c>
      <c r="P242" s="18">
        <f t="shared" si="58"/>
        <v>-22095326370.763199</v>
      </c>
    </row>
    <row r="243" spans="1:16" x14ac:dyDescent="0.4">
      <c r="A243" s="14">
        <v>0.23</v>
      </c>
      <c r="B243" s="44">
        <f t="shared" si="60"/>
        <v>1.4451326206513049</v>
      </c>
      <c r="C243" s="40">
        <f t="shared" si="46"/>
        <v>6.7004357317479E-12</v>
      </c>
      <c r="D243" s="15">
        <f t="shared" si="47"/>
        <v>149244025319.4006</v>
      </c>
      <c r="E243" s="15">
        <f t="shared" si="48"/>
        <v>18705236283.433372</v>
      </c>
      <c r="F243" s="29">
        <f t="shared" si="49"/>
        <v>148067191602.72751</v>
      </c>
      <c r="G243" s="17">
        <f t="shared" si="50"/>
        <v>6.0001906409442176</v>
      </c>
      <c r="H243" s="16">
        <f t="shared" si="51"/>
        <v>2.159115211078404E-11</v>
      </c>
      <c r="I243" s="16">
        <f t="shared" si="52"/>
        <v>46315268164.894928</v>
      </c>
      <c r="J243" s="16">
        <f t="shared" si="53"/>
        <v>44473010625.340851</v>
      </c>
      <c r="K243" s="18">
        <f t="shared" si="54"/>
        <v>-12932725586.837801</v>
      </c>
      <c r="L243" s="17">
        <f t="shared" si="55"/>
        <v>5.5209290703294522</v>
      </c>
      <c r="M243" s="16">
        <f t="shared" si="56"/>
        <v>2.0712614568719877E-11</v>
      </c>
      <c r="N243" s="16">
        <f t="shared" si="57"/>
        <v>72419635629.453323</v>
      </c>
      <c r="O243" s="16">
        <f t="shared" si="59"/>
        <v>69539038689.473969</v>
      </c>
      <c r="P243" s="18">
        <f t="shared" si="58"/>
        <v>-20221911948.345211</v>
      </c>
    </row>
    <row r="244" spans="1:16" x14ac:dyDescent="0.4">
      <c r="A244" s="14">
        <v>0.23100000000000001</v>
      </c>
      <c r="B244" s="44">
        <f t="shared" si="60"/>
        <v>1.4514158059584845</v>
      </c>
      <c r="C244" s="40">
        <f t="shared" si="46"/>
        <v>6.6997389223185071E-12</v>
      </c>
      <c r="D244" s="15">
        <f t="shared" si="47"/>
        <v>149259547512.92618</v>
      </c>
      <c r="E244" s="15">
        <f t="shared" si="48"/>
        <v>17776388225.834782</v>
      </c>
      <c r="F244" s="29">
        <f t="shared" si="49"/>
        <v>148197208291.54599</v>
      </c>
      <c r="G244" s="17">
        <f t="shared" si="50"/>
        <v>6.0262784263396281</v>
      </c>
      <c r="H244" s="16">
        <f t="shared" si="51"/>
        <v>2.1616947193970781E-11</v>
      </c>
      <c r="I244" s="16">
        <f t="shared" si="52"/>
        <v>46260001055.04776</v>
      </c>
      <c r="J244" s="16">
        <f t="shared" si="53"/>
        <v>44741772557.398018</v>
      </c>
      <c r="K244" s="18">
        <f t="shared" si="54"/>
        <v>-11754211416.980965</v>
      </c>
      <c r="L244" s="17">
        <f t="shared" si="55"/>
        <v>5.544933109765668</v>
      </c>
      <c r="M244" s="16">
        <f t="shared" si="56"/>
        <v>2.0773296829095661E-11</v>
      </c>
      <c r="N244" s="16">
        <f t="shared" si="57"/>
        <v>72208085810.387985</v>
      </c>
      <c r="O244" s="16">
        <f t="shared" si="59"/>
        <v>69838255046.49295</v>
      </c>
      <c r="P244" s="18">
        <f t="shared" si="58"/>
        <v>-18347364618.967957</v>
      </c>
    </row>
    <row r="245" spans="1:16" x14ac:dyDescent="0.4">
      <c r="A245" s="14">
        <v>0.23200000000000001</v>
      </c>
      <c r="B245" s="44">
        <f t="shared" si="60"/>
        <v>1.4576989912656642</v>
      </c>
      <c r="C245" s="40">
        <f t="shared" si="46"/>
        <v>6.699041587522454E-12</v>
      </c>
      <c r="D245" s="15">
        <f t="shared" si="47"/>
        <v>149275084642.34448</v>
      </c>
      <c r="E245" s="15">
        <f t="shared" si="48"/>
        <v>16846646404.417971</v>
      </c>
      <c r="F245" s="29">
        <f t="shared" si="49"/>
        <v>148321412479.46509</v>
      </c>
      <c r="G245" s="17">
        <f t="shared" si="50"/>
        <v>6.0523662117350376</v>
      </c>
      <c r="H245" s="16">
        <f t="shared" si="51"/>
        <v>2.1640301813030077E-11</v>
      </c>
      <c r="I245" s="16">
        <f t="shared" si="52"/>
        <v>46210076395.416962</v>
      </c>
      <c r="J245" s="16">
        <f t="shared" si="53"/>
        <v>44984554349.620804</v>
      </c>
      <c r="K245" s="18">
        <f t="shared" si="54"/>
        <v>-10571708964.792952</v>
      </c>
      <c r="L245" s="17">
        <f t="shared" si="55"/>
        <v>5.5689371492018829</v>
      </c>
      <c r="M245" s="16">
        <f t="shared" si="56"/>
        <v>2.0832398981440987E-11</v>
      </c>
      <c r="N245" s="16">
        <f t="shared" si="57"/>
        <v>72003229264.968903</v>
      </c>
      <c r="O245" s="16">
        <f t="shared" si="59"/>
        <v>70093655602.3405</v>
      </c>
      <c r="P245" s="18">
        <f t="shared" si="58"/>
        <v>-16472536807.794765</v>
      </c>
    </row>
    <row r="246" spans="1:16" x14ac:dyDescent="0.4">
      <c r="A246" s="14">
        <v>0.23300000000000001</v>
      </c>
      <c r="B246" s="44">
        <f t="shared" si="60"/>
        <v>1.4639821765728436</v>
      </c>
      <c r="C246" s="40">
        <f t="shared" si="46"/>
        <v>6.6983437548893229E-12</v>
      </c>
      <c r="D246" s="15">
        <f t="shared" si="47"/>
        <v>149290636102.40515</v>
      </c>
      <c r="E246" s="15">
        <f t="shared" si="48"/>
        <v>15916047037.365215</v>
      </c>
      <c r="F246" s="29">
        <f t="shared" si="49"/>
        <v>148439797475.49219</v>
      </c>
      <c r="G246" s="17">
        <f t="shared" si="50"/>
        <v>6.0784539971304463</v>
      </c>
      <c r="H246" s="16">
        <f t="shared" si="51"/>
        <v>2.1661200074350784E-11</v>
      </c>
      <c r="I246" s="16">
        <f t="shared" si="52"/>
        <v>46165493904.657143</v>
      </c>
      <c r="J246" s="16">
        <f t="shared" si="53"/>
        <v>45201357370.181526</v>
      </c>
      <c r="K246" s="18">
        <f t="shared" si="54"/>
        <v>-9385633668.2225132</v>
      </c>
      <c r="L246" s="17">
        <f t="shared" si="55"/>
        <v>5.5929411886380969</v>
      </c>
      <c r="M246" s="16">
        <f t="shared" si="56"/>
        <v>2.0889886973090772E-11</v>
      </c>
      <c r="N246" s="16">
        <f t="shared" si="57"/>
        <v>71805079746.588348</v>
      </c>
      <c r="O246" s="16">
        <f t="shared" si="59"/>
        <v>70305477015.431671</v>
      </c>
      <c r="P246" s="18">
        <f t="shared" si="58"/>
        <v>-14598266302.767658</v>
      </c>
    </row>
    <row r="247" spans="1:16" x14ac:dyDescent="0.4">
      <c r="A247" s="14">
        <v>0.23400000000000001</v>
      </c>
      <c r="B247" s="44">
        <f t="shared" si="60"/>
        <v>1.4702653618800232</v>
      </c>
      <c r="C247" s="40">
        <f t="shared" si="46"/>
        <v>6.6976454519683518E-12</v>
      </c>
      <c r="D247" s="15">
        <f t="shared" si="47"/>
        <v>149306201286.91837</v>
      </c>
      <c r="E247" s="15">
        <f t="shared" si="48"/>
        <v>14984626399.075798</v>
      </c>
      <c r="F247" s="29">
        <f t="shared" si="49"/>
        <v>148552356812.03415</v>
      </c>
      <c r="G247" s="17">
        <f t="shared" si="50"/>
        <v>6.1045417825258568</v>
      </c>
      <c r="H247" s="16">
        <f t="shared" si="51"/>
        <v>2.1679627755956585E-11</v>
      </c>
      <c r="I247" s="16">
        <f t="shared" si="52"/>
        <v>46126253239.068878</v>
      </c>
      <c r="J247" s="16">
        <f t="shared" si="53"/>
        <v>45392183290.478012</v>
      </c>
      <c r="K247" s="18">
        <f t="shared" si="54"/>
        <v>-8196397623.2464952</v>
      </c>
      <c r="L247" s="17">
        <f t="shared" si="55"/>
        <v>5.6169452280743126</v>
      </c>
      <c r="M247" s="16">
        <f t="shared" si="56"/>
        <v>2.0945727681404856E-11</v>
      </c>
      <c r="N247" s="16">
        <f t="shared" si="57"/>
        <v>71613649466.648331</v>
      </c>
      <c r="O247" s="16">
        <f t="shared" si="59"/>
        <v>70473963836.646622</v>
      </c>
      <c r="P247" s="18">
        <f t="shared" si="58"/>
        <v>-12725376657.804884</v>
      </c>
    </row>
    <row r="248" spans="1:16" x14ac:dyDescent="0.4">
      <c r="A248" s="14">
        <v>0.23499999999999999</v>
      </c>
      <c r="B248" s="44">
        <f t="shared" si="60"/>
        <v>1.4765485471872026</v>
      </c>
      <c r="C248" s="40">
        <f t="shared" si="46"/>
        <v>6.6969467063273454E-12</v>
      </c>
      <c r="D248" s="15">
        <f t="shared" si="47"/>
        <v>149321779588.77731</v>
      </c>
      <c r="E248" s="15">
        <f t="shared" si="48"/>
        <v>14052420818.818819</v>
      </c>
      <c r="F248" s="29">
        <f t="shared" si="49"/>
        <v>148659084245.43124</v>
      </c>
      <c r="G248" s="17">
        <f t="shared" si="50"/>
        <v>6.1306295679212655</v>
      </c>
      <c r="H248" s="16">
        <f t="shared" si="51"/>
        <v>2.1695572317184541E-11</v>
      </c>
      <c r="I248" s="16">
        <f t="shared" si="52"/>
        <v>46092354024.139938</v>
      </c>
      <c r="J248" s="16">
        <f t="shared" si="53"/>
        <v>45557033931.749405</v>
      </c>
      <c r="K248" s="18">
        <f t="shared" si="54"/>
        <v>-7004409955.7409029</v>
      </c>
      <c r="L248" s="17">
        <f t="shared" si="55"/>
        <v>5.6409492675105266</v>
      </c>
      <c r="M248" s="16">
        <f t="shared" si="56"/>
        <v>2.0999888932852101E-11</v>
      </c>
      <c r="N248" s="16">
        <f t="shared" si="57"/>
        <v>71428949209.9841</v>
      </c>
      <c r="O248" s="16">
        <f t="shared" si="59"/>
        <v>70599367981.166382</v>
      </c>
      <c r="P248" s="18">
        <f t="shared" si="58"/>
        <v>-10854677604.7171</v>
      </c>
    </row>
    <row r="249" spans="1:16" x14ac:dyDescent="0.4">
      <c r="A249" s="14">
        <v>0.23599999999999999</v>
      </c>
      <c r="B249" s="44">
        <f t="shared" si="60"/>
        <v>1.4828317324943823</v>
      </c>
      <c r="C249" s="40">
        <f t="shared" si="46"/>
        <v>6.6962475455515839E-12</v>
      </c>
      <c r="D249" s="15">
        <f t="shared" si="47"/>
        <v>149337370399.98093</v>
      </c>
      <c r="E249" s="15">
        <f t="shared" si="48"/>
        <v>13119466679.379881</v>
      </c>
      <c r="F249" s="29">
        <f t="shared" si="49"/>
        <v>148759973756.48376</v>
      </c>
      <c r="G249" s="17">
        <f t="shared" si="50"/>
        <v>6.156717353316675</v>
      </c>
      <c r="H249" s="16">
        <f t="shared" si="51"/>
        <v>2.1709022907219432E-11</v>
      </c>
      <c r="I249" s="16">
        <f t="shared" si="52"/>
        <v>46063795882.192635</v>
      </c>
      <c r="J249" s="16">
        <f t="shared" si="53"/>
        <v>45695911130.628517</v>
      </c>
      <c r="K249" s="18">
        <f t="shared" si="54"/>
        <v>-5810077195.5291815</v>
      </c>
      <c r="L249" s="17">
        <f t="shared" si="55"/>
        <v>5.6649533069467415</v>
      </c>
      <c r="M249" s="16">
        <f t="shared" si="56"/>
        <v>2.1052339521547733E-11</v>
      </c>
      <c r="N249" s="16">
        <f t="shared" si="57"/>
        <v>71250988445.474319</v>
      </c>
      <c r="O249" s="16">
        <f t="shared" si="59"/>
        <v>70681948233.286896</v>
      </c>
      <c r="P249" s="18">
        <f t="shared" si="58"/>
        <v>-8986965472.5089149</v>
      </c>
    </row>
    <row r="250" spans="1:16" x14ac:dyDescent="0.4">
      <c r="A250" s="14">
        <v>0.23699999999999999</v>
      </c>
      <c r="B250" s="44">
        <f t="shared" si="60"/>
        <v>1.4891149178015619</v>
      </c>
      <c r="C250" s="40">
        <f t="shared" si="46"/>
        <v>6.6955479972427378E-12</v>
      </c>
      <c r="D250" s="15">
        <f t="shared" si="47"/>
        <v>149352973111.65646</v>
      </c>
      <c r="E250" s="15">
        <f t="shared" si="48"/>
        <v>12185800415.702654</v>
      </c>
      <c r="F250" s="29">
        <f t="shared" si="49"/>
        <v>148855019550.97061</v>
      </c>
      <c r="G250" s="17">
        <f t="shared" si="50"/>
        <v>6.1828051387120855</v>
      </c>
      <c r="H250" s="16">
        <f t="shared" si="51"/>
        <v>2.1719970372478085E-11</v>
      </c>
      <c r="I250" s="16">
        <f t="shared" si="52"/>
        <v>46040578456.180809</v>
      </c>
      <c r="J250" s="16">
        <f t="shared" si="53"/>
        <v>45808816623.417793</v>
      </c>
      <c r="K250" s="18">
        <f t="shared" si="54"/>
        <v>-4613803652.2831936</v>
      </c>
      <c r="L250" s="17">
        <f t="shared" si="55"/>
        <v>5.6889573463829572</v>
      </c>
      <c r="M250" s="16">
        <f t="shared" si="56"/>
        <v>2.1103049227233121E-11</v>
      </c>
      <c r="N250" s="16">
        <f t="shared" si="57"/>
        <v>71079775431.89711</v>
      </c>
      <c r="O250" s="16">
        <f t="shared" si="59"/>
        <v>70721969783.51329</v>
      </c>
      <c r="P250" s="18">
        <f t="shared" si="58"/>
        <v>-7123023612.8175764</v>
      </c>
    </row>
    <row r="251" spans="1:16" x14ac:dyDescent="0.4">
      <c r="A251" s="14">
        <v>0.23799999999999999</v>
      </c>
      <c r="B251" s="44">
        <f t="shared" si="60"/>
        <v>1.4953981031087415</v>
      </c>
      <c r="C251" s="40">
        <f t="shared" si="46"/>
        <v>6.6948480890177771E-12</v>
      </c>
      <c r="D251" s="15">
        <f t="shared" si="47"/>
        <v>149368587114.0824</v>
      </c>
      <c r="E251" s="15">
        <f t="shared" si="48"/>
        <v>11251458513.524567</v>
      </c>
      <c r="F251" s="29">
        <f t="shared" si="49"/>
        <v>148944216060.16013</v>
      </c>
      <c r="G251" s="17">
        <f t="shared" si="50"/>
        <v>6.208892924107495</v>
      </c>
      <c r="H251" s="16">
        <f t="shared" si="51"/>
        <v>2.1728407262838747E-11</v>
      </c>
      <c r="I251" s="16">
        <f t="shared" si="52"/>
        <v>46022701429.674568</v>
      </c>
      <c r="J251" s="16">
        <f t="shared" si="53"/>
        <v>45895751948.904129</v>
      </c>
      <c r="K251" s="18">
        <f t="shared" si="54"/>
        <v>-3415991792.9690909</v>
      </c>
      <c r="L251" s="17">
        <f t="shared" si="55"/>
        <v>5.7129613858191721</v>
      </c>
      <c r="M251" s="16">
        <f t="shared" si="56"/>
        <v>2.1151988832687645E-11</v>
      </c>
      <c r="N251" s="16">
        <f t="shared" si="57"/>
        <v>70915317319.095093</v>
      </c>
      <c r="O251" s="16">
        <f t="shared" si="59"/>
        <v>70719703797.231613</v>
      </c>
      <c r="P251" s="18">
        <f t="shared" si="58"/>
        <v>-5263622830.3111286</v>
      </c>
    </row>
    <row r="252" spans="1:16" x14ac:dyDescent="0.4">
      <c r="A252" s="14">
        <v>0.23899999999999999</v>
      </c>
      <c r="B252" s="44">
        <f t="shared" si="60"/>
        <v>1.501681288415921</v>
      </c>
      <c r="C252" s="40">
        <f t="shared" si="46"/>
        <v>6.6941478485078793E-12</v>
      </c>
      <c r="D252" s="15">
        <f t="shared" si="47"/>
        <v>149384211796.71124</v>
      </c>
      <c r="E252" s="15">
        <f t="shared" si="48"/>
        <v>10316477508.007151</v>
      </c>
      <c r="F252" s="29">
        <f t="shared" si="49"/>
        <v>149027557941.3132</v>
      </c>
      <c r="G252" s="17">
        <f t="shared" si="50"/>
        <v>6.2349807095029037</v>
      </c>
      <c r="H252" s="16">
        <f t="shared" si="51"/>
        <v>2.1734327836711086E-11</v>
      </c>
      <c r="I252" s="16">
        <f t="shared" si="52"/>
        <v>46010164543.065231</v>
      </c>
      <c r="J252" s="16">
        <f t="shared" si="53"/>
        <v>45956718369.55513</v>
      </c>
      <c r="K252" s="18">
        <f t="shared" si="54"/>
        <v>-2217042620.5490603</v>
      </c>
      <c r="L252" s="17">
        <f t="shared" si="55"/>
        <v>5.7369654252553861</v>
      </c>
      <c r="M252" s="16">
        <f t="shared" si="56"/>
        <v>2.1199130140562682E-11</v>
      </c>
      <c r="N252" s="16">
        <f t="shared" si="57"/>
        <v>70757620244.515656</v>
      </c>
      <c r="O252" s="16">
        <f t="shared" si="59"/>
        <v>70675427014.252151</v>
      </c>
      <c r="P252" s="18">
        <f t="shared" si="58"/>
        <v>-3409521816.9429584</v>
      </c>
    </row>
    <row r="253" spans="1:16" x14ac:dyDescent="0.4">
      <c r="A253" s="14">
        <v>0.24</v>
      </c>
      <c r="B253" s="44">
        <f t="shared" si="60"/>
        <v>1.5079644737231006</v>
      </c>
      <c r="C253" s="40">
        <f t="shared" si="46"/>
        <v>6.6934473033573415E-12</v>
      </c>
      <c r="D253" s="15">
        <f t="shared" si="47"/>
        <v>149399846548.19254</v>
      </c>
      <c r="E253" s="15">
        <f t="shared" si="48"/>
        <v>9380893982.3607273</v>
      </c>
      <c r="F253" s="29">
        <f t="shared" si="49"/>
        <v>149105040078.17841</v>
      </c>
      <c r="G253" s="17">
        <f t="shared" si="50"/>
        <v>6.2610684948983142</v>
      </c>
      <c r="H253" s="16">
        <f t="shared" si="51"/>
        <v>2.1737728064943586E-11</v>
      </c>
      <c r="I253" s="16">
        <f t="shared" si="52"/>
        <v>46002967606.016708</v>
      </c>
      <c r="J253" s="16">
        <f t="shared" si="53"/>
        <v>45991716810.968208</v>
      </c>
      <c r="K253" s="18">
        <f t="shared" si="54"/>
        <v>-1017356053.6639208</v>
      </c>
      <c r="L253" s="17">
        <f t="shared" si="55"/>
        <v>5.7609694646916019</v>
      </c>
      <c r="M253" s="16">
        <f t="shared" si="56"/>
        <v>2.1244445989627982E-11</v>
      </c>
      <c r="N253" s="16">
        <f t="shared" si="57"/>
        <v>70606689425.195358</v>
      </c>
      <c r="O253" s="16">
        <f t="shared" si="59"/>
        <v>70589421378.521088</v>
      </c>
      <c r="P253" s="18">
        <f t="shared" si="58"/>
        <v>-1561467589.0277987</v>
      </c>
    </row>
    <row r="254" spans="1:16" x14ac:dyDescent="0.4">
      <c r="A254" s="14">
        <v>0.24099999999999999</v>
      </c>
      <c r="B254" s="44">
        <f t="shared" si="60"/>
        <v>1.5142476590302802</v>
      </c>
      <c r="C254" s="40">
        <f t="shared" si="46"/>
        <v>6.6927464812224861E-12</v>
      </c>
      <c r="D254" s="15">
        <f t="shared" si="47"/>
        <v>149415490756.39597</v>
      </c>
      <c r="E254" s="15">
        <f t="shared" si="48"/>
        <v>8444744566.4639959</v>
      </c>
      <c r="F254" s="29">
        <f t="shared" si="49"/>
        <v>149176657581.47897</v>
      </c>
      <c r="G254" s="17">
        <f t="shared" si="50"/>
        <v>6.2871562802937238</v>
      </c>
      <c r="H254" s="16">
        <f t="shared" si="51"/>
        <v>2.1738605633565503E-11</v>
      </c>
      <c r="I254" s="16">
        <f t="shared" si="52"/>
        <v>46001110506.183968</v>
      </c>
      <c r="J254" s="16">
        <f t="shared" si="53"/>
        <v>46000747819.473099</v>
      </c>
      <c r="K254" s="18">
        <f t="shared" si="54"/>
        <v>182668692.96720275</v>
      </c>
      <c r="L254" s="17">
        <f t="shared" si="55"/>
        <v>5.7849735041278167</v>
      </c>
      <c r="M254" s="16">
        <f t="shared" si="56"/>
        <v>2.128791027042103E-11</v>
      </c>
      <c r="N254" s="16">
        <f t="shared" si="57"/>
        <v>70462529245.259415</v>
      </c>
      <c r="O254" s="16">
        <f t="shared" si="59"/>
        <v>70461973697.3022</v>
      </c>
      <c r="P254" s="18">
        <f t="shared" si="58"/>
        <v>279804073.83131623</v>
      </c>
    </row>
    <row r="255" spans="1:16" x14ac:dyDescent="0.4">
      <c r="A255" s="14">
        <v>0.24199999999999999</v>
      </c>
      <c r="B255" s="44">
        <f t="shared" si="60"/>
        <v>1.5205308443374599</v>
      </c>
      <c r="C255" s="40">
        <f t="shared" si="46"/>
        <v>6.6920454097705723E-12</v>
      </c>
      <c r="D255" s="15">
        <f t="shared" si="47"/>
        <v>149431143808.43445</v>
      </c>
      <c r="E255" s="15">
        <f t="shared" si="48"/>
        <v>7508065935.4778881</v>
      </c>
      <c r="F255" s="29">
        <f t="shared" si="49"/>
        <v>149242405789.39194</v>
      </c>
      <c r="G255" s="17">
        <f t="shared" si="50"/>
        <v>6.3132440656891333</v>
      </c>
      <c r="H255" s="16">
        <f t="shared" si="51"/>
        <v>2.17369599453616E-11</v>
      </c>
      <c r="I255" s="16">
        <f t="shared" si="52"/>
        <v>46004593214.212906</v>
      </c>
      <c r="J255" s="16">
        <f t="shared" si="53"/>
        <v>45983811537.817665</v>
      </c>
      <c r="K255" s="18">
        <f t="shared" si="54"/>
        <v>1382632727.6871572</v>
      </c>
      <c r="L255" s="17">
        <f t="shared" si="55"/>
        <v>5.8089775435640316</v>
      </c>
      <c r="M255" s="16">
        <f t="shared" si="56"/>
        <v>2.1329497940290452E-11</v>
      </c>
      <c r="N255" s="16">
        <f t="shared" si="57"/>
        <v>70325143339.007904</v>
      </c>
      <c r="O255" s="16">
        <f t="shared" si="59"/>
        <v>70293375329.137344</v>
      </c>
      <c r="P255" s="18">
        <f t="shared" si="58"/>
        <v>2113568188.8773415</v>
      </c>
    </row>
    <row r="256" spans="1:16" x14ac:dyDescent="0.4">
      <c r="A256" s="14">
        <v>0.24299999999999999</v>
      </c>
      <c r="B256" s="44">
        <f t="shared" si="60"/>
        <v>1.5268140296446395</v>
      </c>
      <c r="C256" s="40">
        <f t="shared" si="46"/>
        <v>6.6913441166786983E-12</v>
      </c>
      <c r="D256" s="15">
        <f t="shared" si="47"/>
        <v>149446805090.6875</v>
      </c>
      <c r="E256" s="15">
        <f t="shared" si="48"/>
        <v>6570894808.4542418</v>
      </c>
      <c r="F256" s="29">
        <f t="shared" si="49"/>
        <v>149302280268.01923</v>
      </c>
      <c r="G256" s="17">
        <f t="shared" si="50"/>
        <v>6.3393318510845438</v>
      </c>
      <c r="H256" s="16">
        <f t="shared" si="51"/>
        <v>2.1732792120278554E-11</v>
      </c>
      <c r="I256" s="16">
        <f t="shared" si="52"/>
        <v>46013415785.029961</v>
      </c>
      <c r="J256" s="16">
        <f t="shared" si="53"/>
        <v>45940907698.896858</v>
      </c>
      <c r="K256" s="18">
        <f t="shared" si="54"/>
        <v>2582137100.8301415</v>
      </c>
      <c r="L256" s="17">
        <f t="shared" si="55"/>
        <v>5.8329815830002474</v>
      </c>
      <c r="M256" s="16">
        <f t="shared" si="56"/>
        <v>2.1369185037824738E-11</v>
      </c>
      <c r="N256" s="16">
        <f t="shared" si="57"/>
        <v>70194534669.661484</v>
      </c>
      <c r="O256" s="16">
        <f t="shared" si="59"/>
        <v>70083921899.905838</v>
      </c>
      <c r="P256" s="18">
        <f t="shared" si="58"/>
        <v>3939110130.2461705</v>
      </c>
    </row>
    <row r="257" spans="1:16" x14ac:dyDescent="0.4">
      <c r="A257" s="14">
        <v>0.24399999999999999</v>
      </c>
      <c r="B257" s="44">
        <f t="shared" si="60"/>
        <v>1.5330972149518189</v>
      </c>
      <c r="C257" s="40">
        <f t="shared" si="46"/>
        <v>6.6906426296327165E-12</v>
      </c>
      <c r="D257" s="15">
        <f t="shared" si="47"/>
        <v>149462473988.82446</v>
      </c>
      <c r="E257" s="15">
        <f t="shared" si="48"/>
        <v>5633267946.9391565</v>
      </c>
      <c r="F257" s="29">
        <f t="shared" si="49"/>
        <v>149356276811.85019</v>
      </c>
      <c r="G257" s="17">
        <f t="shared" si="50"/>
        <v>6.3654196364799525</v>
      </c>
      <c r="H257" s="16">
        <f t="shared" si="51"/>
        <v>2.1726104994662843E-11</v>
      </c>
      <c r="I257" s="16">
        <f t="shared" si="52"/>
        <v>46027578355.423416</v>
      </c>
      <c r="J257" s="16">
        <f t="shared" si="53"/>
        <v>45872035637.514153</v>
      </c>
      <c r="K257" s="18">
        <f t="shared" si="54"/>
        <v>3780782423.6887965</v>
      </c>
      <c r="L257" s="17">
        <f t="shared" si="55"/>
        <v>5.8569856224364623</v>
      </c>
      <c r="M257" s="16">
        <f t="shared" si="56"/>
        <v>2.140694869665799E-11</v>
      </c>
      <c r="N257" s="16">
        <f t="shared" si="57"/>
        <v>70070705603.838669</v>
      </c>
      <c r="O257" s="16">
        <f t="shared" si="59"/>
        <v>69833913046.314148</v>
      </c>
      <c r="P257" s="18">
        <f t="shared" si="58"/>
        <v>5755725189.7274666</v>
      </c>
    </row>
    <row r="258" spans="1:16" x14ac:dyDescent="0.4">
      <c r="A258" s="14">
        <v>0.245</v>
      </c>
      <c r="B258" s="44">
        <f t="shared" si="60"/>
        <v>1.5393804002589986</v>
      </c>
      <c r="C258" s="40">
        <f t="shared" si="46"/>
        <v>6.6899409763261335E-12</v>
      </c>
      <c r="D258" s="15">
        <f t="shared" si="47"/>
        <v>149478149887.82797</v>
      </c>
      <c r="E258" s="15">
        <f t="shared" si="48"/>
        <v>4695222153.5709295</v>
      </c>
      <c r="F258" s="29">
        <f t="shared" si="49"/>
        <v>149404391444.21622</v>
      </c>
      <c r="G258" s="17">
        <f t="shared" si="50"/>
        <v>6.391507421875362</v>
      </c>
      <c r="H258" s="16">
        <f t="shared" si="51"/>
        <v>2.171690311933047E-11</v>
      </c>
      <c r="I258" s="16">
        <f t="shared" si="52"/>
        <v>46047081137.91272</v>
      </c>
      <c r="J258" s="16">
        <f t="shared" si="53"/>
        <v>45777194320.19519</v>
      </c>
      <c r="K258" s="18">
        <f t="shared" si="54"/>
        <v>4978168487.7680616</v>
      </c>
      <c r="L258" s="17">
        <f t="shared" si="55"/>
        <v>5.8809896618726771</v>
      </c>
      <c r="M258" s="16">
        <f t="shared" si="56"/>
        <v>2.1442767158644779E-11</v>
      </c>
      <c r="N258" s="16">
        <f t="shared" si="57"/>
        <v>69953657981.836823</v>
      </c>
      <c r="O258" s="16">
        <f t="shared" si="59"/>
        <v>69543652186.16275</v>
      </c>
      <c r="P258" s="18">
        <f t="shared" si="58"/>
        <v>7562718138.9910421</v>
      </c>
    </row>
    <row r="259" spans="1:16" x14ac:dyDescent="0.4">
      <c r="A259" s="14">
        <v>0.246</v>
      </c>
      <c r="B259" s="44">
        <f t="shared" si="60"/>
        <v>1.5456635855661782</v>
      </c>
      <c r="C259" s="40">
        <f t="shared" si="46"/>
        <v>6.6892391844590213E-12</v>
      </c>
      <c r="D259" s="15">
        <f t="shared" si="47"/>
        <v>149493832172.01749</v>
      </c>
      <c r="E259" s="15">
        <f t="shared" si="48"/>
        <v>3756794270.6730824</v>
      </c>
      <c r="F259" s="29">
        <f t="shared" si="49"/>
        <v>149446620417.737</v>
      </c>
      <c r="G259" s="17">
        <f t="shared" si="50"/>
        <v>6.4175952072707725</v>
      </c>
      <c r="H259" s="16">
        <f t="shared" si="51"/>
        <v>2.1705192756469994E-11</v>
      </c>
      <c r="I259" s="16">
        <f t="shared" si="52"/>
        <v>46071924410.895401</v>
      </c>
      <c r="J259" s="16">
        <f t="shared" si="53"/>
        <v>45656382393.103065</v>
      </c>
      <c r="K259" s="18">
        <f t="shared" si="54"/>
        <v>6173893884.5762701</v>
      </c>
      <c r="L259" s="17">
        <f t="shared" si="55"/>
        <v>5.9049937013088929</v>
      </c>
      <c r="M259" s="16">
        <f t="shared" si="56"/>
        <v>2.147661978639643E-11</v>
      </c>
      <c r="N259" s="16">
        <f t="shared" si="57"/>
        <v>69843393183.787674</v>
      </c>
      <c r="O259" s="16">
        <f t="shared" si="59"/>
        <v>69213446314.752808</v>
      </c>
      <c r="P259" s="18">
        <f t="shared" si="58"/>
        <v>9359402793.9815807</v>
      </c>
    </row>
    <row r="260" spans="1:16" x14ac:dyDescent="0.4">
      <c r="A260" s="14">
        <v>0.247</v>
      </c>
      <c r="B260" s="44">
        <f t="shared" si="60"/>
        <v>1.5519467708733579</v>
      </c>
      <c r="C260" s="40">
        <f t="shared" si="46"/>
        <v>6.6885372817369189E-12</v>
      </c>
      <c r="D260" s="15">
        <f t="shared" si="47"/>
        <v>149509520225.07291</v>
      </c>
      <c r="E260" s="15">
        <f t="shared" si="48"/>
        <v>2818021178.841886</v>
      </c>
      <c r="F260" s="29">
        <f t="shared" si="49"/>
        <v>149482960214.75851</v>
      </c>
      <c r="G260" s="17">
        <f t="shared" si="50"/>
        <v>6.4436829926661821</v>
      </c>
      <c r="H260" s="16">
        <f t="shared" si="51"/>
        <v>2.1690981875380904E-11</v>
      </c>
      <c r="I260" s="16">
        <f t="shared" si="52"/>
        <v>46102108505.055374</v>
      </c>
      <c r="J260" s="16">
        <f t="shared" si="53"/>
        <v>45509598248.133995</v>
      </c>
      <c r="K260" s="18">
        <f t="shared" si="54"/>
        <v>7367555626.2126942</v>
      </c>
      <c r="L260" s="17">
        <f t="shared" si="55"/>
        <v>5.9289977407451078</v>
      </c>
      <c r="M260" s="16">
        <f t="shared" si="56"/>
        <v>2.150848707517158E-11</v>
      </c>
      <c r="N260" s="16">
        <f t="shared" si="57"/>
        <v>69739912191.756699</v>
      </c>
      <c r="O260" s="16">
        <f t="shared" si="59"/>
        <v>68843605826.812866</v>
      </c>
      <c r="P260" s="18">
        <f t="shared" si="58"/>
        <v>11145101582.145937</v>
      </c>
    </row>
    <row r="261" spans="1:16" x14ac:dyDescent="0.4">
      <c r="A261" s="14">
        <v>0.248</v>
      </c>
      <c r="B261" s="44">
        <f t="shared" si="60"/>
        <v>1.5582299561805373</v>
      </c>
      <c r="C261" s="40">
        <f t="shared" si="46"/>
        <v>6.6878352958697467E-12</v>
      </c>
      <c r="D261" s="15">
        <f t="shared" si="47"/>
        <v>149525213430.05817</v>
      </c>
      <c r="E261" s="15">
        <f t="shared" si="48"/>
        <v>1878939795.5289471</v>
      </c>
      <c r="F261" s="29">
        <f t="shared" si="49"/>
        <v>149513407547.78223</v>
      </c>
      <c r="G261" s="17">
        <f t="shared" si="50"/>
        <v>6.4697707780615907</v>
      </c>
      <c r="H261" s="16">
        <f t="shared" si="51"/>
        <v>2.1674280147050237E-11</v>
      </c>
      <c r="I261" s="16">
        <f t="shared" si="52"/>
        <v>46137633786.010422</v>
      </c>
      <c r="J261" s="16">
        <f t="shared" si="53"/>
        <v>45336840107.30204</v>
      </c>
      <c r="K261" s="18">
        <f t="shared" si="54"/>
        <v>8558748767.0184355</v>
      </c>
      <c r="L261" s="17">
        <f t="shared" si="55"/>
        <v>5.9530017801813218</v>
      </c>
      <c r="M261" s="16">
        <f t="shared" si="56"/>
        <v>2.1538350664114173E-11</v>
      </c>
      <c r="N261" s="16">
        <f t="shared" si="57"/>
        <v>69643215647.853867</v>
      </c>
      <c r="O261" s="16">
        <f t="shared" si="59"/>
        <v>68434444363.344772</v>
      </c>
      <c r="P261" s="18">
        <f t="shared" si="58"/>
        <v>12919145113.115915</v>
      </c>
    </row>
    <row r="262" spans="1:16" x14ac:dyDescent="0.4">
      <c r="A262" s="14">
        <v>0.249</v>
      </c>
      <c r="B262" s="44">
        <f t="shared" si="60"/>
        <v>1.5645131414877169</v>
      </c>
      <c r="C262" s="40">
        <f t="shared" si="46"/>
        <v>6.6871332545707031E-12</v>
      </c>
      <c r="D262" s="15">
        <f t="shared" si="47"/>
        <v>149540911169.44513</v>
      </c>
      <c r="E262" s="15">
        <f t="shared" si="48"/>
        <v>939587073.61850345</v>
      </c>
      <c r="F262" s="29">
        <f t="shared" si="49"/>
        <v>149537959359.88617</v>
      </c>
      <c r="G262" s="17">
        <f t="shared" si="50"/>
        <v>6.4958585634570012</v>
      </c>
      <c r="H262" s="16">
        <f t="shared" si="51"/>
        <v>2.1655098937571132E-11</v>
      </c>
      <c r="I262" s="16">
        <f t="shared" si="52"/>
        <v>46178500633.170578</v>
      </c>
      <c r="J262" s="16">
        <f t="shared" si="53"/>
        <v>45138106125.55014</v>
      </c>
      <c r="K262" s="18">
        <f t="shared" si="54"/>
        <v>9747066026.5696468</v>
      </c>
      <c r="L262" s="17">
        <f t="shared" si="55"/>
        <v>5.9770058196175375</v>
      </c>
      <c r="M262" s="16">
        <f t="shared" si="56"/>
        <v>2.1566193346832377E-11</v>
      </c>
      <c r="N262" s="16">
        <f t="shared" si="57"/>
        <v>69553303908.421036</v>
      </c>
      <c r="O262" s="16">
        <f t="shared" si="59"/>
        <v>67986278682.807777</v>
      </c>
      <c r="P262" s="18">
        <f t="shared" si="58"/>
        <v>14680871753.433924</v>
      </c>
    </row>
    <row r="263" spans="1:16" x14ac:dyDescent="0.4">
      <c r="A263" s="14">
        <v>0.25</v>
      </c>
      <c r="B263" s="44">
        <f t="shared" si="60"/>
        <v>1.5707963267948966</v>
      </c>
      <c r="C263" s="40">
        <f t="shared" si="46"/>
        <v>6.6864311855551773E-12</v>
      </c>
      <c r="D263" s="15">
        <f t="shared" si="47"/>
        <v>149556612825.13739</v>
      </c>
      <c r="E263" s="15">
        <f t="shared" si="48"/>
        <v>9.1614526562041888E-6</v>
      </c>
      <c r="F263" s="29">
        <f t="shared" si="49"/>
        <v>149556612825.13739</v>
      </c>
      <c r="G263" s="17">
        <f t="shared" si="50"/>
        <v>6.5219463488524108</v>
      </c>
      <c r="H263" s="16">
        <f t="shared" si="51"/>
        <v>2.1633451300407832E-11</v>
      </c>
      <c r="I263" s="16">
        <f t="shared" si="52"/>
        <v>46224709414.773224</v>
      </c>
      <c r="J263" s="16">
        <f t="shared" si="53"/>
        <v>44913394512.153351</v>
      </c>
      <c r="K263" s="18">
        <f t="shared" si="54"/>
        <v>10932097414.306992</v>
      </c>
      <c r="L263" s="17">
        <f t="shared" si="55"/>
        <v>6.0010098590537524</v>
      </c>
      <c r="M263" s="16">
        <f t="shared" si="56"/>
        <v>2.1591999081312275E-11</v>
      </c>
      <c r="N263" s="16">
        <f t="shared" si="57"/>
        <v>69470177094.358978</v>
      </c>
      <c r="O263" s="16">
        <f t="shared" si="59"/>
        <v>67499428556.081306</v>
      </c>
      <c r="P263" s="18">
        <f t="shared" si="58"/>
        <v>16429627205.876431</v>
      </c>
    </row>
    <row r="264" spans="1:16" x14ac:dyDescent="0.4">
      <c r="A264" s="14">
        <v>0.251</v>
      </c>
      <c r="B264" s="44">
        <f t="shared" si="60"/>
        <v>1.5770795121020762</v>
      </c>
      <c r="C264" s="40">
        <f t="shared" si="46"/>
        <v>6.6857291165396507E-12</v>
      </c>
      <c r="D264" s="15">
        <f t="shared" si="47"/>
        <v>149572317778.4942</v>
      </c>
      <c r="E264" s="15">
        <f t="shared" si="48"/>
        <v>-939784405.86461043</v>
      </c>
      <c r="F264" s="29">
        <f t="shared" si="49"/>
        <v>149569365348.99567</v>
      </c>
      <c r="G264" s="17">
        <f t="shared" si="50"/>
        <v>6.5480341342478203</v>
      </c>
      <c r="H264" s="16">
        <f t="shared" si="51"/>
        <v>2.1609351967512353E-11</v>
      </c>
      <c r="I264" s="16">
        <f t="shared" si="52"/>
        <v>46276260459.055267</v>
      </c>
      <c r="J264" s="16">
        <f t="shared" si="53"/>
        <v>44662703670.907669</v>
      </c>
      <c r="K264" s="18">
        <f t="shared" si="54"/>
        <v>12113429856.114775</v>
      </c>
      <c r="L264" s="17">
        <f t="shared" si="55"/>
        <v>6.0250138984899673</v>
      </c>
      <c r="M264" s="16">
        <f t="shared" si="56"/>
        <v>2.1615752999160786E-11</v>
      </c>
      <c r="N264" s="16">
        <f t="shared" si="57"/>
        <v>69393835137.653366</v>
      </c>
      <c r="O264" s="16">
        <f t="shared" si="59"/>
        <v>66974216684.666512</v>
      </c>
      <c r="P264" s="18">
        <f t="shared" si="58"/>
        <v>18164764093.903141</v>
      </c>
    </row>
    <row r="265" spans="1:16" x14ac:dyDescent="0.4">
      <c r="A265" s="14">
        <v>0.252</v>
      </c>
      <c r="B265" s="44">
        <f t="shared" si="60"/>
        <v>1.5833626974092558</v>
      </c>
      <c r="C265" s="40">
        <f t="shared" si="46"/>
        <v>6.6850270752406079E-12</v>
      </c>
      <c r="D265" s="15">
        <f t="shared" si="47"/>
        <v>149588025410.35452</v>
      </c>
      <c r="E265" s="15">
        <f t="shared" si="48"/>
        <v>-1879729093.378485</v>
      </c>
      <c r="F265" s="29">
        <f t="shared" si="49"/>
        <v>149576214568.70868</v>
      </c>
      <c r="G265" s="17">
        <f t="shared" si="50"/>
        <v>6.5741219196432308</v>
      </c>
      <c r="H265" s="16">
        <f t="shared" si="51"/>
        <v>2.1582817339298888E-11</v>
      </c>
      <c r="I265" s="16">
        <f t="shared" si="52"/>
        <v>46333154021.516853</v>
      </c>
      <c r="J265" s="16">
        <f t="shared" si="53"/>
        <v>44386032359.325157</v>
      </c>
      <c r="K265" s="18">
        <f t="shared" si="54"/>
        <v>13290646823.181471</v>
      </c>
      <c r="L265" s="17">
        <f t="shared" si="55"/>
        <v>6.049017937926183</v>
      </c>
      <c r="M265" s="16">
        <f t="shared" si="56"/>
        <v>2.1637441414172301E-11</v>
      </c>
      <c r="N265" s="16">
        <f t="shared" si="57"/>
        <v>69324277824.156952</v>
      </c>
      <c r="O265" s="16">
        <f t="shared" si="59"/>
        <v>66410968641.610771</v>
      </c>
      <c r="P265" s="18">
        <f t="shared" si="58"/>
        <v>19885641551.729996</v>
      </c>
    </row>
    <row r="266" spans="1:16" x14ac:dyDescent="0.4">
      <c r="A266" s="14">
        <v>0.253</v>
      </c>
      <c r="B266" s="44">
        <f t="shared" si="60"/>
        <v>1.5896458827164353</v>
      </c>
      <c r="C266" s="40">
        <f t="shared" si="46"/>
        <v>6.6843250893734349E-12</v>
      </c>
      <c r="D266" s="15">
        <f t="shared" si="47"/>
        <v>149603735101.06113</v>
      </c>
      <c r="E266" s="15">
        <f t="shared" si="48"/>
        <v>-2819796982.2522264</v>
      </c>
      <c r="F266" s="29">
        <f t="shared" si="49"/>
        <v>149577158353.69833</v>
      </c>
      <c r="G266" s="17">
        <f t="shared" si="50"/>
        <v>6.6002097050386395</v>
      </c>
      <c r="H266" s="16">
        <f t="shared" si="51"/>
        <v>2.1553865473482775E-11</v>
      </c>
      <c r="I266" s="16">
        <f t="shared" si="52"/>
        <v>46395390248.226105</v>
      </c>
      <c r="J266" s="16">
        <f t="shared" si="53"/>
        <v>44083379867.081993</v>
      </c>
      <c r="K266" s="18">
        <f t="shared" si="54"/>
        <v>14463327963.499401</v>
      </c>
      <c r="L266" s="17">
        <f t="shared" si="55"/>
        <v>6.073021977362397</v>
      </c>
      <c r="M266" s="16">
        <f t="shared" si="56"/>
        <v>2.1657051830214223E-11</v>
      </c>
      <c r="N266" s="16">
        <f t="shared" si="57"/>
        <v>69261504832.680756</v>
      </c>
      <c r="O266" s="16">
        <f t="shared" si="59"/>
        <v>65810012834.659607</v>
      </c>
      <c r="P266" s="18">
        <f t="shared" si="58"/>
        <v>21591624820.503838</v>
      </c>
    </row>
    <row r="267" spans="1:16" x14ac:dyDescent="0.4">
      <c r="A267" s="14">
        <v>0.254</v>
      </c>
      <c r="B267" s="44">
        <f t="shared" si="60"/>
        <v>1.5959290680236149</v>
      </c>
      <c r="C267" s="40">
        <f t="shared" si="46"/>
        <v>6.6836231866513333E-12</v>
      </c>
      <c r="D267" s="15">
        <f t="shared" si="47"/>
        <v>149619446230.48471</v>
      </c>
      <c r="E267" s="15">
        <f t="shared" si="48"/>
        <v>-3759950963.9513698</v>
      </c>
      <c r="F267" s="29">
        <f t="shared" si="49"/>
        <v>149572194805.93839</v>
      </c>
      <c r="G267" s="17">
        <f t="shared" si="50"/>
        <v>6.626297490434049</v>
      </c>
      <c r="H267" s="16">
        <f t="shared" si="51"/>
        <v>2.1522516072791605E-11</v>
      </c>
      <c r="I267" s="16">
        <f t="shared" si="52"/>
        <v>46462969135.108826</v>
      </c>
      <c r="J267" s="16">
        <f t="shared" si="53"/>
        <v>43754746213.990654</v>
      </c>
      <c r="K267" s="18">
        <f t="shared" si="54"/>
        <v>15631048736.388273</v>
      </c>
      <c r="L267" s="17">
        <f t="shared" si="55"/>
        <v>6.0970260167986119</v>
      </c>
      <c r="M267" s="16">
        <f t="shared" si="56"/>
        <v>2.1674572948426812E-11</v>
      </c>
      <c r="N267" s="16">
        <f t="shared" si="57"/>
        <v>69205515770.444427</v>
      </c>
      <c r="O267" s="16">
        <f t="shared" si="59"/>
        <v>65171680491.16394</v>
      </c>
      <c r="P267" s="18">
        <f t="shared" si="58"/>
        <v>23282084851.036724</v>
      </c>
    </row>
    <row r="268" spans="1:16" x14ac:dyDescent="0.4">
      <c r="A268" s="14">
        <v>0.255</v>
      </c>
      <c r="B268" s="44">
        <f t="shared" si="60"/>
        <v>1.6022122533307945</v>
      </c>
      <c r="C268" s="40">
        <f t="shared" si="46"/>
        <v>6.6829213947842203E-12</v>
      </c>
      <c r="D268" s="15">
        <f t="shared" si="47"/>
        <v>149635158178.04831</v>
      </c>
      <c r="E268" s="15">
        <f t="shared" si="48"/>
        <v>-4700153903.1482916</v>
      </c>
      <c r="F268" s="29">
        <f t="shared" si="49"/>
        <v>149561322260.32324</v>
      </c>
      <c r="G268" s="17">
        <f t="shared" si="50"/>
        <v>6.6523852758294595</v>
      </c>
      <c r="H268" s="16">
        <f t="shared" si="51"/>
        <v>2.1488790471556834E-11</v>
      </c>
      <c r="I268" s="16">
        <f t="shared" si="52"/>
        <v>46535890483.16275</v>
      </c>
      <c r="J268" s="16">
        <f t="shared" si="53"/>
        <v>43400132367.792122</v>
      </c>
      <c r="K268" s="18">
        <f t="shared" si="54"/>
        <v>16793380050.455597</v>
      </c>
      <c r="L268" s="17">
        <f t="shared" si="55"/>
        <v>6.1210300562348277</v>
      </c>
      <c r="M268" s="16">
        <f t="shared" si="56"/>
        <v>2.1689994673733217E-11</v>
      </c>
      <c r="N268" s="16">
        <f t="shared" si="57"/>
        <v>69156310204.931213</v>
      </c>
      <c r="O268" s="16">
        <f t="shared" si="59"/>
        <v>64496305664.292557</v>
      </c>
      <c r="P268" s="18">
        <f t="shared" si="58"/>
        <v>24956397913.53746</v>
      </c>
    </row>
    <row r="269" spans="1:16" x14ac:dyDescent="0.4">
      <c r="A269" s="14">
        <v>0.25600000000000001</v>
      </c>
      <c r="B269" s="44">
        <f t="shared" si="60"/>
        <v>1.6084954386379742</v>
      </c>
      <c r="C269" s="40">
        <f t="shared" ref="C269:C332" si="61">((semiejeMayorTierra*(1-(excentricidadTierra^2)))^-1)*(1+excentricidadTierra*COS(Φ))</f>
        <v>6.6822197414776382E-12</v>
      </c>
      <c r="D269" s="15">
        <f t="shared" ref="D269:D332" si="62">1/u0Tierra</f>
        <v>149650870322.7515</v>
      </c>
      <c r="E269" s="15">
        <f t="shared" ref="E269:E332" si="63">r0Tierra*COS(Φ)</f>
        <v>-5640368639.1791945</v>
      </c>
      <c r="F269" s="29">
        <f t="shared" ref="F269:F332" si="64">r0Tierra*SIN(Φ)</f>
        <v>149544539285.02756</v>
      </c>
      <c r="G269" s="17">
        <f t="shared" ref="G269:G332" si="65">Φ*relaciónOrbitas</f>
        <v>6.6784730612248691</v>
      </c>
      <c r="H269" s="16">
        <f t="shared" ref="H269:H332" si="66">((semiejeMayorMercurio*(1-(excentricidadMercurio^2)))^-1)*(1+excentricidadMercurio*COS(ΦMercurio))</f>
        <v>2.1452711621195077E-11</v>
      </c>
      <c r="I269" s="16">
        <f t="shared" ref="I269:I332" si="67">1/u0Mercurio</f>
        <v>46614153849.530586</v>
      </c>
      <c r="J269" s="16">
        <f t="shared" ref="J269:J332" si="68">r0Mercurio*COS(ΦMercurio)</f>
        <v>43019540482.085014</v>
      </c>
      <c r="K269" s="18">
        <f t="shared" ref="K269:K332" si="69">r0Mercurio*SIN(ΦMercurio)</f>
        <v>17949887905.442638</v>
      </c>
      <c r="L269" s="17">
        <f t="shared" ref="L269:L332" si="70">ΦMercurio*(1-(simulaciónÁngulo*((3/2)*rsSol*((semiejeMayorMercurio*(1-(excentricidadMercurio^2)))^-1))))</f>
        <v>6.1450340956710425</v>
      </c>
      <c r="M269" s="16">
        <f t="shared" ref="M269:M332" si="71">((semiejeMayorMercurio*(1-(excentricidadMercurio^2)))^-1)*(1+excentricidadMercurio*COS(ΦLPMercurio))</f>
        <v>2.1703308120655899E-11</v>
      </c>
      <c r="N269" s="16">
        <f t="shared" ref="N269:N332" si="72">1*simulaciónRadio/uMercurio</f>
        <v>69113887692.189682</v>
      </c>
      <c r="O269" s="16">
        <f t="shared" si="59"/>
        <v>63784225260.121765</v>
      </c>
      <c r="P269" s="18">
        <f t="shared" ref="P269:P332" si="73">rMercurio*SIN(ΦMercurio)</f>
        <v>26613945214.767624</v>
      </c>
    </row>
    <row r="270" spans="1:16" x14ac:dyDescent="0.4">
      <c r="A270" s="14">
        <v>0.25700000000000001</v>
      </c>
      <c r="B270" s="44">
        <f t="shared" si="60"/>
        <v>1.6147786239451536</v>
      </c>
      <c r="C270" s="40">
        <f t="shared" si="61"/>
        <v>6.6815182544316555E-12</v>
      </c>
      <c r="D270" s="15">
        <f t="shared" si="62"/>
        <v>149666582043.19495</v>
      </c>
      <c r="E270" s="15">
        <f t="shared" si="63"/>
        <v>-6580557987.5056105</v>
      </c>
      <c r="F270" s="29">
        <f t="shared" si="64"/>
        <v>149521844681.85736</v>
      </c>
      <c r="G270" s="17">
        <f t="shared" si="65"/>
        <v>6.7045608466202777</v>
      </c>
      <c r="H270" s="16">
        <f t="shared" si="66"/>
        <v>2.1414304074588863E-11</v>
      </c>
      <c r="I270" s="16">
        <f t="shared" si="67"/>
        <v>46697758494.362801</v>
      </c>
      <c r="J270" s="16">
        <f t="shared" si="68"/>
        <v>42612974154.730553</v>
      </c>
      <c r="K270" s="18">
        <f t="shared" si="69"/>
        <v>19100133038.439774</v>
      </c>
      <c r="L270" s="17">
        <f t="shared" si="70"/>
        <v>6.1690381351072565</v>
      </c>
      <c r="M270" s="16">
        <f t="shared" si="71"/>
        <v>2.1714505618436164E-11</v>
      </c>
      <c r="N270" s="16">
        <f t="shared" si="72"/>
        <v>69078247801.619858</v>
      </c>
      <c r="O270" s="16">
        <f t="shared" ref="O270:O333" si="74">rMercurio*COS(ΦMercurio)</f>
        <v>63035779085.196243</v>
      </c>
      <c r="P270" s="18">
        <f t="shared" si="73"/>
        <v>28254112523.035194</v>
      </c>
    </row>
    <row r="271" spans="1:16" x14ac:dyDescent="0.4">
      <c r="A271" s="14">
        <v>0.25800000000000001</v>
      </c>
      <c r="B271" s="44">
        <f t="shared" ref="B271:B334" si="75">A271*2*PI()</f>
        <v>1.6210618092523332</v>
      </c>
      <c r="C271" s="40">
        <f t="shared" si="61"/>
        <v>6.6808169613397823E-12</v>
      </c>
      <c r="D271" s="15">
        <f t="shared" si="62"/>
        <v>149682292717.60474</v>
      </c>
      <c r="E271" s="15">
        <f t="shared" si="63"/>
        <v>-7520684741.1807232</v>
      </c>
      <c r="F271" s="29">
        <f t="shared" si="64"/>
        <v>149493237486.59161</v>
      </c>
      <c r="G271" s="17">
        <f t="shared" si="65"/>
        <v>6.7306486320156882</v>
      </c>
      <c r="H271" s="16">
        <f t="shared" si="66"/>
        <v>2.137359396937757E-11</v>
      </c>
      <c r="I271" s="16">
        <f t="shared" si="67"/>
        <v>46786703323.396271</v>
      </c>
      <c r="J271" s="16">
        <f t="shared" si="68"/>
        <v>42180438707.090271</v>
      </c>
      <c r="K271" s="18">
        <f t="shared" si="69"/>
        <v>20243670574.994553</v>
      </c>
      <c r="L271" s="17">
        <f t="shared" si="70"/>
        <v>6.1930421745434723</v>
      </c>
      <c r="M271" s="16">
        <f t="shared" si="71"/>
        <v>2.1723580715453785E-11</v>
      </c>
      <c r="N271" s="16">
        <f t="shared" si="72"/>
        <v>69049390137.277206</v>
      </c>
      <c r="O271" s="16">
        <f t="shared" si="74"/>
        <v>62251309914.176758</v>
      </c>
      <c r="P271" s="18">
        <f t="shared" si="73"/>
        <v>29876289801.430054</v>
      </c>
    </row>
    <row r="272" spans="1:16" x14ac:dyDescent="0.4">
      <c r="A272" s="14">
        <v>0.25900000000000001</v>
      </c>
      <c r="B272" s="44">
        <f t="shared" si="75"/>
        <v>1.6273449945595129</v>
      </c>
      <c r="C272" s="40">
        <f t="shared" si="61"/>
        <v>6.6801158898878685E-12</v>
      </c>
      <c r="D272" s="15">
        <f t="shared" si="62"/>
        <v>149698001723.85721</v>
      </c>
      <c r="E272" s="15">
        <f t="shared" si="63"/>
        <v>-8460711672.3199863</v>
      </c>
      <c r="F272" s="29">
        <f t="shared" si="64"/>
        <v>149458716969.31506</v>
      </c>
      <c r="G272" s="17">
        <f t="shared" si="65"/>
        <v>6.7567364174110978</v>
      </c>
      <c r="H272" s="16">
        <f t="shared" si="66"/>
        <v>2.1330609010169877E-11</v>
      </c>
      <c r="I272" s="16">
        <f t="shared" si="67"/>
        <v>46880986826.172012</v>
      </c>
      <c r="J272" s="16">
        <f t="shared" si="68"/>
        <v>41721941484.47097</v>
      </c>
      <c r="K272" s="18">
        <f t="shared" si="69"/>
        <v>21380049685.678791</v>
      </c>
      <c r="L272" s="17">
        <f t="shared" si="70"/>
        <v>6.2170462139796872</v>
      </c>
      <c r="M272" s="16">
        <f t="shared" si="71"/>
        <v>2.1730528182944201E-11</v>
      </c>
      <c r="N272" s="16">
        <f t="shared" si="72"/>
        <v>69027314355.723572</v>
      </c>
      <c r="O272" s="16">
        <f t="shared" si="74"/>
        <v>61431163577.211746</v>
      </c>
      <c r="P272" s="18">
        <f t="shared" si="73"/>
        <v>31479870849.699078</v>
      </c>
    </row>
    <row r="273" spans="1:16" x14ac:dyDescent="0.4">
      <c r="A273" s="14">
        <v>0.26</v>
      </c>
      <c r="B273" s="44">
        <f t="shared" si="75"/>
        <v>1.6336281798666925</v>
      </c>
      <c r="C273" s="40">
        <f t="shared" si="61"/>
        <v>6.6794150677530131E-12</v>
      </c>
      <c r="D273" s="15">
        <f t="shared" si="62"/>
        <v>149713708439.50333</v>
      </c>
      <c r="E273" s="15">
        <f t="shared" si="63"/>
        <v>-9400601533.5765667</v>
      </c>
      <c r="F273" s="29">
        <f t="shared" si="64"/>
        <v>149418282634.74161</v>
      </c>
      <c r="G273" s="17">
        <f t="shared" si="65"/>
        <v>6.7828242028065073</v>
      </c>
      <c r="H273" s="16">
        <f t="shared" si="66"/>
        <v>2.1285378449689847E-11</v>
      </c>
      <c r="I273" s="16">
        <f t="shared" si="67"/>
        <v>46980607009.811996</v>
      </c>
      <c r="J273" s="16">
        <f t="shared" si="68"/>
        <v>41237492178.165489</v>
      </c>
      <c r="K273" s="18">
        <f t="shared" si="69"/>
        <v>22508813248.728516</v>
      </c>
      <c r="L273" s="17">
        <f t="shared" si="70"/>
        <v>6.2410502534159029</v>
      </c>
      <c r="M273" s="16">
        <f t="shared" si="71"/>
        <v>2.1735344018011174E-11</v>
      </c>
      <c r="N273" s="16">
        <f t="shared" si="72"/>
        <v>69012020180.449524</v>
      </c>
      <c r="O273" s="16">
        <f t="shared" si="74"/>
        <v>60575689066.68911</v>
      </c>
      <c r="P273" s="18">
        <f t="shared" si="73"/>
        <v>33064252955.156487</v>
      </c>
    </row>
    <row r="274" spans="1:16" x14ac:dyDescent="0.4">
      <c r="A274" s="14">
        <v>0.26100000000000001</v>
      </c>
      <c r="B274" s="44">
        <f t="shared" si="75"/>
        <v>1.6399113651738721</v>
      </c>
      <c r="C274" s="40">
        <f t="shared" si="61"/>
        <v>6.6787145226024753E-12</v>
      </c>
      <c r="D274" s="15">
        <f t="shared" si="62"/>
        <v>149729412241.79364</v>
      </c>
      <c r="E274" s="15">
        <f t="shared" si="63"/>
        <v>-10340317059.621147</v>
      </c>
      <c r="F274" s="29">
        <f t="shared" si="64"/>
        <v>149371934222.52887</v>
      </c>
      <c r="G274" s="17">
        <f t="shared" si="65"/>
        <v>6.8089119882019178</v>
      </c>
      <c r="H274" s="16">
        <f t="shared" si="66"/>
        <v>2.1237933068869434E-11</v>
      </c>
      <c r="I274" s="16">
        <f t="shared" si="67"/>
        <v>47085561328.272575</v>
      </c>
      <c r="J274" s="16">
        <f t="shared" si="68"/>
        <v>40727103169.490891</v>
      </c>
      <c r="K274" s="18">
        <f t="shared" si="69"/>
        <v>23629497519.41761</v>
      </c>
      <c r="L274" s="17">
        <f t="shared" si="70"/>
        <v>6.2650542928521187</v>
      </c>
      <c r="M274" s="16">
        <f t="shared" si="71"/>
        <v>2.1738025445933105E-11</v>
      </c>
      <c r="N274" s="16">
        <f t="shared" si="72"/>
        <v>69003507412.888321</v>
      </c>
      <c r="O274" s="16">
        <f t="shared" si="74"/>
        <v>59685238663.045876</v>
      </c>
      <c r="P274" s="18">
        <f t="shared" si="73"/>
        <v>34628836553.020187</v>
      </c>
    </row>
    <row r="275" spans="1:16" x14ac:dyDescent="0.4">
      <c r="A275" s="14">
        <v>0.26200000000000001</v>
      </c>
      <c r="B275" s="44">
        <f t="shared" si="75"/>
        <v>1.6461945504810516</v>
      </c>
      <c r="C275" s="40">
        <f t="shared" si="61"/>
        <v>6.6780142820925775E-12</v>
      </c>
      <c r="D275" s="15">
        <f t="shared" si="62"/>
        <v>149745112507.70291</v>
      </c>
      <c r="E275" s="15">
        <f t="shared" si="63"/>
        <v>-11279820968.626129</v>
      </c>
      <c r="F275" s="29">
        <f t="shared" si="64"/>
        <v>149319671707.58295</v>
      </c>
      <c r="G275" s="17">
        <f t="shared" si="65"/>
        <v>6.8349997735973265</v>
      </c>
      <c r="H275" s="16">
        <f t="shared" si="66"/>
        <v>2.1188305155901044E-11</v>
      </c>
      <c r="I275" s="16">
        <f t="shared" si="67"/>
        <v>47195846606.989952</v>
      </c>
      <c r="J275" s="16">
        <f t="shared" si="68"/>
        <v>40190789896.234703</v>
      </c>
      <c r="K275" s="18">
        <f t="shared" si="69"/>
        <v>24741631806.880558</v>
      </c>
      <c r="L275" s="17">
        <f t="shared" si="70"/>
        <v>6.2890583322883327</v>
      </c>
      <c r="M275" s="16">
        <f t="shared" si="71"/>
        <v>2.1738570921761739E-11</v>
      </c>
      <c r="N275" s="16">
        <f t="shared" si="72"/>
        <v>69001775940.036667</v>
      </c>
      <c r="O275" s="16">
        <f t="shared" si="74"/>
        <v>58760168079.33149</v>
      </c>
      <c r="P275" s="18">
        <f t="shared" si="73"/>
        <v>36173024896.5681</v>
      </c>
    </row>
    <row r="276" spans="1:16" x14ac:dyDescent="0.4">
      <c r="A276" s="14">
        <v>0.26300000000000001</v>
      </c>
      <c r="B276" s="44">
        <f t="shared" si="75"/>
        <v>1.6524777357882312</v>
      </c>
      <c r="C276" s="40">
        <f t="shared" si="61"/>
        <v>6.6773143738676177E-12</v>
      </c>
      <c r="D276" s="15">
        <f t="shared" si="62"/>
        <v>149760808613.95514</v>
      </c>
      <c r="E276" s="15">
        <f t="shared" si="63"/>
        <v>-12219075963.754393</v>
      </c>
      <c r="F276" s="29">
        <f t="shared" si="64"/>
        <v>149261495300.35434</v>
      </c>
      <c r="G276" s="17">
        <f t="shared" si="65"/>
        <v>6.861087558992736</v>
      </c>
      <c r="H276" s="16">
        <f t="shared" si="66"/>
        <v>2.1136528484264282E-11</v>
      </c>
      <c r="I276" s="16">
        <f t="shared" si="67"/>
        <v>47311458962.832039</v>
      </c>
      <c r="J276" s="16">
        <f t="shared" si="68"/>
        <v>39628571241.92614</v>
      </c>
      <c r="K276" s="18">
        <f t="shared" si="69"/>
        <v>25844738159.155811</v>
      </c>
      <c r="L276" s="17">
        <f t="shared" si="70"/>
        <v>6.3130623717245475</v>
      </c>
      <c r="M276" s="16">
        <f t="shared" si="71"/>
        <v>2.1736980131212318E-11</v>
      </c>
      <c r="N276" s="16">
        <f t="shared" si="72"/>
        <v>69006825738.692978</v>
      </c>
      <c r="O276" s="16">
        <f t="shared" si="74"/>
        <v>57800836624.237617</v>
      </c>
      <c r="P276" s="18">
        <f t="shared" si="73"/>
        <v>37696223737.511574</v>
      </c>
    </row>
    <row r="277" spans="1:16" x14ac:dyDescent="0.4">
      <c r="A277" s="14">
        <v>0.26400000000000001</v>
      </c>
      <c r="B277" s="44">
        <f t="shared" si="75"/>
        <v>1.6587609210954108</v>
      </c>
      <c r="C277" s="40">
        <f t="shared" si="61"/>
        <v>6.6766148255587707E-12</v>
      </c>
      <c r="D277" s="15">
        <f t="shared" si="62"/>
        <v>149776499937.04846</v>
      </c>
      <c r="E277" s="15">
        <f t="shared" si="63"/>
        <v>-13158044734.65202</v>
      </c>
      <c r="F277" s="29">
        <f t="shared" si="64"/>
        <v>149197405447.12424</v>
      </c>
      <c r="G277" s="17">
        <f t="shared" si="65"/>
        <v>6.8871753443881465</v>
      </c>
      <c r="H277" s="16">
        <f t="shared" si="66"/>
        <v>2.1082638289741982E-11</v>
      </c>
      <c r="I277" s="16">
        <f t="shared" si="67"/>
        <v>47432393719.270058</v>
      </c>
      <c r="J277" s="16">
        <f t="shared" si="68"/>
        <v>39040469948.353508</v>
      </c>
      <c r="K277" s="18">
        <f t="shared" si="69"/>
        <v>26938331057.278893</v>
      </c>
      <c r="L277" s="17">
        <f t="shared" si="70"/>
        <v>6.3370664111607633</v>
      </c>
      <c r="M277" s="16">
        <f t="shared" si="71"/>
        <v>2.1733253990844658E-11</v>
      </c>
      <c r="N277" s="16">
        <f t="shared" si="72"/>
        <v>69018656876.319092</v>
      </c>
      <c r="O277" s="16">
        <f t="shared" si="74"/>
        <v>56807607383.326553</v>
      </c>
      <c r="P277" s="18">
        <f t="shared" si="73"/>
        <v>39197841016.985764</v>
      </c>
    </row>
    <row r="278" spans="1:16" x14ac:dyDescent="0.4">
      <c r="A278" s="14">
        <v>0.26500000000000001</v>
      </c>
      <c r="B278" s="44">
        <f t="shared" si="75"/>
        <v>1.6650441064025905</v>
      </c>
      <c r="C278" s="40">
        <f t="shared" si="61"/>
        <v>6.6759156647830092E-12</v>
      </c>
      <c r="D278" s="15">
        <f t="shared" si="62"/>
        <v>149792185853.28003</v>
      </c>
      <c r="E278" s="15">
        <f t="shared" si="63"/>
        <v>-14096689958.945614</v>
      </c>
      <c r="F278" s="29">
        <f t="shared" si="64"/>
        <v>149127402830.28116</v>
      </c>
      <c r="G278" s="17">
        <f t="shared" si="65"/>
        <v>6.9132631297835561</v>
      </c>
      <c r="H278" s="16">
        <f t="shared" si="66"/>
        <v>2.1026671246441075E-11</v>
      </c>
      <c r="I278" s="16">
        <f t="shared" si="67"/>
        <v>47558645316.683571</v>
      </c>
      <c r="J278" s="16">
        <f t="shared" si="68"/>
        <v>38426513051.747322</v>
      </c>
      <c r="K278" s="18">
        <f t="shared" si="69"/>
        <v>28021917119.319309</v>
      </c>
      <c r="L278" s="17">
        <f t="shared" si="70"/>
        <v>6.3610704505969782</v>
      </c>
      <c r="M278" s="16">
        <f t="shared" si="71"/>
        <v>2.1727394647535052E-11</v>
      </c>
      <c r="N278" s="16">
        <f t="shared" si="72"/>
        <v>69037269508.526794</v>
      </c>
      <c r="O278" s="16">
        <f t="shared" si="74"/>
        <v>55780847418.203873</v>
      </c>
      <c r="P278" s="18">
        <f t="shared" si="73"/>
        <v>40677286567.567673</v>
      </c>
    </row>
    <row r="279" spans="1:16" x14ac:dyDescent="0.4">
      <c r="A279" s="14">
        <v>0.26600000000000001</v>
      </c>
      <c r="B279" s="44">
        <f t="shared" si="75"/>
        <v>1.6713272917097701</v>
      </c>
      <c r="C279" s="40">
        <f t="shared" si="61"/>
        <v>6.6752169191420028E-12</v>
      </c>
      <c r="D279" s="15">
        <f t="shared" si="62"/>
        <v>149807865738.77133</v>
      </c>
      <c r="E279" s="15">
        <f t="shared" si="63"/>
        <v>-15034974303.74367</v>
      </c>
      <c r="F279" s="29">
        <f t="shared" si="64"/>
        <v>149051488368.58862</v>
      </c>
      <c r="G279" s="17">
        <f t="shared" si="65"/>
        <v>6.9393509151789656</v>
      </c>
      <c r="H279" s="16">
        <f t="shared" si="66"/>
        <v>2.0968665441834564E-11</v>
      </c>
      <c r="I279" s="16">
        <f t="shared" si="67"/>
        <v>47690207217.713577</v>
      </c>
      <c r="J279" s="16">
        <f t="shared" si="68"/>
        <v>37786732343.045326</v>
      </c>
      <c r="K279" s="18">
        <f t="shared" si="69"/>
        <v>29094994815.320251</v>
      </c>
      <c r="L279" s="17">
        <f t="shared" si="70"/>
        <v>6.3850744900331931</v>
      </c>
      <c r="M279" s="16">
        <f t="shared" si="71"/>
        <v>2.171940547723933E-11</v>
      </c>
      <c r="N279" s="16">
        <f t="shared" si="72"/>
        <v>69062663873.185318</v>
      </c>
      <c r="O279" s="16">
        <f t="shared" si="74"/>
        <v>54720927983.396484</v>
      </c>
      <c r="P279" s="18">
        <f t="shared" si="73"/>
        <v>42133971826.739906</v>
      </c>
    </row>
    <row r="280" spans="1:16" x14ac:dyDescent="0.4">
      <c r="A280" s="14">
        <v>0.26700000000000002</v>
      </c>
      <c r="B280" s="44">
        <f t="shared" si="75"/>
        <v>1.6776104770169495</v>
      </c>
      <c r="C280" s="40">
        <f t="shared" si="61"/>
        <v>6.6745186162210317E-12</v>
      </c>
      <c r="D280" s="15">
        <f t="shared" si="62"/>
        <v>149823538969.49326</v>
      </c>
      <c r="E280" s="15">
        <f t="shared" si="63"/>
        <v>-15972860427.142056</v>
      </c>
      <c r="F280" s="29">
        <f t="shared" si="64"/>
        <v>148969663217.44272</v>
      </c>
      <c r="G280" s="17">
        <f t="shared" si="65"/>
        <v>6.9654387005743743</v>
      </c>
      <c r="H280" s="16">
        <f t="shared" si="66"/>
        <v>2.0908660350841765E-11</v>
      </c>
      <c r="I280" s="16">
        <f t="shared" si="67"/>
        <v>47827071807.579521</v>
      </c>
      <c r="J280" s="16">
        <f t="shared" si="68"/>
        <v>37121164852.64637</v>
      </c>
      <c r="K280" s="18">
        <f t="shared" si="69"/>
        <v>30157054194.168564</v>
      </c>
      <c r="L280" s="17">
        <f t="shared" si="70"/>
        <v>6.409078529469407</v>
      </c>
      <c r="M280" s="16">
        <f t="shared" si="71"/>
        <v>2.1709291083047725E-11</v>
      </c>
      <c r="N280" s="16">
        <f t="shared" si="72"/>
        <v>69094840281.141876</v>
      </c>
      <c r="O280" s="16">
        <f t="shared" si="74"/>
        <v>53628224760.710983</v>
      </c>
      <c r="P280" s="18">
        <f t="shared" si="73"/>
        <v>43567309562.229927</v>
      </c>
    </row>
    <row r="281" spans="1:16" x14ac:dyDescent="0.4">
      <c r="A281" s="14">
        <v>0.26800000000000002</v>
      </c>
      <c r="B281" s="44">
        <f t="shared" si="75"/>
        <v>1.6838936623241292</v>
      </c>
      <c r="C281" s="40">
        <f t="shared" si="61"/>
        <v>6.6738207835879014E-12</v>
      </c>
      <c r="D281" s="15">
        <f t="shared" si="62"/>
        <v>149839204921.29123</v>
      </c>
      <c r="E281" s="15">
        <f t="shared" si="63"/>
        <v>-16910310979.733736</v>
      </c>
      <c r="F281" s="29">
        <f t="shared" si="64"/>
        <v>148881928769.12027</v>
      </c>
      <c r="G281" s="17">
        <f t="shared" si="65"/>
        <v>6.9915264859697848</v>
      </c>
      <c r="H281" s="16">
        <f t="shared" si="66"/>
        <v>2.0846696808964222E-11</v>
      </c>
      <c r="I281" s="16">
        <f t="shared" si="67"/>
        <v>47969230289.279846</v>
      </c>
      <c r="J281" s="16">
        <f t="shared" si="68"/>
        <v>36429853360.047218</v>
      </c>
      <c r="K281" s="18">
        <f t="shared" si="69"/>
        <v>31207576623.496731</v>
      </c>
      <c r="L281" s="17">
        <f t="shared" si="70"/>
        <v>6.4330825689056228</v>
      </c>
      <c r="M281" s="16">
        <f t="shared" si="71"/>
        <v>2.1697057292532735E-11</v>
      </c>
      <c r="N281" s="16">
        <f t="shared" si="72"/>
        <v>69133799103.542053</v>
      </c>
      <c r="O281" s="16">
        <f t="shared" si="74"/>
        <v>52503118110.857872</v>
      </c>
      <c r="P281" s="18">
        <f t="shared" si="73"/>
        <v>44976713609.669395</v>
      </c>
    </row>
    <row r="282" spans="1:16" x14ac:dyDescent="0.4">
      <c r="A282" s="14">
        <v>0.26900000000000002</v>
      </c>
      <c r="B282" s="44">
        <f t="shared" si="75"/>
        <v>1.6901768476313088</v>
      </c>
      <c r="C282" s="40">
        <f t="shared" si="61"/>
        <v>6.6731234487918475E-12</v>
      </c>
      <c r="D282" s="15">
        <f t="shared" si="62"/>
        <v>149854862969.91068</v>
      </c>
      <c r="E282" s="15">
        <f t="shared" si="63"/>
        <v>-17847288606.122227</v>
      </c>
      <c r="F282" s="29">
        <f t="shared" si="64"/>
        <v>148788286653.01743</v>
      </c>
      <c r="G282" s="17">
        <f t="shared" si="65"/>
        <v>7.0176142713651943</v>
      </c>
      <c r="H282" s="16">
        <f t="shared" si="66"/>
        <v>2.078281698449582E-11</v>
      </c>
      <c r="I282" s="16">
        <f t="shared" si="67"/>
        <v>48116672573.59816</v>
      </c>
      <c r="J282" s="16">
        <f t="shared" si="68"/>
        <v>35712846928.737724</v>
      </c>
      <c r="K282" s="18">
        <f t="shared" si="69"/>
        <v>32246034543.791607</v>
      </c>
      <c r="L282" s="17">
        <f t="shared" si="70"/>
        <v>6.4570866083418377</v>
      </c>
      <c r="M282" s="16">
        <f t="shared" si="71"/>
        <v>2.1682711154391479E-11</v>
      </c>
      <c r="N282" s="16">
        <f t="shared" si="72"/>
        <v>69179540755.732452</v>
      </c>
      <c r="O282" s="16">
        <f t="shared" si="74"/>
        <v>51345993342.138847</v>
      </c>
      <c r="P282" s="18">
        <f t="shared" si="73"/>
        <v>46361598623.03154</v>
      </c>
    </row>
    <row r="283" spans="1:16" x14ac:dyDescent="0.4">
      <c r="A283" s="14">
        <v>0.27</v>
      </c>
      <c r="B283" s="44">
        <f t="shared" si="75"/>
        <v>1.6964600329384885</v>
      </c>
      <c r="C283" s="40">
        <f t="shared" si="61"/>
        <v>6.6724266393624538E-12</v>
      </c>
      <c r="D283" s="15">
        <f t="shared" si="62"/>
        <v>149870512491.02222</v>
      </c>
      <c r="E283" s="15">
        <f t="shared" si="63"/>
        <v>-18783755946.439281</v>
      </c>
      <c r="F283" s="29">
        <f t="shared" si="64"/>
        <v>148688738735.8782</v>
      </c>
      <c r="G283" s="17">
        <f t="shared" si="65"/>
        <v>7.0437020567606039</v>
      </c>
      <c r="H283" s="16">
        <f t="shared" si="66"/>
        <v>2.0717064349825802E-11</v>
      </c>
      <c r="I283" s="16">
        <f t="shared" si="67"/>
        <v>48269387163.843437</v>
      </c>
      <c r="J283" s="16">
        <f t="shared" si="68"/>
        <v>34970201466.705452</v>
      </c>
      <c r="K283" s="18">
        <f t="shared" si="69"/>
        <v>33271891237.966103</v>
      </c>
      <c r="L283" s="17">
        <f t="shared" si="70"/>
        <v>6.4810906477780525</v>
      </c>
      <c r="M283" s="16">
        <f t="shared" si="71"/>
        <v>2.1666260934384487E-11</v>
      </c>
      <c r="N283" s="16">
        <f t="shared" si="72"/>
        <v>69232065677.723419</v>
      </c>
      <c r="O283" s="16">
        <f t="shared" si="74"/>
        <v>50157240996.000984</v>
      </c>
      <c r="P283" s="18">
        <f t="shared" si="73"/>
        <v>47721379838.324951</v>
      </c>
    </row>
    <row r="284" spans="1:16" x14ac:dyDescent="0.4">
      <c r="A284" s="14">
        <v>0.27100000000000002</v>
      </c>
      <c r="B284" s="44">
        <f t="shared" si="75"/>
        <v>1.7027432182456679</v>
      </c>
      <c r="C284" s="40">
        <f t="shared" si="61"/>
        <v>6.6717303828085657E-12</v>
      </c>
      <c r="D284" s="15">
        <f t="shared" si="62"/>
        <v>149886152860.24716</v>
      </c>
      <c r="E284" s="15">
        <f t="shared" si="63"/>
        <v>-19719675637.866295</v>
      </c>
      <c r="F284" s="29">
        <f t="shared" si="64"/>
        <v>148583287122.01355</v>
      </c>
      <c r="G284" s="17">
        <f t="shared" si="65"/>
        <v>7.0697898421560135</v>
      </c>
      <c r="H284" s="16">
        <f t="shared" si="66"/>
        <v>2.0649483651854315E-11</v>
      </c>
      <c r="I284" s="16">
        <f t="shared" si="67"/>
        <v>48427361035.257675</v>
      </c>
      <c r="J284" s="16">
        <f t="shared" si="68"/>
        <v>34201980312.871906</v>
      </c>
      <c r="K284" s="18">
        <f t="shared" si="69"/>
        <v>34284600617.728012</v>
      </c>
      <c r="L284" s="17">
        <f t="shared" si="70"/>
        <v>6.5050946872142674</v>
      </c>
      <c r="M284" s="16">
        <f t="shared" si="71"/>
        <v>2.1647716110573208E-11</v>
      </c>
      <c r="N284" s="16">
        <f t="shared" si="72"/>
        <v>69291374311.185089</v>
      </c>
      <c r="O284" s="16">
        <f t="shared" si="74"/>
        <v>48937257149.270981</v>
      </c>
      <c r="P284" s="18">
        <f t="shared" si="73"/>
        <v>49055472851.037605</v>
      </c>
    </row>
    <row r="285" spans="1:16" x14ac:dyDescent="0.4">
      <c r="A285" s="14">
        <v>0.27200000000000002</v>
      </c>
      <c r="B285" s="44">
        <f t="shared" si="75"/>
        <v>1.7090264035528475</v>
      </c>
      <c r="C285" s="40">
        <f t="shared" si="61"/>
        <v>6.6710347066171977E-12</v>
      </c>
      <c r="D285" s="15">
        <f t="shared" si="62"/>
        <v>149901783453.18311</v>
      </c>
      <c r="E285" s="15">
        <f t="shared" si="63"/>
        <v>-20655010316.159767</v>
      </c>
      <c r="F285" s="29">
        <f t="shared" si="64"/>
        <v>148471934153.51041</v>
      </c>
      <c r="G285" s="17">
        <f t="shared" si="65"/>
        <v>7.095877627551423</v>
      </c>
      <c r="H285" s="16">
        <f t="shared" si="66"/>
        <v>2.0580120881540664E-11</v>
      </c>
      <c r="I285" s="16">
        <f t="shared" si="67"/>
        <v>48590579509.032417</v>
      </c>
      <c r="J285" s="16">
        <f t="shared" si="68"/>
        <v>33408254849.745193</v>
      </c>
      <c r="K285" s="18">
        <f t="shared" si="69"/>
        <v>35283607028.166466</v>
      </c>
      <c r="L285" s="17">
        <f t="shared" si="70"/>
        <v>6.5290987266504823</v>
      </c>
      <c r="M285" s="16">
        <f t="shared" si="71"/>
        <v>2.1627087367859108E-11</v>
      </c>
      <c r="N285" s="16">
        <f t="shared" si="72"/>
        <v>69357467072.945328</v>
      </c>
      <c r="O285" s="16">
        <f t="shared" si="74"/>
        <v>47686443732.885391</v>
      </c>
      <c r="P285" s="18">
        <f t="shared" si="73"/>
        <v>50363293407.848648</v>
      </c>
    </row>
    <row r="286" spans="1:16" x14ac:dyDescent="0.4">
      <c r="A286" s="14">
        <v>0.27300000000000002</v>
      </c>
      <c r="B286" s="44">
        <f t="shared" si="75"/>
        <v>1.7153095888600272</v>
      </c>
      <c r="C286" s="40">
        <f t="shared" si="61"/>
        <v>6.6703396382524547E-12</v>
      </c>
      <c r="D286" s="15">
        <f t="shared" si="62"/>
        <v>149917403645.42929</v>
      </c>
      <c r="E286" s="15">
        <f t="shared" si="63"/>
        <v>-21589722617.180141</v>
      </c>
      <c r="F286" s="29">
        <f t="shared" si="64"/>
        <v>148354682410.43082</v>
      </c>
      <c r="G286" s="17">
        <f t="shared" si="65"/>
        <v>7.1219654129468326</v>
      </c>
      <c r="H286" s="16">
        <f t="shared" si="66"/>
        <v>2.0509023242604878E-11</v>
      </c>
      <c r="I286" s="16">
        <f t="shared" si="67"/>
        <v>48759026120.884567</v>
      </c>
      <c r="J286" s="16">
        <f t="shared" si="68"/>
        <v>32589105142.531315</v>
      </c>
      <c r="K286" s="18">
        <f t="shared" si="69"/>
        <v>36268345072.061707</v>
      </c>
      <c r="L286" s="17">
        <f t="shared" si="70"/>
        <v>6.5531027660866972</v>
      </c>
      <c r="M286" s="16">
        <f t="shared" si="71"/>
        <v>2.1604386591827385E-11</v>
      </c>
      <c r="N286" s="16">
        <f t="shared" si="72"/>
        <v>69430344324.954239</v>
      </c>
      <c r="O286" s="16">
        <f t="shared" si="74"/>
        <v>46405208866.937012</v>
      </c>
      <c r="P286" s="18">
        <f t="shared" si="73"/>
        <v>51644257213.146706</v>
      </c>
    </row>
    <row r="287" spans="1:16" x14ac:dyDescent="0.4">
      <c r="A287" s="14">
        <v>0.27400000000000002</v>
      </c>
      <c r="B287" s="44">
        <f t="shared" si="75"/>
        <v>1.7215927741672068</v>
      </c>
      <c r="C287" s="40">
        <f t="shared" si="61"/>
        <v>6.6696452051544459E-12</v>
      </c>
      <c r="D287" s="15">
        <f t="shared" si="62"/>
        <v>149933012812.61234</v>
      </c>
      <c r="E287" s="15">
        <f t="shared" si="63"/>
        <v>-22523775178.424717</v>
      </c>
      <c r="F287" s="29">
        <f t="shared" si="64"/>
        <v>148231534711.00119</v>
      </c>
      <c r="G287" s="17">
        <f t="shared" si="65"/>
        <v>7.1480531983422431</v>
      </c>
      <c r="H287" s="16">
        <f t="shared" si="66"/>
        <v>2.0436239119403973E-11</v>
      </c>
      <c r="I287" s="16">
        <f t="shared" si="67"/>
        <v>48932682484.151962</v>
      </c>
      <c r="J287" s="16">
        <f t="shared" si="68"/>
        <v>31744620604.895321</v>
      </c>
      <c r="K287" s="18">
        <f t="shared" si="69"/>
        <v>37238239455.512497</v>
      </c>
      <c r="L287" s="17">
        <f t="shared" si="70"/>
        <v>6.5771068055229129</v>
      </c>
      <c r="M287" s="16">
        <f t="shared" si="71"/>
        <v>2.1579626861898874E-11</v>
      </c>
      <c r="N287" s="16">
        <f t="shared" si="72"/>
        <v>69510006340.6754</v>
      </c>
      <c r="O287" s="16">
        <f t="shared" si="74"/>
        <v>45093967211.858032</v>
      </c>
      <c r="P287" s="18">
        <f t="shared" si="73"/>
        <v>52897779750.917778</v>
      </c>
    </row>
    <row r="288" spans="1:16" x14ac:dyDescent="0.4">
      <c r="A288" s="14">
        <v>0.27500000000000002</v>
      </c>
      <c r="B288" s="44">
        <f t="shared" si="75"/>
        <v>1.7278759594743864</v>
      </c>
      <c r="C288" s="40">
        <f t="shared" si="61"/>
        <v>6.6689514347382021E-12</v>
      </c>
      <c r="D288" s="15">
        <f t="shared" si="62"/>
        <v>149948610330.4119</v>
      </c>
      <c r="E288" s="15">
        <f t="shared" si="63"/>
        <v>-23457130640.564045</v>
      </c>
      <c r="F288" s="29">
        <f t="shared" si="64"/>
        <v>148102494111.79144</v>
      </c>
      <c r="G288" s="17">
        <f t="shared" si="65"/>
        <v>7.1741409837376526</v>
      </c>
      <c r="H288" s="16">
        <f t="shared" si="66"/>
        <v>2.0361818044004775E-11</v>
      </c>
      <c r="I288" s="16">
        <f t="shared" si="67"/>
        <v>49111528147.381447</v>
      </c>
      <c r="J288" s="16">
        <f t="shared" si="68"/>
        <v>30874900691.505268</v>
      </c>
      <c r="K288" s="18">
        <f t="shared" si="69"/>
        <v>38192704856.565575</v>
      </c>
      <c r="L288" s="17">
        <f t="shared" si="70"/>
        <v>6.6011108449591287</v>
      </c>
      <c r="M288" s="16">
        <f t="shared" si="71"/>
        <v>2.1552822443794157E-11</v>
      </c>
      <c r="N288" s="16">
        <f t="shared" si="72"/>
        <v>69596453267.859802</v>
      </c>
      <c r="O288" s="16">
        <f t="shared" si="74"/>
        <v>43753140335.559456</v>
      </c>
      <c r="P288" s="18">
        <f t="shared" si="73"/>
        <v>54123276122.591042</v>
      </c>
    </row>
    <row r="289" spans="1:16" x14ac:dyDescent="0.4">
      <c r="A289" s="14">
        <v>0.27600000000000002</v>
      </c>
      <c r="B289" s="44">
        <f t="shared" si="75"/>
        <v>1.7341591447815659</v>
      </c>
      <c r="C289" s="40">
        <f t="shared" si="61"/>
        <v>6.6682583543925899E-12</v>
      </c>
      <c r="D289" s="15">
        <f t="shared" si="62"/>
        <v>149964195574.5864</v>
      </c>
      <c r="E289" s="15">
        <f t="shared" si="63"/>
        <v>-24389751648.981838</v>
      </c>
      <c r="F289" s="29">
        <f t="shared" si="64"/>
        <v>147967563907.88416</v>
      </c>
      <c r="G289" s="17">
        <f t="shared" si="65"/>
        <v>7.2002287691330613</v>
      </c>
      <c r="H289" s="16">
        <f t="shared" si="66"/>
        <v>2.0285810662475647E-11</v>
      </c>
      <c r="I289" s="16">
        <f t="shared" si="67"/>
        <v>49295540446.396027</v>
      </c>
      <c r="J289" s="16">
        <f t="shared" si="68"/>
        <v>29980055617.424259</v>
      </c>
      <c r="K289" s="18">
        <f t="shared" si="69"/>
        <v>39131145818.624001</v>
      </c>
      <c r="L289" s="17">
        <f t="shared" si="70"/>
        <v>6.6251148843953427</v>
      </c>
      <c r="M289" s="16">
        <f t="shared" si="71"/>
        <v>2.1523988781314112E-11</v>
      </c>
      <c r="N289" s="16">
        <f t="shared" si="72"/>
        <v>69689685087.655014</v>
      </c>
      <c r="O289" s="16">
        <f t="shared" si="74"/>
        <v>42383157096.341904</v>
      </c>
      <c r="P289" s="18">
        <f t="shared" si="73"/>
        <v>55320160901.459137</v>
      </c>
    </row>
    <row r="290" spans="1:16" x14ac:dyDescent="0.4">
      <c r="A290" s="14">
        <v>0.27700000000000002</v>
      </c>
      <c r="B290" s="44">
        <f t="shared" si="75"/>
        <v>1.7404423300887455</v>
      </c>
      <c r="C290" s="40">
        <f t="shared" si="61"/>
        <v>6.6675659914792345E-12</v>
      </c>
      <c r="D290" s="15">
        <f t="shared" si="62"/>
        <v>149979767920.99881</v>
      </c>
      <c r="E290" s="15">
        <f t="shared" si="63"/>
        <v>-25321600855.318615</v>
      </c>
      <c r="F290" s="29">
        <f t="shared" si="64"/>
        <v>147826747633.03357</v>
      </c>
      <c r="G290" s="17">
        <f t="shared" si="65"/>
        <v>7.2263165545284718</v>
      </c>
      <c r="H290" s="16">
        <f t="shared" si="66"/>
        <v>2.0208268700420127E-11</v>
      </c>
      <c r="I290" s="16">
        <f t="shared" si="67"/>
        <v>49484694350.84314</v>
      </c>
      <c r="J290" s="16">
        <f t="shared" si="68"/>
        <v>29060207104.34042</v>
      </c>
      <c r="K290" s="18">
        <f t="shared" si="69"/>
        <v>40052956670.503235</v>
      </c>
      <c r="L290" s="17">
        <f t="shared" si="70"/>
        <v>6.6491189238315584</v>
      </c>
      <c r="M290" s="16">
        <f t="shared" si="71"/>
        <v>2.1493142487441721E-11</v>
      </c>
      <c r="N290" s="16">
        <f t="shared" si="72"/>
        <v>69789701569.997894</v>
      </c>
      <c r="O290" s="16">
        <f t="shared" si="74"/>
        <v>40984454041.387749</v>
      </c>
      <c r="P290" s="18">
        <f t="shared" si="73"/>
        <v>56487848004.316307</v>
      </c>
    </row>
    <row r="291" spans="1:16" x14ac:dyDescent="0.4">
      <c r="A291" s="14">
        <v>0.27800000000000002</v>
      </c>
      <c r="B291" s="44">
        <f t="shared" si="75"/>
        <v>1.7467255153959251</v>
      </c>
      <c r="C291" s="40">
        <f t="shared" si="61"/>
        <v>6.6668743733314401E-12</v>
      </c>
      <c r="D291" s="15">
        <f t="shared" si="62"/>
        <v>149995326745.64252</v>
      </c>
      <c r="E291" s="15">
        <f t="shared" si="63"/>
        <v>-26252640919.018406</v>
      </c>
      <c r="F291" s="29">
        <f t="shared" si="64"/>
        <v>147680049059.81424</v>
      </c>
      <c r="G291" s="17">
        <f t="shared" si="65"/>
        <v>7.2524043399238813</v>
      </c>
      <c r="H291" s="16">
        <f t="shared" si="66"/>
        <v>2.0129244927775907E-11</v>
      </c>
      <c r="I291" s="16">
        <f t="shared" si="67"/>
        <v>49678962305.243835</v>
      </c>
      <c r="J291" s="16">
        <f t="shared" si="68"/>
        <v>28115489153.539181</v>
      </c>
      <c r="K291" s="18">
        <f t="shared" si="69"/>
        <v>40957521475.097328</v>
      </c>
      <c r="L291" s="17">
        <f t="shared" si="70"/>
        <v>6.6731229632677733</v>
      </c>
      <c r="M291" s="16">
        <f t="shared" si="71"/>
        <v>2.1460301334770248E-11</v>
      </c>
      <c r="N291" s="16">
        <f t="shared" si="72"/>
        <v>69896502225.235825</v>
      </c>
      <c r="O291" s="16">
        <f t="shared" si="74"/>
        <v>39557475820.63549</v>
      </c>
      <c r="P291" s="18">
        <f t="shared" si="73"/>
        <v>57625750580.987968</v>
      </c>
    </row>
    <row r="292" spans="1:16" x14ac:dyDescent="0.4">
      <c r="A292" s="14">
        <v>0.27900000000000003</v>
      </c>
      <c r="B292" s="44">
        <f t="shared" si="75"/>
        <v>1.7530087007031048</v>
      </c>
      <c r="C292" s="40">
        <f t="shared" si="61"/>
        <v>6.6661835272531053E-12</v>
      </c>
      <c r="D292" s="15">
        <f t="shared" si="62"/>
        <v>150010871424.66721</v>
      </c>
      <c r="E292" s="15">
        <f t="shared" si="63"/>
        <v>-27182834508.879162</v>
      </c>
      <c r="F292" s="29">
        <f t="shared" si="64"/>
        <v>147527472199.75989</v>
      </c>
      <c r="G292" s="17">
        <f t="shared" si="65"/>
        <v>7.2784921253192909</v>
      </c>
      <c r="H292" s="16">
        <f t="shared" si="66"/>
        <v>2.0048793122903079E-11</v>
      </c>
      <c r="I292" s="16">
        <f t="shared" si="67"/>
        <v>49878314064.58242</v>
      </c>
      <c r="J292" s="16">
        <f t="shared" si="68"/>
        <v>27146048845.424843</v>
      </c>
      <c r="K292" s="18">
        <f t="shared" si="69"/>
        <v>41844214008.712471</v>
      </c>
      <c r="L292" s="17">
        <f t="shared" si="70"/>
        <v>6.6971270027039882</v>
      </c>
      <c r="M292" s="16">
        <f t="shared" si="71"/>
        <v>2.1425484245263244E-11</v>
      </c>
      <c r="N292" s="16">
        <f t="shared" si="72"/>
        <v>70010086251.918472</v>
      </c>
      <c r="O292" s="16">
        <f t="shared" si="74"/>
        <v>38102675615.824188</v>
      </c>
      <c r="P292" s="18">
        <f t="shared" si="73"/>
        <v>58733280922.457764</v>
      </c>
    </row>
    <row r="293" spans="1:16" x14ac:dyDescent="0.4">
      <c r="A293" s="14">
        <v>0.28000000000000003</v>
      </c>
      <c r="B293" s="44">
        <f t="shared" si="75"/>
        <v>1.7592918860102844</v>
      </c>
      <c r="C293" s="40">
        <f t="shared" si="61"/>
        <v>6.6654934805176494E-12</v>
      </c>
      <c r="D293" s="15">
        <f t="shared" si="62"/>
        <v>150026401334.40488</v>
      </c>
      <c r="E293" s="15">
        <f t="shared" si="63"/>
        <v>-28112144304.606327</v>
      </c>
      <c r="F293" s="29">
        <f t="shared" si="64"/>
        <v>147369021303.49142</v>
      </c>
      <c r="G293" s="17">
        <f t="shared" si="65"/>
        <v>7.3045799107147014</v>
      </c>
      <c r="H293" s="16">
        <f t="shared" si="66"/>
        <v>1.9966968035986161E-11</v>
      </c>
      <c r="I293" s="16">
        <f t="shared" si="67"/>
        <v>50082716524.497627</v>
      </c>
      <c r="J293" s="16">
        <f t="shared" si="68"/>
        <v>26152047165.294289</v>
      </c>
      <c r="K293" s="18">
        <f t="shared" si="69"/>
        <v>42712397773.215813</v>
      </c>
      <c r="L293" s="17">
        <f t="shared" si="70"/>
        <v>6.721131042140204</v>
      </c>
      <c r="M293" s="16">
        <f t="shared" si="71"/>
        <v>2.1388711279352369E-11</v>
      </c>
      <c r="N293" s="16">
        <f t="shared" si="72"/>
        <v>70130452480.698441</v>
      </c>
      <c r="O293" s="16">
        <f t="shared" si="74"/>
        <v>36620515584.483917</v>
      </c>
      <c r="P293" s="18">
        <f t="shared" si="73"/>
        <v>59809850388.32711</v>
      </c>
    </row>
    <row r="294" spans="1:16" x14ac:dyDescent="0.4">
      <c r="A294" s="14">
        <v>0.28100000000000003</v>
      </c>
      <c r="B294" s="44">
        <f t="shared" si="75"/>
        <v>1.7655750713174638</v>
      </c>
      <c r="C294" s="40">
        <f t="shared" si="61"/>
        <v>6.6648042603669388E-12</v>
      </c>
      <c r="D294" s="15">
        <f t="shared" si="62"/>
        <v>150041915851.39572</v>
      </c>
      <c r="E294" s="15">
        <f t="shared" si="63"/>
        <v>-29040532998.369583</v>
      </c>
      <c r="F294" s="29">
        <f t="shared" si="64"/>
        <v>147204700860.83502</v>
      </c>
      <c r="G294" s="17">
        <f t="shared" si="65"/>
        <v>7.33066769611011</v>
      </c>
      <c r="H294" s="16">
        <f t="shared" si="66"/>
        <v>1.9883825351774719E-11</v>
      </c>
      <c r="I294" s="16">
        <f t="shared" si="67"/>
        <v>50292133546.161209</v>
      </c>
      <c r="J294" s="16">
        <f t="shared" si="68"/>
        <v>25133659854.946411</v>
      </c>
      <c r="K294" s="18">
        <f t="shared" si="69"/>
        <v>43561426043.241158</v>
      </c>
      <c r="L294" s="17">
        <f t="shared" si="70"/>
        <v>6.7451350815764179</v>
      </c>
      <c r="M294" s="16">
        <f t="shared" si="71"/>
        <v>2.135000362437925E-11</v>
      </c>
      <c r="N294" s="16">
        <f t="shared" si="72"/>
        <v>70257599314.277039</v>
      </c>
      <c r="O294" s="16">
        <f t="shared" si="74"/>
        <v>35111467318.628815</v>
      </c>
      <c r="P294" s="18">
        <f t="shared" si="73"/>
        <v>60854869354.377563</v>
      </c>
    </row>
    <row r="295" spans="1:16" x14ac:dyDescent="0.4">
      <c r="A295" s="14">
        <v>0.28199999999999997</v>
      </c>
      <c r="B295" s="44">
        <f t="shared" si="75"/>
        <v>1.7718582566246432</v>
      </c>
      <c r="C295" s="40">
        <f t="shared" si="61"/>
        <v>6.6641158940102032E-12</v>
      </c>
      <c r="D295" s="15">
        <f t="shared" si="62"/>
        <v>150057414352.41446</v>
      </c>
      <c r="E295" s="15">
        <f t="shared" si="63"/>
        <v>-29967963296.362972</v>
      </c>
      <c r="F295" s="29">
        <f t="shared" si="64"/>
        <v>147034515600.92972</v>
      </c>
      <c r="G295" s="17">
        <f t="shared" si="65"/>
        <v>7.3567554815055187</v>
      </c>
      <c r="H295" s="16">
        <f t="shared" si="66"/>
        <v>1.9799421651688E-11</v>
      </c>
      <c r="I295" s="16">
        <f t="shared" si="67"/>
        <v>50506525775.955933</v>
      </c>
      <c r="J295" s="16">
        <f t="shared" si="68"/>
        <v>24091078289.581261</v>
      </c>
      <c r="K295" s="18">
        <f t="shared" si="69"/>
        <v>44390641950.782463</v>
      </c>
      <c r="L295" s="17">
        <f t="shared" si="70"/>
        <v>6.7691391210126319</v>
      </c>
      <c r="M295" s="16">
        <f t="shared" si="71"/>
        <v>2.1309383582388021E-11</v>
      </c>
      <c r="N295" s="16">
        <f t="shared" si="72"/>
        <v>70391524663.328796</v>
      </c>
      <c r="O295" s="16">
        <f t="shared" si="74"/>
        <v>33576012317.888393</v>
      </c>
      <c r="P295" s="18">
        <f t="shared" si="73"/>
        <v>61867747181.039597</v>
      </c>
    </row>
    <row r="296" spans="1:16" x14ac:dyDescent="0.4">
      <c r="A296" s="14">
        <v>0.28299999999999997</v>
      </c>
      <c r="B296" s="44">
        <f t="shared" si="75"/>
        <v>1.7781414419318227</v>
      </c>
      <c r="C296" s="40">
        <f t="shared" si="61"/>
        <v>6.6634284086229672E-12</v>
      </c>
      <c r="D296" s="15">
        <f t="shared" si="62"/>
        <v>150072896214.49619</v>
      </c>
      <c r="E296" s="15">
        <f t="shared" si="63"/>
        <v>-30894397920.367786</v>
      </c>
      <c r="F296" s="29">
        <f t="shared" si="64"/>
        <v>146858470492.3244</v>
      </c>
      <c r="G296" s="17">
        <f t="shared" si="65"/>
        <v>7.3828432669009283</v>
      </c>
      <c r="H296" s="16">
        <f t="shared" si="66"/>
        <v>1.971381437530938E-11</v>
      </c>
      <c r="I296" s="16">
        <f t="shared" si="67"/>
        <v>50725850460.094254</v>
      </c>
      <c r="J296" s="16">
        <f t="shared" si="68"/>
        <v>23024510379.302536</v>
      </c>
      <c r="K296" s="18">
        <f t="shared" si="69"/>
        <v>45199378609.591904</v>
      </c>
      <c r="L296" s="17">
        <f t="shared" si="70"/>
        <v>6.7931431604488468</v>
      </c>
      <c r="M296" s="16">
        <f t="shared" si="71"/>
        <v>2.1266874557275679E-11</v>
      </c>
      <c r="N296" s="16">
        <f t="shared" si="72"/>
        <v>70532225878.335754</v>
      </c>
      <c r="O296" s="16">
        <f t="shared" si="74"/>
        <v>32014642476.790424</v>
      </c>
      <c r="P296" s="18">
        <f t="shared" si="73"/>
        <v>62847892203.604263</v>
      </c>
    </row>
    <row r="297" spans="1:16" x14ac:dyDescent="0.4">
      <c r="A297" s="14">
        <v>0.28399999999999997</v>
      </c>
      <c r="B297" s="44">
        <f t="shared" si="75"/>
        <v>1.7844246272390023</v>
      </c>
      <c r="C297" s="40">
        <f t="shared" si="61"/>
        <v>6.6627418313459776E-12</v>
      </c>
      <c r="D297" s="15">
        <f t="shared" si="62"/>
        <v>150088360814.96265</v>
      </c>
      <c r="E297" s="15">
        <f t="shared" si="63"/>
        <v>-31819799609.318745</v>
      </c>
      <c r="F297" s="29">
        <f t="shared" si="64"/>
        <v>146676570743.06451</v>
      </c>
      <c r="G297" s="17">
        <f t="shared" si="65"/>
        <v>7.4089310522963379</v>
      </c>
      <c r="H297" s="16">
        <f t="shared" si="66"/>
        <v>1.9627061781296753E-11</v>
      </c>
      <c r="I297" s="16">
        <f t="shared" si="67"/>
        <v>50950061254.350952</v>
      </c>
      <c r="J297" s="16">
        <f t="shared" si="68"/>
        <v>21934181494.381027</v>
      </c>
      <c r="K297" s="18">
        <f t="shared" si="69"/>
        <v>45986959281.884109</v>
      </c>
      <c r="L297" s="17">
        <f t="shared" si="70"/>
        <v>6.8171471998850617</v>
      </c>
      <c r="M297" s="16">
        <f t="shared" si="71"/>
        <v>2.122250104130753E-11</v>
      </c>
      <c r="N297" s="16">
        <f t="shared" si="72"/>
        <v>70679699677.262177</v>
      </c>
      <c r="O297" s="16">
        <f t="shared" si="74"/>
        <v>30427860585.87952</v>
      </c>
      <c r="P297" s="18">
        <f t="shared" si="73"/>
        <v>63794711745.051842</v>
      </c>
    </row>
    <row r="298" spans="1:16" x14ac:dyDescent="0.4">
      <c r="A298" s="14">
        <v>0.28499999999999998</v>
      </c>
      <c r="B298" s="44">
        <f t="shared" si="75"/>
        <v>1.7907078125461819</v>
      </c>
      <c r="C298" s="40">
        <f t="shared" si="61"/>
        <v>6.6620561892841302E-12</v>
      </c>
      <c r="D298" s="15">
        <f t="shared" si="62"/>
        <v>150103807531.44846</v>
      </c>
      <c r="E298" s="15">
        <f t="shared" si="63"/>
        <v>-32744131120.87289</v>
      </c>
      <c r="F298" s="29">
        <f t="shared" si="64"/>
        <v>146488821800.76816</v>
      </c>
      <c r="G298" s="17">
        <f t="shared" si="65"/>
        <v>7.4350188376917474</v>
      </c>
      <c r="H298" s="16">
        <f t="shared" si="66"/>
        <v>1.9539222907735546E-11</v>
      </c>
      <c r="I298" s="16">
        <f t="shared" si="67"/>
        <v>51179108029.117249</v>
      </c>
      <c r="J298" s="16">
        <f t="shared" si="68"/>
        <v>20820335413.26915</v>
      </c>
      <c r="K298" s="18">
        <f t="shared" si="69"/>
        <v>46752697589.925484</v>
      </c>
      <c r="L298" s="17">
        <f t="shared" si="70"/>
        <v>6.8411512393212766</v>
      </c>
      <c r="M298" s="16">
        <f t="shared" si="71"/>
        <v>2.1176288601005556E-11</v>
      </c>
      <c r="N298" s="16">
        <f t="shared" si="72"/>
        <v>70833942068.997513</v>
      </c>
      <c r="O298" s="16">
        <f t="shared" si="74"/>
        <v>28816180846.324177</v>
      </c>
      <c r="P298" s="18">
        <f t="shared" si="73"/>
        <v>64707612152.404724</v>
      </c>
    </row>
    <row r="299" spans="1:16" x14ac:dyDescent="0.4">
      <c r="A299" s="14">
        <v>0.28599999999999998</v>
      </c>
      <c r="B299" s="44">
        <f t="shared" si="75"/>
        <v>1.7969909978533616</v>
      </c>
      <c r="C299" s="40">
        <f t="shared" si="61"/>
        <v>6.6613715095053986E-12</v>
      </c>
      <c r="D299" s="15">
        <f t="shared" si="62"/>
        <v>150119235741.92743</v>
      </c>
      <c r="E299" s="15">
        <f t="shared" si="63"/>
        <v>-33667355232.981583</v>
      </c>
      <c r="F299" s="29">
        <f t="shared" si="64"/>
        <v>146295229352.6915</v>
      </c>
      <c r="G299" s="17">
        <f t="shared" si="65"/>
        <v>7.4611066230871579</v>
      </c>
      <c r="H299" s="16">
        <f t="shared" si="66"/>
        <v>1.9450357531961303E-11</v>
      </c>
      <c r="I299" s="16">
        <f t="shared" si="67"/>
        <v>51412936670.021385</v>
      </c>
      <c r="J299" s="16">
        <f t="shared" si="68"/>
        <v>19683235292.175819</v>
      </c>
      <c r="K299" s="18">
        <f t="shared" si="69"/>
        <v>47495897775.160263</v>
      </c>
      <c r="L299" s="17">
        <f t="shared" si="70"/>
        <v>6.8651552787574923</v>
      </c>
      <c r="M299" s="16">
        <f t="shared" si="71"/>
        <v>2.1128263862417878E-11</v>
      </c>
      <c r="N299" s="16">
        <f t="shared" si="72"/>
        <v>70994948272.495819</v>
      </c>
      <c r="O299" s="16">
        <f t="shared" si="74"/>
        <v>27180129397.630947</v>
      </c>
      <c r="P299" s="18">
        <f t="shared" si="73"/>
        <v>65585998857.548813</v>
      </c>
    </row>
    <row r="300" spans="1:16" x14ac:dyDescent="0.4">
      <c r="A300" s="14">
        <v>0.28699999999999998</v>
      </c>
      <c r="B300" s="44">
        <f t="shared" si="75"/>
        <v>1.803274183160541</v>
      </c>
      <c r="C300" s="40">
        <f t="shared" si="61"/>
        <v>6.6606878190397686E-12</v>
      </c>
      <c r="D300" s="15">
        <f t="shared" si="62"/>
        <v>150134644824.73883</v>
      </c>
      <c r="E300" s="15">
        <f t="shared" si="63"/>
        <v>-34589434745.465088</v>
      </c>
      <c r="F300" s="29">
        <f t="shared" si="64"/>
        <v>146095799325.78381</v>
      </c>
      <c r="G300" s="17">
        <f t="shared" si="65"/>
        <v>7.4871944084825666</v>
      </c>
      <c r="H300" s="16">
        <f t="shared" si="66"/>
        <v>1.9360526129879177E-11</v>
      </c>
      <c r="I300" s="16">
        <f t="shared" si="67"/>
        <v>51651488874.400787</v>
      </c>
      <c r="J300" s="16">
        <f t="shared" si="68"/>
        <v>18523164654.814938</v>
      </c>
      <c r="K300" s="18">
        <f t="shared" si="69"/>
        <v>48215855007.590218</v>
      </c>
      <c r="L300" s="17">
        <f t="shared" si="70"/>
        <v>6.8891593181937063</v>
      </c>
      <c r="M300" s="16">
        <f t="shared" si="71"/>
        <v>2.1078454495777711E-11</v>
      </c>
      <c r="N300" s="16">
        <f t="shared" si="72"/>
        <v>71162712631.538971</v>
      </c>
      <c r="O300" s="16">
        <f t="shared" si="74"/>
        <v>25520244858.044609</v>
      </c>
      <c r="P300" s="18">
        <f t="shared" si="73"/>
        <v>66429276463.502472</v>
      </c>
    </row>
    <row r="301" spans="1:16" x14ac:dyDescent="0.4">
      <c r="A301" s="14">
        <v>0.28799999999999998</v>
      </c>
      <c r="B301" s="44">
        <f t="shared" si="75"/>
        <v>1.8095573684677206</v>
      </c>
      <c r="C301" s="40">
        <f t="shared" si="61"/>
        <v>6.6600051448781688E-12</v>
      </c>
      <c r="D301" s="15">
        <f t="shared" si="62"/>
        <v>150150034158.61371</v>
      </c>
      <c r="E301" s="15">
        <f t="shared" si="63"/>
        <v>-35510332481.590103</v>
      </c>
      <c r="F301" s="29">
        <f t="shared" si="64"/>
        <v>145890537886.73132</v>
      </c>
      <c r="G301" s="17">
        <f t="shared" si="65"/>
        <v>7.5132821938779761</v>
      </c>
      <c r="H301" s="16">
        <f t="shared" si="66"/>
        <v>1.9269789834808002E-11</v>
      </c>
      <c r="I301" s="16">
        <f t="shared" si="67"/>
        <v>51894701943.954216</v>
      </c>
      <c r="J301" s="16">
        <f t="shared" si="68"/>
        <v>17340428400.730206</v>
      </c>
      <c r="K301" s="18">
        <f t="shared" si="69"/>
        <v>48911855748.182312</v>
      </c>
      <c r="L301" s="17">
        <f t="shared" si="70"/>
        <v>6.9131633576299221</v>
      </c>
      <c r="M301" s="16">
        <f t="shared" si="71"/>
        <v>2.1026889199560701E-11</v>
      </c>
      <c r="N301" s="16">
        <f t="shared" si="72"/>
        <v>71337228525.051544</v>
      </c>
      <c r="O301" s="16">
        <f t="shared" si="74"/>
        <v>23837078877.168472</v>
      </c>
      <c r="P301" s="18">
        <f t="shared" si="73"/>
        <v>67236848857.148834</v>
      </c>
    </row>
    <row r="302" spans="1:16" x14ac:dyDescent="0.4">
      <c r="A302" s="14">
        <v>0.28899999999999998</v>
      </c>
      <c r="B302" s="44">
        <f t="shared" si="75"/>
        <v>1.8158405537749003</v>
      </c>
      <c r="C302" s="40">
        <f t="shared" si="61"/>
        <v>6.659323513971406E-12</v>
      </c>
      <c r="D302" s="15">
        <f t="shared" si="62"/>
        <v>150165403122.70129</v>
      </c>
      <c r="E302" s="15">
        <f t="shared" si="63"/>
        <v>-36430011289.649574</v>
      </c>
      <c r="F302" s="29">
        <f t="shared" si="64"/>
        <v>145679451441.99094</v>
      </c>
      <c r="G302" s="17">
        <f t="shared" si="65"/>
        <v>7.5393699792733866</v>
      </c>
      <c r="H302" s="16">
        <f t="shared" si="66"/>
        <v>1.9178210395877024E-11</v>
      </c>
      <c r="I302" s="16">
        <f t="shared" si="67"/>
        <v>52142508573.948189</v>
      </c>
      <c r="J302" s="16">
        <f t="shared" si="68"/>
        <v>16135353830.376799</v>
      </c>
      <c r="K302" s="18">
        <f t="shared" si="69"/>
        <v>49583178167.124435</v>
      </c>
      <c r="L302" s="17">
        <f t="shared" si="70"/>
        <v>6.9371673970661378</v>
      </c>
      <c r="M302" s="16">
        <f t="shared" si="71"/>
        <v>2.0973597683949842E-11</v>
      </c>
      <c r="N302" s="16">
        <f t="shared" si="72"/>
        <v>71518488272.895737</v>
      </c>
      <c r="O302" s="16">
        <f t="shared" si="74"/>
        <v>22131196700.294243</v>
      </c>
      <c r="P302" s="18">
        <f t="shared" si="73"/>
        <v>68008119349.48069</v>
      </c>
    </row>
    <row r="303" spans="1:16" x14ac:dyDescent="0.4">
      <c r="A303" s="14">
        <v>0.28999999999999998</v>
      </c>
      <c r="B303" s="44">
        <f t="shared" si="75"/>
        <v>1.8221237390820799</v>
      </c>
      <c r="C303" s="40">
        <f t="shared" si="61"/>
        <v>6.6586429532291011E-12</v>
      </c>
      <c r="D303" s="15">
        <f t="shared" si="62"/>
        <v>150180751096.59561</v>
      </c>
      <c r="E303" s="15">
        <f t="shared" si="63"/>
        <v>-37348434044.545479</v>
      </c>
      <c r="F303" s="29">
        <f t="shared" si="64"/>
        <v>145462546637.81271</v>
      </c>
      <c r="G303" s="17">
        <f t="shared" si="65"/>
        <v>7.5654577646687962</v>
      </c>
      <c r="H303" s="16">
        <f t="shared" si="66"/>
        <v>1.9085850136003512E-11</v>
      </c>
      <c r="I303" s="16">
        <f t="shared" si="67"/>
        <v>52394836639.401344</v>
      </c>
      <c r="J303" s="16">
        <f t="shared" si="68"/>
        <v>14908291684.898846</v>
      </c>
      <c r="K303" s="18">
        <f t="shared" si="69"/>
        <v>50229092620.786308</v>
      </c>
      <c r="L303" s="17">
        <f t="shared" si="70"/>
        <v>6.9611714365023527</v>
      </c>
      <c r="M303" s="16">
        <f t="shared" si="71"/>
        <v>2.091861065371749E-11</v>
      </c>
      <c r="N303" s="16">
        <f t="shared" si="72"/>
        <v>71706483037.076462</v>
      </c>
      <c r="O303" s="16">
        <f t="shared" si="74"/>
        <v>20403177743.874756</v>
      </c>
      <c r="P303" s="18">
        <f t="shared" si="73"/>
        <v>68742490844.44342</v>
      </c>
    </row>
    <row r="304" spans="1:16" x14ac:dyDescent="0.4">
      <c r="A304" s="14">
        <v>0.29099999999999998</v>
      </c>
      <c r="B304" s="44">
        <f t="shared" si="75"/>
        <v>1.8284069243892596</v>
      </c>
      <c r="C304" s="40">
        <f t="shared" si="61"/>
        <v>6.6579634895186281E-12</v>
      </c>
      <c r="D304" s="15">
        <f t="shared" si="62"/>
        <v>150196077460.36169</v>
      </c>
      <c r="E304" s="15">
        <f t="shared" si="63"/>
        <v>-38265563649.37381</v>
      </c>
      <c r="F304" s="29">
        <f t="shared" si="64"/>
        <v>145239830360.25171</v>
      </c>
      <c r="G304" s="17">
        <f t="shared" si="65"/>
        <v>7.5915455500642057</v>
      </c>
      <c r="H304" s="16">
        <f t="shared" si="66"/>
        <v>1.8992771909479895E-11</v>
      </c>
      <c r="I304" s="16">
        <f t="shared" si="67"/>
        <v>52651608978.722496</v>
      </c>
      <c r="J304" s="16">
        <f t="shared" si="68"/>
        <v>13659617198.289646</v>
      </c>
      <c r="K304" s="18">
        <f t="shared" si="69"/>
        <v>50848862190.264214</v>
      </c>
      <c r="L304" s="17">
        <f t="shared" si="70"/>
        <v>6.9851754759385676</v>
      </c>
      <c r="M304" s="16">
        <f t="shared" si="71"/>
        <v>2.0861959790534269E-11</v>
      </c>
      <c r="N304" s="16">
        <f t="shared" si="72"/>
        <v>71901202718.289078</v>
      </c>
      <c r="O304" s="16">
        <f t="shared" si="74"/>
        <v>18653616181.51791</v>
      </c>
      <c r="P304" s="18">
        <f t="shared" si="73"/>
        <v>69439366037.494278</v>
      </c>
    </row>
    <row r="305" spans="1:16" x14ac:dyDescent="0.4">
      <c r="A305" s="14">
        <v>0.29199999999999998</v>
      </c>
      <c r="B305" s="44">
        <f t="shared" si="75"/>
        <v>1.834690109696439</v>
      </c>
      <c r="C305" s="40">
        <f t="shared" si="61"/>
        <v>6.6572851496640502E-12</v>
      </c>
      <c r="D305" s="15">
        <f t="shared" si="62"/>
        <v>150211381594.56238</v>
      </c>
      <c r="E305" s="15">
        <f t="shared" si="63"/>
        <v>-39181363037.012108</v>
      </c>
      <c r="F305" s="29">
        <f t="shared" si="64"/>
        <v>145011309735.16891</v>
      </c>
      <c r="G305" s="17">
        <f t="shared" si="65"/>
        <v>7.6176333354596153</v>
      </c>
      <c r="H305" s="16">
        <f t="shared" si="66"/>
        <v>1.889903905919927E-11</v>
      </c>
      <c r="I305" s="16">
        <f t="shared" si="67"/>
        <v>52912743175.333107</v>
      </c>
      <c r="J305" s="16">
        <f t="shared" si="68"/>
        <v>12389731159.353683</v>
      </c>
      <c r="K305" s="18">
        <f t="shared" si="69"/>
        <v>51441743284.396004</v>
      </c>
      <c r="L305" s="17">
        <f t="shared" si="70"/>
        <v>7.0091795153747825</v>
      </c>
      <c r="M305" s="16">
        <f t="shared" si="71"/>
        <v>2.0803677734715192E-11</v>
      </c>
      <c r="N305" s="16">
        <f t="shared" si="72"/>
        <v>72102635847.744507</v>
      </c>
      <c r="O305" s="16">
        <f t="shared" si="74"/>
        <v>16883121539.818146</v>
      </c>
      <c r="P305" s="18">
        <f t="shared" si="73"/>
        <v>70098147645.028259</v>
      </c>
    </row>
    <row r="306" spans="1:16" x14ac:dyDescent="0.4">
      <c r="A306" s="14">
        <v>0.29299999999999998</v>
      </c>
      <c r="B306" s="44">
        <f t="shared" si="75"/>
        <v>1.8409732950036186</v>
      </c>
      <c r="C306" s="40">
        <f t="shared" si="61"/>
        <v>6.6566079604450627E-12</v>
      </c>
      <c r="D306" s="15">
        <f t="shared" si="62"/>
        <v>150226662880.2847</v>
      </c>
      <c r="E306" s="15">
        <f t="shared" si="63"/>
        <v>-40095795171.709373</v>
      </c>
      <c r="F306" s="29">
        <f t="shared" si="64"/>
        <v>144776992128.22125</v>
      </c>
      <c r="G306" s="17">
        <f t="shared" si="65"/>
        <v>7.6437211208550249</v>
      </c>
      <c r="H306" s="16">
        <f t="shared" si="66"/>
        <v>1.8804715373548438E-11</v>
      </c>
      <c r="I306" s="16">
        <f t="shared" si="67"/>
        <v>53178151337.863113</v>
      </c>
      <c r="J306" s="16">
        <f t="shared" si="68"/>
        <v>11099060980.60615</v>
      </c>
      <c r="K306" s="18">
        <f t="shared" si="69"/>
        <v>52006986310.124321</v>
      </c>
      <c r="L306" s="17">
        <f t="shared" si="70"/>
        <v>7.0331835548109973</v>
      </c>
      <c r="M306" s="16">
        <f t="shared" si="71"/>
        <v>2.0743798066413407E-11</v>
      </c>
      <c r="N306" s="16">
        <f t="shared" si="72"/>
        <v>72310769474.210815</v>
      </c>
      <c r="O306" s="16">
        <f t="shared" si="74"/>
        <v>15092319303.273287</v>
      </c>
      <c r="P306" s="18">
        <f t="shared" si="73"/>
        <v>70718238665.852692</v>
      </c>
    </row>
    <row r="307" spans="1:16" x14ac:dyDescent="0.4">
      <c r="A307" s="14">
        <v>0.29399999999999998</v>
      </c>
      <c r="B307" s="44">
        <f t="shared" si="75"/>
        <v>1.8472564803107983</v>
      </c>
      <c r="C307" s="40">
        <f t="shared" si="61"/>
        <v>6.6559319485959379E-12</v>
      </c>
      <c r="D307" s="15">
        <f t="shared" si="62"/>
        <v>150241920699.16656</v>
      </c>
      <c r="E307" s="15">
        <f t="shared" si="63"/>
        <v>-41008823050.677979</v>
      </c>
      <c r="F307" s="29">
        <f t="shared" si="64"/>
        <v>144536885144.84058</v>
      </c>
      <c r="G307" s="17">
        <f t="shared" si="65"/>
        <v>7.6698089062504344</v>
      </c>
      <c r="H307" s="16">
        <f t="shared" si="66"/>
        <v>1.870986504299772E-11</v>
      </c>
      <c r="I307" s="16">
        <f t="shared" si="67"/>
        <v>53447739879.569901</v>
      </c>
      <c r="J307" s="16">
        <f t="shared" si="68"/>
        <v>9788061770.950613</v>
      </c>
      <c r="K307" s="18">
        <f t="shared" si="69"/>
        <v>52543836413.058205</v>
      </c>
      <c r="L307" s="17">
        <f t="shared" si="70"/>
        <v>7.0571875942472122</v>
      </c>
      <c r="M307" s="16">
        <f t="shared" si="71"/>
        <v>2.0682355286272436E-11</v>
      </c>
      <c r="N307" s="16">
        <f t="shared" si="72"/>
        <v>72525589046.214661</v>
      </c>
      <c r="O307" s="16">
        <f t="shared" si="74"/>
        <v>13281851527.463331</v>
      </c>
      <c r="P307" s="18">
        <f t="shared" si="73"/>
        <v>71299042675.921188</v>
      </c>
    </row>
    <row r="308" spans="1:16" x14ac:dyDescent="0.4">
      <c r="A308" s="14">
        <v>0.29499999999999998</v>
      </c>
      <c r="B308" s="44">
        <f t="shared" si="75"/>
        <v>1.8535396656179779</v>
      </c>
      <c r="C308" s="40">
        <f t="shared" si="61"/>
        <v>6.6552571408044642E-12</v>
      </c>
      <c r="D308" s="15">
        <f t="shared" si="62"/>
        <v>150257154433.42337</v>
      </c>
      <c r="E308" s="15">
        <f t="shared" si="63"/>
        <v>-41920409705.688049</v>
      </c>
      <c r="F308" s="29">
        <f t="shared" si="64"/>
        <v>144290996630.20175</v>
      </c>
      <c r="G308" s="17">
        <f t="shared" si="65"/>
        <v>7.6958966916458449</v>
      </c>
      <c r="H308" s="16">
        <f t="shared" si="66"/>
        <v>1.8614552616417169E-11</v>
      </c>
      <c r="I308" s="16">
        <f t="shared" si="67"/>
        <v>53721409297.693596</v>
      </c>
      <c r="J308" s="16">
        <f t="shared" si="68"/>
        <v>8457217408.6657982</v>
      </c>
      <c r="K308" s="18">
        <f t="shared" si="69"/>
        <v>53051534291.035164</v>
      </c>
      <c r="L308" s="17">
        <f t="shared" si="70"/>
        <v>7.081191633683428</v>
      </c>
      <c r="M308" s="16">
        <f t="shared" si="71"/>
        <v>2.0619384795548087E-11</v>
      </c>
      <c r="N308" s="16">
        <f t="shared" si="72"/>
        <v>72747078289.351471</v>
      </c>
      <c r="O308" s="16">
        <f t="shared" si="74"/>
        <v>11452377459.589296</v>
      </c>
      <c r="P308" s="18">
        <f t="shared" si="73"/>
        <v>71839964157.564301</v>
      </c>
    </row>
    <row r="309" spans="1:16" x14ac:dyDescent="0.4">
      <c r="A309" s="14">
        <v>0.29599999999999999</v>
      </c>
      <c r="B309" s="44">
        <f t="shared" si="75"/>
        <v>1.8598228509251575</v>
      </c>
      <c r="C309" s="40">
        <f t="shared" si="61"/>
        <v>6.6545835637108989E-12</v>
      </c>
      <c r="D309" s="15">
        <f t="shared" si="62"/>
        <v>150272363465.87469</v>
      </c>
      <c r="E309" s="15">
        <f t="shared" si="63"/>
        <v>-42830518204.66378</v>
      </c>
      <c r="F309" s="29">
        <f t="shared" si="64"/>
        <v>144039334669.17957</v>
      </c>
      <c r="G309" s="17">
        <f t="shared" si="65"/>
        <v>7.7219844770412545</v>
      </c>
      <c r="H309" s="16">
        <f t="shared" si="66"/>
        <v>1.8518842957148893E-11</v>
      </c>
      <c r="I309" s="16">
        <f t="shared" si="67"/>
        <v>53999053953.528267</v>
      </c>
      <c r="J309" s="16">
        <f t="shared" si="68"/>
        <v>7107041610.9115982</v>
      </c>
      <c r="K309" s="18">
        <f t="shared" si="69"/>
        <v>53529317083.415398</v>
      </c>
      <c r="L309" s="17">
        <f t="shared" si="70"/>
        <v>7.1051956731196428</v>
      </c>
      <c r="M309" s="16">
        <f t="shared" si="71"/>
        <v>2.0554922875711432E-11</v>
      </c>
      <c r="N309" s="16">
        <f t="shared" si="72"/>
        <v>72975219078.659912</v>
      </c>
      <c r="O309" s="16">
        <f t="shared" si="74"/>
        <v>9604574165.3875484</v>
      </c>
      <c r="P309" s="18">
        <f t="shared" si="73"/>
        <v>72340408864.478912</v>
      </c>
    </row>
    <row r="310" spans="1:16" x14ac:dyDescent="0.4">
      <c r="A310" s="14">
        <v>0.29699999999999999</v>
      </c>
      <c r="B310" s="44">
        <f t="shared" si="75"/>
        <v>1.866106036232337</v>
      </c>
      <c r="C310" s="40">
        <f t="shared" si="61"/>
        <v>6.6539112439069127E-12</v>
      </c>
      <c r="D310" s="15">
        <f t="shared" si="62"/>
        <v>150287547179.97104</v>
      </c>
      <c r="E310" s="15">
        <f t="shared" si="63"/>
        <v>-43739111653.281792</v>
      </c>
      <c r="F310" s="29">
        <f t="shared" si="64"/>
        <v>143781907586.29462</v>
      </c>
      <c r="G310" s="17">
        <f t="shared" si="65"/>
        <v>7.7480722624366631</v>
      </c>
      <c r="H310" s="16">
        <f t="shared" si="66"/>
        <v>1.8422801198865303E-11</v>
      </c>
      <c r="I310" s="16">
        <f t="shared" si="67"/>
        <v>54280561854.056808</v>
      </c>
      <c r="J310" s="16">
        <f t="shared" si="68"/>
        <v>5738078995.6306448</v>
      </c>
      <c r="K310" s="18">
        <f t="shared" si="69"/>
        <v>53976419338.744484</v>
      </c>
      <c r="L310" s="17">
        <f t="shared" si="70"/>
        <v>7.1291997125558568</v>
      </c>
      <c r="M310" s="16">
        <f t="shared" si="71"/>
        <v>2.0489006667544655E-11</v>
      </c>
      <c r="N310" s="16">
        <f t="shared" si="72"/>
        <v>73209991306.023422</v>
      </c>
      <c r="O310" s="16">
        <f t="shared" si="74"/>
        <v>7739137161.3445988</v>
      </c>
      <c r="P310" s="18">
        <f t="shared" si="73"/>
        <v>72799784223.759354</v>
      </c>
    </row>
    <row r="311" spans="1:16" x14ac:dyDescent="0.4">
      <c r="A311" s="14">
        <v>0.29799999999999999</v>
      </c>
      <c r="B311" s="44">
        <f t="shared" si="75"/>
        <v>1.8723892215395166</v>
      </c>
      <c r="C311" s="40">
        <f t="shared" si="61"/>
        <v>6.6532402079345391E-12</v>
      </c>
      <c r="D311" s="15">
        <f t="shared" si="62"/>
        <v>150302704959.82053</v>
      </c>
      <c r="E311" s="15">
        <f t="shared" si="63"/>
        <v>-44646153196.571518</v>
      </c>
      <c r="F311" s="29">
        <f t="shared" si="64"/>
        <v>143518723945.64804</v>
      </c>
      <c r="G311" s="17">
        <f t="shared" si="65"/>
        <v>7.7741600478320727</v>
      </c>
      <c r="H311" s="16">
        <f t="shared" si="66"/>
        <v>1.8326492701243483E-11</v>
      </c>
      <c r="I311" s="16">
        <f t="shared" si="67"/>
        <v>54565814436.06765</v>
      </c>
      <c r="J311" s="16">
        <f t="shared" si="68"/>
        <v>4350906131.3805065</v>
      </c>
      <c r="K311" s="18">
        <f t="shared" si="69"/>
        <v>54392074063.297897</v>
      </c>
      <c r="L311" s="17">
        <f t="shared" si="70"/>
        <v>7.1532037519920717</v>
      </c>
      <c r="M311" s="16">
        <f t="shared" si="71"/>
        <v>2.0421674149741765E-11</v>
      </c>
      <c r="N311" s="16">
        <f t="shared" si="72"/>
        <v>73451372742.570557</v>
      </c>
      <c r="O311" s="16">
        <f t="shared" si="74"/>
        <v>5856781051.0443869</v>
      </c>
      <c r="P311" s="18">
        <f t="shared" si="73"/>
        <v>73217499776.270462</v>
      </c>
    </row>
    <row r="312" spans="1:16" x14ac:dyDescent="0.4">
      <c r="A312" s="14">
        <v>0.29899999999999999</v>
      </c>
      <c r="B312" s="44">
        <f t="shared" si="75"/>
        <v>1.8786724068466962</v>
      </c>
      <c r="C312" s="40">
        <f t="shared" si="61"/>
        <v>6.65257048228513E-12</v>
      </c>
      <c r="D312" s="15">
        <f t="shared" si="62"/>
        <v>150317836190.21564</v>
      </c>
      <c r="E312" s="15">
        <f t="shared" si="63"/>
        <v>-45551606020.51712</v>
      </c>
      <c r="F312" s="29">
        <f t="shared" si="64"/>
        <v>143249792550.84488</v>
      </c>
      <c r="G312" s="17">
        <f t="shared" si="65"/>
        <v>7.8002478332274832</v>
      </c>
      <c r="H312" s="16">
        <f t="shared" si="66"/>
        <v>1.8229983005485679E-11</v>
      </c>
      <c r="I312" s="16">
        <f t="shared" si="67"/>
        <v>54854686353.74398</v>
      </c>
      <c r="J312" s="16">
        <f t="shared" si="68"/>
        <v>2946132570.2799115</v>
      </c>
      <c r="K312" s="18">
        <f t="shared" si="69"/>
        <v>54775513852.870079</v>
      </c>
      <c r="L312" s="17">
        <f t="shared" si="70"/>
        <v>7.1772077914282875</v>
      </c>
      <c r="M312" s="16">
        <f t="shared" si="71"/>
        <v>2.0352964117026597E-11</v>
      </c>
      <c r="N312" s="16">
        <f t="shared" si="72"/>
        <v>73699338896.055496</v>
      </c>
      <c r="O312" s="16">
        <f t="shared" si="74"/>
        <v>3958240164.3783469</v>
      </c>
      <c r="P312" s="18">
        <f t="shared" si="73"/>
        <v>73592967656.677231</v>
      </c>
    </row>
    <row r="313" spans="1:16" x14ac:dyDescent="0.4">
      <c r="A313" s="14">
        <v>0.3</v>
      </c>
      <c r="B313" s="44">
        <f t="shared" si="75"/>
        <v>1.8849555921538759</v>
      </c>
      <c r="C313" s="40">
        <f t="shared" si="61"/>
        <v>6.6519020933983074E-12</v>
      </c>
      <c r="D313" s="15">
        <f t="shared" si="62"/>
        <v>150332940256.6601</v>
      </c>
      <c r="E313" s="15">
        <f t="shared" si="63"/>
        <v>-46455433353.661629</v>
      </c>
      <c r="F313" s="29">
        <f t="shared" si="64"/>
        <v>142975122444.90662</v>
      </c>
      <c r="G313" s="17">
        <f t="shared" si="65"/>
        <v>7.8263356186228927</v>
      </c>
      <c r="H313" s="16">
        <f t="shared" si="66"/>
        <v>1.813333778971632E-11</v>
      </c>
      <c r="I313" s="16">
        <f t="shared" si="67"/>
        <v>55147045270.789284</v>
      </c>
      <c r="J313" s="16">
        <f t="shared" si="68"/>
        <v>1524401858.8944516</v>
      </c>
      <c r="K313" s="18">
        <f t="shared" si="69"/>
        <v>55125972109.98716</v>
      </c>
      <c r="L313" s="17">
        <f t="shared" si="70"/>
        <v>7.2012118308645023</v>
      </c>
      <c r="M313" s="16">
        <f t="shared" si="71"/>
        <v>2.0282916157800567E-11</v>
      </c>
      <c r="N313" s="16">
        <f t="shared" si="72"/>
        <v>73953862863.211502</v>
      </c>
      <c r="O313" s="16">
        <f t="shared" si="74"/>
        <v>2044269198.2415156</v>
      </c>
      <c r="P313" s="18">
        <f t="shared" si="73"/>
        <v>73925603114.4543</v>
      </c>
    </row>
    <row r="314" spans="1:16" x14ac:dyDescent="0.4">
      <c r="A314" s="14">
        <v>0.30099999999999999</v>
      </c>
      <c r="B314" s="44">
        <f t="shared" si="75"/>
        <v>1.8912387774610553</v>
      </c>
      <c r="C314" s="40">
        <f t="shared" si="61"/>
        <v>6.6512350676609198E-12</v>
      </c>
      <c r="D314" s="15">
        <f t="shared" si="62"/>
        <v>150348016545.39569</v>
      </c>
      <c r="E314" s="15">
        <f t="shared" si="63"/>
        <v>-47357598468.712334</v>
      </c>
      <c r="F314" s="29">
        <f t="shared" si="64"/>
        <v>142694722910.17209</v>
      </c>
      <c r="G314" s="17">
        <f t="shared" si="65"/>
        <v>7.8524234040183014</v>
      </c>
      <c r="H314" s="16">
        <f t="shared" si="66"/>
        <v>1.8036622824285782E-11</v>
      </c>
      <c r="I314" s="16">
        <f t="shared" si="67"/>
        <v>55442751658.227806</v>
      </c>
      <c r="J314" s="16">
        <f t="shared" si="68"/>
        <v>86392521.525648236</v>
      </c>
      <c r="K314" s="18">
        <f t="shared" si="69"/>
        <v>55442684348.506676</v>
      </c>
      <c r="L314" s="17">
        <f t="shared" si="70"/>
        <v>7.2252158703007163</v>
      </c>
      <c r="M314" s="16">
        <f t="shared" si="71"/>
        <v>2.0211570631333187E-11</v>
      </c>
      <c r="N314" s="16">
        <f t="shared" si="72"/>
        <v>74214915177.082291</v>
      </c>
      <c r="O314" s="16">
        <f t="shared" si="74"/>
        <v>115643857.22563149</v>
      </c>
      <c r="P314" s="18">
        <f t="shared" si="73"/>
        <v>74214825077.202774</v>
      </c>
    </row>
    <row r="315" spans="1:16" x14ac:dyDescent="0.4">
      <c r="A315" s="14">
        <v>0.30199999999999999</v>
      </c>
      <c r="B315" s="44">
        <f t="shared" si="75"/>
        <v>1.8975219627682349</v>
      </c>
      <c r="C315" s="40">
        <f t="shared" si="61"/>
        <v>6.6505694314060018E-12</v>
      </c>
      <c r="D315" s="15">
        <f t="shared" si="62"/>
        <v>150363064443.42905</v>
      </c>
      <c r="E315" s="15">
        <f t="shared" si="63"/>
        <v>-48258064684.148163</v>
      </c>
      <c r="F315" s="29">
        <f t="shared" si="64"/>
        <v>142408603468.18716</v>
      </c>
      <c r="G315" s="17">
        <f t="shared" si="65"/>
        <v>7.8785111894137119</v>
      </c>
      <c r="H315" s="16">
        <f t="shared" si="66"/>
        <v>1.7939903927011455E-11</v>
      </c>
      <c r="I315" s="16">
        <f t="shared" si="67"/>
        <v>55741658599.092979</v>
      </c>
      <c r="J315" s="16">
        <f t="shared" si="68"/>
        <v>-1367180989.9962561</v>
      </c>
      <c r="K315" s="18">
        <f t="shared" si="69"/>
        <v>55724889587.314835</v>
      </c>
      <c r="L315" s="17">
        <f t="shared" si="70"/>
        <v>7.2492199097369321</v>
      </c>
      <c r="M315" s="16">
        <f t="shared" si="71"/>
        <v>2.0138968644508405E-11</v>
      </c>
      <c r="N315" s="16">
        <f t="shared" si="72"/>
        <v>74482463649.350159</v>
      </c>
      <c r="O315" s="16">
        <f t="shared" si="74"/>
        <v>-1826838507.2979455</v>
      </c>
      <c r="P315" s="18">
        <f t="shared" si="73"/>
        <v>74460056757.600052</v>
      </c>
    </row>
    <row r="316" spans="1:16" x14ac:dyDescent="0.4">
      <c r="A316" s="14">
        <v>0.30299999999999999</v>
      </c>
      <c r="B316" s="44">
        <f t="shared" si="75"/>
        <v>1.9038051480754146</v>
      </c>
      <c r="C316" s="40">
        <f t="shared" si="61"/>
        <v>6.6499052109117316E-12</v>
      </c>
      <c r="D316" s="15">
        <f t="shared" si="62"/>
        <v>150378083338.55869</v>
      </c>
      <c r="E316" s="15">
        <f t="shared" si="63"/>
        <v>-49156795365.828163</v>
      </c>
      <c r="F316" s="29">
        <f t="shared" si="64"/>
        <v>142116773879.58325</v>
      </c>
      <c r="G316" s="17">
        <f t="shared" si="65"/>
        <v>7.9045989748091214</v>
      </c>
      <c r="H316" s="16">
        <f t="shared" si="66"/>
        <v>1.78432469183865E-11</v>
      </c>
      <c r="I316" s="16">
        <f t="shared" si="67"/>
        <v>56043611601.291809</v>
      </c>
      <c r="J316" s="16">
        <f t="shared" si="68"/>
        <v>-2835567386.2784066</v>
      </c>
      <c r="K316" s="18">
        <f t="shared" si="69"/>
        <v>55971831834.542671</v>
      </c>
      <c r="L316" s="17">
        <f t="shared" si="70"/>
        <v>7.2732239491731479</v>
      </c>
      <c r="M316" s="16">
        <f t="shared" si="71"/>
        <v>2.0065152028140211E-11</v>
      </c>
      <c r="N316" s="16">
        <f t="shared" si="72"/>
        <v>74756473207.695465</v>
      </c>
      <c r="O316" s="16">
        <f t="shared" si="74"/>
        <v>-3782358261.4374313</v>
      </c>
      <c r="P316" s="18">
        <f t="shared" si="73"/>
        <v>74660726305.300751</v>
      </c>
    </row>
    <row r="317" spans="1:16" x14ac:dyDescent="0.4">
      <c r="A317" s="14">
        <v>0.30399999999999999</v>
      </c>
      <c r="B317" s="44">
        <f t="shared" si="75"/>
        <v>1.9100883333825942</v>
      </c>
      <c r="C317" s="40">
        <f t="shared" si="61"/>
        <v>6.6492424324003986E-12</v>
      </c>
      <c r="D317" s="15">
        <f t="shared" si="62"/>
        <v>150393072619.40164</v>
      </c>
      <c r="E317" s="15">
        <f t="shared" si="63"/>
        <v>-50053753928.6017</v>
      </c>
      <c r="F317" s="29">
        <f t="shared" si="64"/>
        <v>141819244143.94403</v>
      </c>
      <c r="G317" s="17">
        <f t="shared" si="65"/>
        <v>7.930686760204531</v>
      </c>
      <c r="H317" s="16">
        <f t="shared" si="66"/>
        <v>1.7746717576786736E-11</v>
      </c>
      <c r="I317" s="16">
        <f t="shared" si="67"/>
        <v>56348448420.007057</v>
      </c>
      <c r="J317" s="16">
        <f t="shared" si="68"/>
        <v>-4317977676.7137613</v>
      </c>
      <c r="K317" s="18">
        <f t="shared" si="69"/>
        <v>56182761663.392776</v>
      </c>
      <c r="L317" s="17">
        <f t="shared" si="70"/>
        <v>7.2972279886093627</v>
      </c>
      <c r="M317" s="16">
        <f t="shared" si="71"/>
        <v>1.9990163312871157E-11</v>
      </c>
      <c r="N317" s="16">
        <f t="shared" si="72"/>
        <v>75036905728.238251</v>
      </c>
      <c r="O317" s="16">
        <f t="shared" si="74"/>
        <v>-5750072858.2468958</v>
      </c>
      <c r="P317" s="18">
        <f t="shared" si="73"/>
        <v>74816267505.091202</v>
      </c>
    </row>
    <row r="318" spans="1:16" x14ac:dyDescent="0.4">
      <c r="A318" s="14">
        <v>0.30499999999999999</v>
      </c>
      <c r="B318" s="44">
        <f t="shared" si="75"/>
        <v>1.9163715186897738</v>
      </c>
      <c r="C318" s="40">
        <f t="shared" si="61"/>
        <v>6.6485811220373623E-12</v>
      </c>
      <c r="D318" s="15">
        <f t="shared" si="62"/>
        <v>150408031675.42075</v>
      </c>
      <c r="E318" s="15">
        <f t="shared" si="63"/>
        <v>-50948903837.91993</v>
      </c>
      <c r="F318" s="29">
        <f t="shared" si="64"/>
        <v>141516024499.66138</v>
      </c>
      <c r="G318" s="17">
        <f t="shared" si="65"/>
        <v>7.9567745455999415</v>
      </c>
      <c r="H318" s="16">
        <f t="shared" si="66"/>
        <v>1.7650381593706237E-11</v>
      </c>
      <c r="I318" s="16">
        <f t="shared" si="67"/>
        <v>56655998891.070969</v>
      </c>
      <c r="J318" s="16">
        <f t="shared" si="68"/>
        <v>-5813584359.18365</v>
      </c>
      <c r="K318" s="18">
        <f t="shared" si="69"/>
        <v>56356937880.29731</v>
      </c>
      <c r="L318" s="17">
        <f t="shared" si="70"/>
        <v>7.3212320280455785</v>
      </c>
      <c r="M318" s="16">
        <f t="shared" si="71"/>
        <v>1.9914045704667581E-11</v>
      </c>
      <c r="N318" s="16">
        <f t="shared" si="72"/>
        <v>75323719863.132599</v>
      </c>
      <c r="O318" s="16">
        <f t="shared" si="74"/>
        <v>-7729116214.3970604</v>
      </c>
      <c r="P318" s="18">
        <f t="shared" si="73"/>
        <v>74926120522.578918</v>
      </c>
    </row>
    <row r="319" spans="1:16" x14ac:dyDescent="0.4">
      <c r="A319" s="14">
        <v>0.30599999999999999</v>
      </c>
      <c r="B319" s="44">
        <f t="shared" si="75"/>
        <v>1.9226547039969533</v>
      </c>
      <c r="C319" s="40">
        <f t="shared" si="61"/>
        <v>6.6479213059300236E-12</v>
      </c>
      <c r="D319" s="15">
        <f t="shared" si="62"/>
        <v>150422959896.95129</v>
      </c>
      <c r="E319" s="15">
        <f t="shared" si="63"/>
        <v>-51842208611.448418</v>
      </c>
      <c r="F319" s="29">
        <f t="shared" si="64"/>
        <v>141207125423.77911</v>
      </c>
      <c r="G319" s="17">
        <f t="shared" si="65"/>
        <v>7.9828623309953501</v>
      </c>
      <c r="H319" s="16">
        <f t="shared" si="66"/>
        <v>1.7554304529052057E-11</v>
      </c>
      <c r="I319" s="16">
        <f t="shared" si="67"/>
        <v>56966084776.814606</v>
      </c>
      <c r="J319" s="16">
        <f t="shared" si="68"/>
        <v>-7321520670.4286661</v>
      </c>
      <c r="K319" s="18">
        <f t="shared" si="69"/>
        <v>56493629285.714287</v>
      </c>
      <c r="L319" s="17">
        <f t="shared" si="70"/>
        <v>7.3452360674817925</v>
      </c>
      <c r="M319" s="16">
        <f t="shared" si="71"/>
        <v>1.9836843059925858E-11</v>
      </c>
      <c r="N319" s="16">
        <f t="shared" si="72"/>
        <v>75616870863.40271</v>
      </c>
      <c r="O319" s="16">
        <f t="shared" si="74"/>
        <v>-9718598096.193327</v>
      </c>
      <c r="P319" s="18">
        <f t="shared" si="73"/>
        <v>74989732698.664749</v>
      </c>
    </row>
    <row r="320" spans="1:16" x14ac:dyDescent="0.4">
      <c r="A320" s="14">
        <v>0.307</v>
      </c>
      <c r="B320" s="44">
        <f t="shared" si="75"/>
        <v>1.9289378893041329</v>
      </c>
      <c r="C320" s="40">
        <f t="shared" si="61"/>
        <v>6.6472630101267944E-12</v>
      </c>
      <c r="D320" s="15">
        <f t="shared" si="62"/>
        <v>150437856675.22809</v>
      </c>
      <c r="E320" s="15">
        <f t="shared" si="63"/>
        <v>-52733631820.681114</v>
      </c>
      <c r="F320" s="29">
        <f t="shared" si="64"/>
        <v>140892557631.82565</v>
      </c>
      <c r="G320" s="17">
        <f t="shared" si="65"/>
        <v>8.0089501163907606</v>
      </c>
      <c r="H320" s="16">
        <f t="shared" si="66"/>
        <v>1.7458551766528441E-11</v>
      </c>
      <c r="I320" s="16">
        <f t="shared" si="67"/>
        <v>57278519625.963554</v>
      </c>
      <c r="J320" s="16">
        <f t="shared" si="68"/>
        <v>-8840879904.7266502</v>
      </c>
      <c r="K320" s="18">
        <f t="shared" si="69"/>
        <v>56592116527.41124</v>
      </c>
      <c r="L320" s="17">
        <f t="shared" si="70"/>
        <v>7.3692401069180082</v>
      </c>
      <c r="M320" s="16">
        <f t="shared" si="71"/>
        <v>1.975859986020376E-11</v>
      </c>
      <c r="N320" s="16">
        <f t="shared" si="72"/>
        <v>75916310397.13414</v>
      </c>
      <c r="O320" s="16">
        <f t="shared" si="74"/>
        <v>-11717603517.231674</v>
      </c>
      <c r="P320" s="18">
        <f t="shared" si="73"/>
        <v>75006559394.00885</v>
      </c>
    </row>
    <row r="321" spans="1:16" x14ac:dyDescent="0.4">
      <c r="A321" s="14">
        <v>0.308</v>
      </c>
      <c r="B321" s="44">
        <f t="shared" si="75"/>
        <v>1.9352210746113125</v>
      </c>
      <c r="C321" s="40">
        <f t="shared" si="61"/>
        <v>6.6466062606160626E-12</v>
      </c>
      <c r="D321" s="15">
        <f t="shared" si="62"/>
        <v>150452721402.41263</v>
      </c>
      <c r="E321" s="15">
        <f t="shared" si="63"/>
        <v>-53623137092.555176</v>
      </c>
      <c r="F321" s="29">
        <f t="shared" si="64"/>
        <v>140572332077.6355</v>
      </c>
      <c r="G321" s="17">
        <f t="shared" si="65"/>
        <v>8.0350379017861702</v>
      </c>
      <c r="H321" s="16">
        <f t="shared" si="66"/>
        <v>1.7363188469141052E-11</v>
      </c>
      <c r="I321" s="16">
        <f t="shared" si="67"/>
        <v>57593108649.21283</v>
      </c>
      <c r="J321" s="16">
        <f t="shared" si="68"/>
        <v>-10370714808.817947</v>
      </c>
      <c r="K321" s="18">
        <f t="shared" si="69"/>
        <v>56651694045.581711</v>
      </c>
      <c r="L321" s="17">
        <f t="shared" si="70"/>
        <v>7.3932441463542231</v>
      </c>
      <c r="M321" s="16">
        <f t="shared" si="71"/>
        <v>1.9679361186591725E-11</v>
      </c>
      <c r="N321" s="16">
        <f t="shared" si="72"/>
        <v>76221986363.155182</v>
      </c>
      <c r="O321" s="16">
        <f t="shared" si="74"/>
        <v>-13725192150.132307</v>
      </c>
      <c r="P321" s="18">
        <f t="shared" si="73"/>
        <v>74976064884.648102</v>
      </c>
    </row>
    <row r="322" spans="1:16" x14ac:dyDescent="0.4">
      <c r="A322" s="14">
        <v>0.309</v>
      </c>
      <c r="B322" s="44">
        <f t="shared" si="75"/>
        <v>1.9415042599184922</v>
      </c>
      <c r="C322" s="40">
        <f t="shared" si="61"/>
        <v>6.6459510833251776E-12</v>
      </c>
      <c r="D322" s="15">
        <f t="shared" si="62"/>
        <v>150467553471.61969</v>
      </c>
      <c r="E322" s="15">
        <f t="shared" si="63"/>
        <v>-54510688111.066849</v>
      </c>
      <c r="F322" s="29">
        <f t="shared" si="64"/>
        <v>140246459953.1579</v>
      </c>
      <c r="G322" s="17">
        <f t="shared" si="65"/>
        <v>8.0611256871815797</v>
      </c>
      <c r="H322" s="16">
        <f t="shared" si="66"/>
        <v>1.7268279534851291E-11</v>
      </c>
      <c r="I322" s="16">
        <f t="shared" si="67"/>
        <v>57909648612.172043</v>
      </c>
      <c r="J322" s="16">
        <f t="shared" si="68"/>
        <v>-11910037061.301796</v>
      </c>
      <c r="K322" s="18">
        <f t="shared" si="69"/>
        <v>56671672108.591049</v>
      </c>
      <c r="L322" s="17">
        <f t="shared" si="70"/>
        <v>7.417248185790438</v>
      </c>
      <c r="M322" s="16">
        <f t="shared" si="71"/>
        <v>1.9599172693738649E-11</v>
      </c>
      <c r="N322" s="16">
        <f t="shared" si="72"/>
        <v>76533842700.370987</v>
      </c>
      <c r="O322" s="16">
        <f t="shared" si="74"/>
        <v>-15740397754.954908</v>
      </c>
      <c r="P322" s="18">
        <f t="shared" si="73"/>
        <v>74897723309.863968</v>
      </c>
    </row>
    <row r="323" spans="1:16" x14ac:dyDescent="0.4">
      <c r="A323" s="14">
        <v>0.31</v>
      </c>
      <c r="B323" s="44">
        <f t="shared" si="75"/>
        <v>1.9477874452256718</v>
      </c>
      <c r="C323" s="40">
        <f t="shared" si="61"/>
        <v>6.6452975041194149E-12</v>
      </c>
      <c r="D323" s="15">
        <f t="shared" si="62"/>
        <v>150482352276.94482</v>
      </c>
      <c r="E323" s="15">
        <f t="shared" si="63"/>
        <v>-55396248618.888443</v>
      </c>
      <c r="F323" s="29">
        <f t="shared" si="64"/>
        <v>139914952688.25565</v>
      </c>
      <c r="G323" s="17">
        <f t="shared" si="65"/>
        <v>8.0872134725769893</v>
      </c>
      <c r="H323" s="16">
        <f t="shared" si="66"/>
        <v>1.7173889552411052E-11</v>
      </c>
      <c r="I323" s="16">
        <f t="shared" si="67"/>
        <v>58227927747.422218</v>
      </c>
      <c r="J323" s="16">
        <f t="shared" si="68"/>
        <v>-13457816844.971758</v>
      </c>
      <c r="K323" s="18">
        <f t="shared" si="69"/>
        <v>56651378937.55294</v>
      </c>
      <c r="L323" s="17">
        <f t="shared" si="70"/>
        <v>7.4412522252266529</v>
      </c>
      <c r="M323" s="16">
        <f t="shared" si="71"/>
        <v>1.9518080583547198E-11</v>
      </c>
      <c r="N323" s="16">
        <f t="shared" si="72"/>
        <v>76851819192.939896</v>
      </c>
      <c r="O323" s="16">
        <f t="shared" si="74"/>
        <v>-17762227627.055775</v>
      </c>
      <c r="P323" s="18">
        <f t="shared" si="73"/>
        <v>74771019673.326523</v>
      </c>
    </row>
    <row r="324" spans="1:16" x14ac:dyDescent="0.4">
      <c r="A324" s="14">
        <v>0.311</v>
      </c>
      <c r="B324" s="44">
        <f t="shared" si="75"/>
        <v>1.9540706305328512</v>
      </c>
      <c r="C324" s="40">
        <f t="shared" si="61"/>
        <v>6.6446455488009644E-12</v>
      </c>
      <c r="D324" s="15">
        <f t="shared" si="62"/>
        <v>150497117213.491</v>
      </c>
      <c r="E324" s="15">
        <f t="shared" si="63"/>
        <v>-56279782418.985725</v>
      </c>
      <c r="F324" s="29">
        <f t="shared" si="64"/>
        <v>139577821950.49066</v>
      </c>
      <c r="G324" s="17">
        <f t="shared" si="65"/>
        <v>8.1133012579723989</v>
      </c>
      <c r="H324" s="16">
        <f t="shared" si="66"/>
        <v>1.7080082757407873E-11</v>
      </c>
      <c r="I324" s="16">
        <f t="shared" si="67"/>
        <v>58547725687.469864</v>
      </c>
      <c r="J324" s="16">
        <f t="shared" si="68"/>
        <v>-15012982520.773869</v>
      </c>
      <c r="K324" s="18">
        <f t="shared" si="69"/>
        <v>56590162917.296478</v>
      </c>
      <c r="L324" s="17">
        <f t="shared" si="70"/>
        <v>7.4652562646628677</v>
      </c>
      <c r="M324" s="16">
        <f t="shared" si="71"/>
        <v>1.9436131578553852E-11</v>
      </c>
      <c r="N324" s="16">
        <f t="shared" si="72"/>
        <v>77175851271.51149</v>
      </c>
      <c r="O324" s="16">
        <f t="shared" si="74"/>
        <v>-19789662067.317722</v>
      </c>
      <c r="P324" s="18">
        <f t="shared" si="73"/>
        <v>74595450898.455109</v>
      </c>
    </row>
    <row r="325" spans="1:16" x14ac:dyDescent="0.4">
      <c r="A325" s="14">
        <v>0.312</v>
      </c>
      <c r="B325" s="44">
        <f t="shared" si="75"/>
        <v>1.9603538158400309</v>
      </c>
      <c r="C325" s="40">
        <f t="shared" si="61"/>
        <v>6.6439952431079037E-12</v>
      </c>
      <c r="D325" s="15">
        <f t="shared" si="62"/>
        <v>150511847677.39594</v>
      </c>
      <c r="E325" s="15">
        <f t="shared" si="63"/>
        <v>-57161253376.236511</v>
      </c>
      <c r="F325" s="29">
        <f t="shared" si="64"/>
        <v>139235079644.89883</v>
      </c>
      <c r="G325" s="17">
        <f t="shared" si="65"/>
        <v>8.1393890433678084</v>
      </c>
      <c r="H325" s="16">
        <f t="shared" si="66"/>
        <v>1.6986922988550446E-11</v>
      </c>
      <c r="I325" s="16">
        <f t="shared" si="67"/>
        <v>58868813420.418854</v>
      </c>
      <c r="J325" s="16">
        <f t="shared" si="68"/>
        <v>-16574420412.240568</v>
      </c>
      <c r="K325" s="18">
        <f t="shared" si="69"/>
        <v>56487394890.598297</v>
      </c>
      <c r="L325" s="17">
        <f t="shared" si="70"/>
        <v>7.4892603040990826</v>
      </c>
      <c r="M325" s="16">
        <f t="shared" si="71"/>
        <v>1.9353372895008955E-11</v>
      </c>
      <c r="N325" s="16">
        <f t="shared" si="72"/>
        <v>77505869810.777802</v>
      </c>
      <c r="O325" s="16">
        <f t="shared" si="74"/>
        <v>-21821653877.851772</v>
      </c>
      <c r="P325" s="18">
        <f t="shared" si="73"/>
        <v>74370526938.838303</v>
      </c>
    </row>
    <row r="326" spans="1:16" x14ac:dyDescent="0.4">
      <c r="A326" s="14">
        <v>0.313</v>
      </c>
      <c r="B326" s="44">
        <f t="shared" si="75"/>
        <v>1.9666370011472105</v>
      </c>
      <c r="C326" s="40">
        <f t="shared" si="61"/>
        <v>6.6433466127131881E-12</v>
      </c>
      <c r="D326" s="15">
        <f t="shared" si="62"/>
        <v>150526543065.85898</v>
      </c>
      <c r="E326" s="15">
        <f t="shared" si="63"/>
        <v>-58040625419.049355</v>
      </c>
      <c r="F326" s="29">
        <f t="shared" si="64"/>
        <v>138886737913.75296</v>
      </c>
      <c r="G326" s="17">
        <f t="shared" si="65"/>
        <v>8.165476828763218</v>
      </c>
      <c r="H326" s="16">
        <f t="shared" si="66"/>
        <v>1.68944736442242E-11</v>
      </c>
      <c r="I326" s="16">
        <f t="shared" si="67"/>
        <v>59190953270.20591</v>
      </c>
      <c r="J326" s="16">
        <f t="shared" si="68"/>
        <v>-18140974709.376583</v>
      </c>
      <c r="K326" s="18">
        <f t="shared" si="69"/>
        <v>56342470531.824028</v>
      </c>
      <c r="L326" s="17">
        <f t="shared" si="70"/>
        <v>7.5132643435352975</v>
      </c>
      <c r="M326" s="16">
        <f t="shared" si="71"/>
        <v>1.9269852215672284E-11</v>
      </c>
      <c r="N326" s="16">
        <f t="shared" si="72"/>
        <v>77841800923.623123</v>
      </c>
      <c r="O326" s="16">
        <f t="shared" si="74"/>
        <v>-23857127886.443001</v>
      </c>
      <c r="P326" s="18">
        <f t="shared" si="73"/>
        <v>74095771944.44281</v>
      </c>
    </row>
    <row r="327" spans="1:16" x14ac:dyDescent="0.4">
      <c r="A327" s="14">
        <v>0.314</v>
      </c>
      <c r="B327" s="44">
        <f t="shared" si="75"/>
        <v>1.9729201864543902</v>
      </c>
      <c r="C327" s="40">
        <f t="shared" si="61"/>
        <v>6.642699683223636E-12</v>
      </c>
      <c r="D327" s="15">
        <f t="shared" si="62"/>
        <v>150541202777.16815</v>
      </c>
      <c r="E327" s="15">
        <f t="shared" si="63"/>
        <v>-58917862540.983139</v>
      </c>
      <c r="F327" s="29">
        <f t="shared" si="64"/>
        <v>138532809136.31354</v>
      </c>
      <c r="G327" s="17">
        <f t="shared" si="65"/>
        <v>8.1915646141586276</v>
      </c>
      <c r="H327" s="16">
        <f t="shared" si="66"/>
        <v>1.6802797639346554E-11</v>
      </c>
      <c r="I327" s="16">
        <f t="shared" si="67"/>
        <v>59513898903.259605</v>
      </c>
      <c r="J327" s="16">
        <f t="shared" si="68"/>
        <v>-19711447501.041405</v>
      </c>
      <c r="K327" s="18">
        <f t="shared" si="69"/>
        <v>56154812795.352577</v>
      </c>
      <c r="L327" s="17">
        <f t="shared" si="70"/>
        <v>7.5372683829715124</v>
      </c>
      <c r="M327" s="16">
        <f t="shared" si="71"/>
        <v>1.9185617662339892E-11</v>
      </c>
      <c r="N327" s="16">
        <f t="shared" si="72"/>
        <v>78183565752.19371</v>
      </c>
      <c r="O327" s="16">
        <f t="shared" si="74"/>
        <v>-25894980503.187592</v>
      </c>
      <c r="P327" s="18">
        <f t="shared" si="73"/>
        <v>73770725484.213135</v>
      </c>
    </row>
    <row r="328" spans="1:16" x14ac:dyDescent="0.4">
      <c r="A328" s="14">
        <v>0.315</v>
      </c>
      <c r="B328" s="44">
        <f t="shared" si="75"/>
        <v>1.9792033717615696</v>
      </c>
      <c r="C328" s="40">
        <f t="shared" si="61"/>
        <v>6.6420544801789157E-12</v>
      </c>
      <c r="D328" s="15">
        <f t="shared" si="62"/>
        <v>150555826210.72739</v>
      </c>
      <c r="E328" s="15">
        <f t="shared" si="63"/>
        <v>-59792928802.366974</v>
      </c>
      <c r="F328" s="29">
        <f t="shared" si="64"/>
        <v>138173305928.56863</v>
      </c>
      <c r="G328" s="17">
        <f t="shared" si="65"/>
        <v>8.2176523995540371</v>
      </c>
      <c r="H328" s="16">
        <f t="shared" si="66"/>
        <v>1.6711957362551183E-11</v>
      </c>
      <c r="I328" s="16">
        <f t="shared" si="67"/>
        <v>59837395363.444359</v>
      </c>
      <c r="J328" s="16">
        <f t="shared" si="68"/>
        <v>-21284598944.880806</v>
      </c>
      <c r="K328" s="18">
        <f t="shared" si="69"/>
        <v>55923874433.346725</v>
      </c>
      <c r="L328" s="17">
        <f t="shared" si="70"/>
        <v>7.5612724224077272</v>
      </c>
      <c r="M328" s="16">
        <f t="shared" si="71"/>
        <v>1.9100717768117911E-11</v>
      </c>
      <c r="N328" s="16">
        <f t="shared" si="72"/>
        <v>78531080256.247482</v>
      </c>
      <c r="O328" s="16">
        <f t="shared" si="74"/>
        <v>-27934079312.944546</v>
      </c>
      <c r="P328" s="18">
        <f t="shared" si="73"/>
        <v>73394943825.520477</v>
      </c>
    </row>
    <row r="329" spans="1:16" x14ac:dyDescent="0.4">
      <c r="A329" s="14">
        <v>0.316</v>
      </c>
      <c r="B329" s="44">
        <f t="shared" si="75"/>
        <v>1.9854865570687492</v>
      </c>
      <c r="C329" s="40">
        <f t="shared" si="61"/>
        <v>6.6414110290505389E-12</v>
      </c>
      <c r="D329" s="15">
        <f t="shared" si="62"/>
        <v>150570412767.08344</v>
      </c>
      <c r="E329" s="15">
        <f t="shared" si="63"/>
        <v>-60665788331.92054</v>
      </c>
      <c r="F329" s="29">
        <f t="shared" si="64"/>
        <v>137808241142.96103</v>
      </c>
      <c r="G329" s="17">
        <f t="shared" si="65"/>
        <v>8.2437401849494467</v>
      </c>
      <c r="H329" s="16">
        <f t="shared" si="66"/>
        <v>1.6622014633730418E-11</v>
      </c>
      <c r="I329" s="16">
        <f t="shared" si="67"/>
        <v>60161179137.138901</v>
      </c>
      <c r="J329" s="16">
        <f t="shared" si="68"/>
        <v>-22859147583.800743</v>
      </c>
      <c r="K329" s="18">
        <f t="shared" si="69"/>
        <v>55649140576.588722</v>
      </c>
      <c r="L329" s="17">
        <f t="shared" si="70"/>
        <v>7.5852764618439421</v>
      </c>
      <c r="M329" s="16">
        <f t="shared" si="71"/>
        <v>1.9015201449459437E-11</v>
      </c>
      <c r="N329" s="16">
        <f t="shared" si="72"/>
        <v>78884254999.183395</v>
      </c>
      <c r="O329" s="16">
        <f t="shared" si="74"/>
        <v>-29973262707.401474</v>
      </c>
      <c r="P329" s="18">
        <f t="shared" si="73"/>
        <v>72968001270.757629</v>
      </c>
    </row>
    <row r="330" spans="1:16" x14ac:dyDescent="0.4">
      <c r="A330" s="14">
        <v>0.317</v>
      </c>
      <c r="B330" s="44">
        <f t="shared" si="75"/>
        <v>1.9917697423759289</v>
      </c>
      <c r="C330" s="40">
        <f t="shared" si="61"/>
        <v>6.6407693552408538E-12</v>
      </c>
      <c r="D330" s="15">
        <f t="shared" si="62"/>
        <v>150584961847.95309</v>
      </c>
      <c r="E330" s="15">
        <f t="shared" si="63"/>
        <v>-61536405328.374443</v>
      </c>
      <c r="F330" s="29">
        <f t="shared" si="64"/>
        <v>137437627868.10423</v>
      </c>
      <c r="G330" s="17">
        <f t="shared" si="65"/>
        <v>8.2698279703448563</v>
      </c>
      <c r="H330" s="16">
        <f t="shared" si="66"/>
        <v>1.6533030661964738E-11</v>
      </c>
      <c r="I330" s="16">
        <f t="shared" si="67"/>
        <v>60484978250.270958</v>
      </c>
      <c r="J330" s="16">
        <f t="shared" si="68"/>
        <v>-24433770817.843845</v>
      </c>
      <c r="K330" s="18">
        <f t="shared" si="69"/>
        <v>55330131371.223343</v>
      </c>
      <c r="L330" s="17">
        <f t="shared" si="70"/>
        <v>7.609280501280157</v>
      </c>
      <c r="M330" s="16">
        <f t="shared" si="71"/>
        <v>1.8929117977980524E-11</v>
      </c>
      <c r="N330" s="16">
        <f t="shared" si="72"/>
        <v>79242994932.193314</v>
      </c>
      <c r="O330" s="16">
        <f t="shared" si="74"/>
        <v>-32011339560.729675</v>
      </c>
      <c r="P330" s="18">
        <f t="shared" si="73"/>
        <v>72489491551.198502</v>
      </c>
    </row>
    <row r="331" spans="1:16" x14ac:dyDescent="0.4">
      <c r="A331" s="14">
        <v>0.318</v>
      </c>
      <c r="B331" s="44">
        <f t="shared" si="75"/>
        <v>1.9980529276831085</v>
      </c>
      <c r="C331" s="40">
        <f t="shared" si="61"/>
        <v>6.6401294840820445E-12</v>
      </c>
      <c r="D331" s="15">
        <f t="shared" si="62"/>
        <v>150599472856.25012</v>
      </c>
      <c r="E331" s="15">
        <f t="shared" si="63"/>
        <v>-62404744062.090973</v>
      </c>
      <c r="F331" s="29">
        <f t="shared" si="64"/>
        <v>137061479428.48618</v>
      </c>
      <c r="G331" s="17">
        <f t="shared" si="65"/>
        <v>8.2959157557402659</v>
      </c>
      <c r="H331" s="16">
        <f t="shared" si="66"/>
        <v>1.6445066003867881E-11</v>
      </c>
      <c r="I331" s="16">
        <f t="shared" si="67"/>
        <v>60808512399.086746</v>
      </c>
      <c r="J331" s="16">
        <f t="shared" si="68"/>
        <v>-26007105540.116337</v>
      </c>
      <c r="K331" s="18">
        <f t="shared" si="69"/>
        <v>54966404663.349922</v>
      </c>
      <c r="L331" s="17">
        <f t="shared" si="70"/>
        <v>7.6332845407163727</v>
      </c>
      <c r="M331" s="16">
        <f t="shared" si="71"/>
        <v>1.8842516952071532E-11</v>
      </c>
      <c r="N331" s="16">
        <f t="shared" si="72"/>
        <v>79607199177.023483</v>
      </c>
      <c r="O331" s="16">
        <f t="shared" si="74"/>
        <v>-34047088952.977016</v>
      </c>
      <c r="P331" s="18">
        <f t="shared" si="73"/>
        <v>71959029278.043747</v>
      </c>
    </row>
    <row r="332" spans="1:16" x14ac:dyDescent="0.4">
      <c r="A332" s="14">
        <v>0.31900000000000001</v>
      </c>
      <c r="B332" s="44">
        <f t="shared" si="75"/>
        <v>2.0043361129902881</v>
      </c>
      <c r="C332" s="40">
        <f t="shared" si="61"/>
        <v>6.6394914408351276E-12</v>
      </c>
      <c r="D332" s="15">
        <f t="shared" si="62"/>
        <v>150613945196.11252</v>
      </c>
      <c r="E332" s="15">
        <f t="shared" si="63"/>
        <v>-63270768876.684799</v>
      </c>
      <c r="F332" s="29">
        <f t="shared" si="64"/>
        <v>136679809384.16148</v>
      </c>
      <c r="G332" s="17">
        <f t="shared" si="65"/>
        <v>8.3220035411356772</v>
      </c>
      <c r="H332" s="16">
        <f t="shared" si="66"/>
        <v>1.6358180522376029E-11</v>
      </c>
      <c r="I332" s="16">
        <f t="shared" si="67"/>
        <v>61131493116.371956</v>
      </c>
      <c r="J332" s="16">
        <f t="shared" si="68"/>
        <v>-27577748945.114708</v>
      </c>
      <c r="K332" s="18">
        <f t="shared" si="69"/>
        <v>54557558722.483696</v>
      </c>
      <c r="L332" s="17">
        <f t="shared" si="70"/>
        <v>7.6572885801525885</v>
      </c>
      <c r="M332" s="16">
        <f t="shared" si="71"/>
        <v>1.8755448268320215E-11</v>
      </c>
      <c r="N332" s="16">
        <f t="shared" si="72"/>
        <v>79976760807.879303</v>
      </c>
      <c r="O332" s="16">
        <f t="shared" si="74"/>
        <v>-36079259945.517288</v>
      </c>
      <c r="P332" s="18">
        <f t="shared" si="73"/>
        <v>71376251450.356583</v>
      </c>
    </row>
    <row r="333" spans="1:16" x14ac:dyDescent="0.4">
      <c r="A333" s="14">
        <v>0.32</v>
      </c>
      <c r="B333" s="44">
        <f t="shared" si="75"/>
        <v>2.0106192982974678</v>
      </c>
      <c r="C333" s="40">
        <f t="shared" ref="C333:C396" si="76">((semiejeMayorTierra*(1-(excentricidadTierra^2)))^-1)*(1+excentricidadTierra*COS(Φ))</f>
        <v>6.638855250688959E-12</v>
      </c>
      <c r="D333" s="15">
        <f t="shared" ref="D333:D396" si="77">1/u0Tierra</f>
        <v>150628378272.92938</v>
      </c>
      <c r="E333" s="15">
        <f t="shared" ref="E333:E396" si="78">r0Tierra*COS(Φ)</f>
        <v>-64134444190.643661</v>
      </c>
      <c r="F333" s="29">
        <f t="shared" ref="F333:F396" si="79">r0Tierra*SIN(Φ)</f>
        <v>136292631530.4313</v>
      </c>
      <c r="G333" s="17">
        <f t="shared" ref="G333:G396" si="80">Φ*relaciónOrbitas</f>
        <v>8.3480913265310868</v>
      </c>
      <c r="H333" s="16">
        <f t="shared" ref="H333:H396" si="81">((semiejeMayorMercurio*(1-(excentricidadMercurio^2)))^-1)*(1+excentricidadMercurio*COS(ΦMercurio))</f>
        <v>1.6272433346009063E-11</v>
      </c>
      <c r="I333" s="16">
        <f t="shared" ref="I333:I396" si="82">1/u0Mercurio</f>
        <v>61453623974.760818</v>
      </c>
      <c r="J333" s="16">
        <f t="shared" ref="J333:J396" si="83">r0Mercurio*COS(ΦMercurio)</f>
        <v>-29144259517.410389</v>
      </c>
      <c r="K333" s="18">
        <f t="shared" ref="K333:K396" si="84">r0Mercurio*SIN(ΦMercurio)</f>
        <v>54103234993.973618</v>
      </c>
      <c r="L333" s="17">
        <f t="shared" ref="L333:L396" si="85">ΦMercurio*(1-(simulaciónÁngulo*((3/2)*rsSol*((semiejeMayorMercurio*(1-(excentricidadMercurio^2)))^-1))))</f>
        <v>7.6812926195888043</v>
      </c>
      <c r="M333" s="16">
        <f t="shared" ref="M333:M396" si="86">((semiejeMayorMercurio*(1-(excentricidadMercurio^2)))^-1)*(1+excentricidadMercurio*COS(ΦLPMercurio))</f>
        <v>1.8667962092762985E-11</v>
      </c>
      <c r="N333" s="16">
        <f t="shared" ref="N333:N396" si="87">1*simulaciónRadio/uMercurio</f>
        <v>80351566633.055542</v>
      </c>
      <c r="O333" s="16">
        <f t="shared" si="74"/>
        <v>-38106571413.038925</v>
      </c>
      <c r="P333" s="18">
        <f t="shared" ref="P333:P396" si="88">rMercurio*SIN(ΦMercurio)</f>
        <v>70740819019.356354</v>
      </c>
    </row>
    <row r="334" spans="1:16" x14ac:dyDescent="0.4">
      <c r="A334" s="14">
        <v>0.32100000000000001</v>
      </c>
      <c r="B334" s="44">
        <f t="shared" si="75"/>
        <v>2.0169024836046474</v>
      </c>
      <c r="C334" s="40">
        <f t="shared" si="76"/>
        <v>6.6382209387592356E-12</v>
      </c>
      <c r="D334" s="15">
        <f t="shared" si="77"/>
        <v>150642771493.36826</v>
      </c>
      <c r="E334" s="15">
        <f t="shared" si="78"/>
        <v>-64995734498.948982</v>
      </c>
      <c r="F334" s="29">
        <f t="shared" si="79"/>
        <v>135899959897.51173</v>
      </c>
      <c r="G334" s="17">
        <f t="shared" si="80"/>
        <v>8.3741791119264963</v>
      </c>
      <c r="H334" s="16">
        <f t="shared" si="81"/>
        <v>1.6187882828631574E-11</v>
      </c>
      <c r="I334" s="16">
        <f t="shared" si="82"/>
        <v>61774600828.670189</v>
      </c>
      <c r="J334" s="16">
        <f t="shared" si="83"/>
        <v>-30705158208.166328</v>
      </c>
      <c r="K334" s="18">
        <f t="shared" si="84"/>
        <v>53603120869.526016</v>
      </c>
      <c r="L334" s="17">
        <f t="shared" si="85"/>
        <v>7.7052966590250191</v>
      </c>
      <c r="M334" s="16">
        <f t="shared" si="86"/>
        <v>1.8580108831980951E-11</v>
      </c>
      <c r="N334" s="16">
        <f t="shared" si="87"/>
        <v>80731496976.924591</v>
      </c>
      <c r="O334" s="16">
        <f t="shared" ref="O334:O397" si="89">rMercurio*COS(ΦMercurio)</f>
        <v>-40127711936.717232</v>
      </c>
      <c r="P334" s="18">
        <f t="shared" si="88"/>
        <v>70052418508.278687</v>
      </c>
    </row>
    <row r="335" spans="1:16" x14ac:dyDescent="0.4">
      <c r="A335" s="14">
        <v>0.32200000000000001</v>
      </c>
      <c r="B335" s="44">
        <f t="shared" ref="B335:B398" si="90">A335*2*PI()</f>
        <v>2.0231856689118266</v>
      </c>
      <c r="C335" s="40">
        <f t="shared" si="76"/>
        <v>6.6375885300875063E-12</v>
      </c>
      <c r="D335" s="15">
        <f t="shared" si="77"/>
        <v>150657124265.40195</v>
      </c>
      <c r="E335" s="15">
        <f t="shared" si="78"/>
        <v>-65854604374.696007</v>
      </c>
      <c r="F335" s="29">
        <f t="shared" si="79"/>
        <v>135501808750.18988</v>
      </c>
      <c r="G335" s="17">
        <f t="shared" si="80"/>
        <v>8.4002668973219041</v>
      </c>
      <c r="H335" s="16">
        <f t="shared" si="81"/>
        <v>1.6104586509741079E-11</v>
      </c>
      <c r="I335" s="16">
        <f t="shared" si="82"/>
        <v>62094112096.273712</v>
      </c>
      <c r="J335" s="16">
        <f t="shared" si="83"/>
        <v>-32258929806.366699</v>
      </c>
      <c r="K335" s="18">
        <f t="shared" si="84"/>
        <v>53056952464.050468</v>
      </c>
      <c r="L335" s="17">
        <f t="shared" si="85"/>
        <v>7.7293006984612322</v>
      </c>
      <c r="M335" s="16">
        <f t="shared" si="86"/>
        <v>1.8491939104057321E-11</v>
      </c>
      <c r="N335" s="16">
        <f t="shared" si="87"/>
        <v>81116425462.967514</v>
      </c>
      <c r="O335" s="16">
        <f t="shared" si="89"/>
        <v>-42141339763.360207</v>
      </c>
      <c r="P335" s="18">
        <f t="shared" si="88"/>
        <v>69310763686.733398</v>
      </c>
    </row>
    <row r="336" spans="1:16" x14ac:dyDescent="0.4">
      <c r="A336" s="14">
        <v>0.32300000000000001</v>
      </c>
      <c r="B336" s="44">
        <f t="shared" si="90"/>
        <v>2.0294688542190062</v>
      </c>
      <c r="C336" s="40">
        <f t="shared" si="76"/>
        <v>6.636958049640183E-12</v>
      </c>
      <c r="D336" s="15">
        <f t="shared" si="77"/>
        <v>150671435998.33572</v>
      </c>
      <c r="E336" s="15">
        <f t="shared" si="78"/>
        <v>-66711018470.714172</v>
      </c>
      <c r="F336" s="29">
        <f t="shared" si="79"/>
        <v>135098192587.46808</v>
      </c>
      <c r="G336" s="17">
        <f t="shared" si="80"/>
        <v>8.4263546827173137</v>
      </c>
      <c r="H336" s="16">
        <f t="shared" si="81"/>
        <v>1.6022601075310441E-11</v>
      </c>
      <c r="I336" s="16">
        <f t="shared" si="82"/>
        <v>62411839082.789169</v>
      </c>
      <c r="J336" s="16">
        <f t="shared" si="83"/>
        <v>-33804024510.951935</v>
      </c>
      <c r="K336" s="18">
        <f t="shared" si="84"/>
        <v>52464517386.124222</v>
      </c>
      <c r="L336" s="17">
        <f t="shared" si="85"/>
        <v>7.7533047378974471</v>
      </c>
      <c r="M336" s="16">
        <f t="shared" si="86"/>
        <v>1.8403503709412994E-11</v>
      </c>
      <c r="N336" s="16">
        <f t="shared" si="87"/>
        <v>81506218798.585754</v>
      </c>
      <c r="O336" s="16">
        <f t="shared" si="89"/>
        <v>-44146082835.463104</v>
      </c>
      <c r="P336" s="18">
        <f t="shared" si="88"/>
        <v>68515597298.187256</v>
      </c>
    </row>
    <row r="337" spans="1:16" x14ac:dyDescent="0.4">
      <c r="A337" s="14">
        <v>0.32400000000000001</v>
      </c>
      <c r="B337" s="44">
        <f t="shared" si="90"/>
        <v>2.0357520395261859</v>
      </c>
      <c r="C337" s="40">
        <f t="shared" si="76"/>
        <v>6.6363295223075537E-12</v>
      </c>
      <c r="D337" s="15">
        <f t="shared" si="77"/>
        <v>150685706102.83447</v>
      </c>
      <c r="E337" s="15">
        <f t="shared" si="78"/>
        <v>-67564941521.186302</v>
      </c>
      <c r="F337" s="29">
        <f t="shared" si="79"/>
        <v>134689126142.19637</v>
      </c>
      <c r="G337" s="17">
        <f t="shared" si="80"/>
        <v>8.4524424681127233</v>
      </c>
      <c r="H337" s="16">
        <f t="shared" si="81"/>
        <v>1.5941982319211156E-11</v>
      </c>
      <c r="I337" s="16">
        <f t="shared" si="82"/>
        <v>62727456346.186829</v>
      </c>
      <c r="J337" s="16">
        <f t="shared" si="83"/>
        <v>-35338859709.244637</v>
      </c>
      <c r="K337" s="18">
        <f t="shared" si="84"/>
        <v>51825657488.478615</v>
      </c>
      <c r="L337" s="17">
        <f t="shared" si="85"/>
        <v>7.777308777333662</v>
      </c>
      <c r="M337" s="16">
        <f t="shared" si="86"/>
        <v>1.8314853601537066E-11</v>
      </c>
      <c r="N337" s="16">
        <f t="shared" si="87"/>
        <v>81900736562.486816</v>
      </c>
      <c r="O337" s="16">
        <f t="shared" si="89"/>
        <v>-46140538897.229912</v>
      </c>
      <c r="P337" s="18">
        <f t="shared" si="88"/>
        <v>67666692838.878105</v>
      </c>
    </row>
    <row r="338" spans="1:16" x14ac:dyDescent="0.4">
      <c r="A338" s="14">
        <v>0.32500000000000001</v>
      </c>
      <c r="B338" s="44">
        <f t="shared" si="90"/>
        <v>2.0420352248333655</v>
      </c>
      <c r="C338" s="40">
        <f t="shared" si="76"/>
        <v>6.6357029729028025E-12</v>
      </c>
      <c r="D338" s="15">
        <f t="shared" si="77"/>
        <v>150699933990.94955</v>
      </c>
      <c r="E338" s="15">
        <f t="shared" si="78"/>
        <v>-68416338343.267891</v>
      </c>
      <c r="F338" s="29">
        <f t="shared" si="79"/>
        <v>134274624380.69244</v>
      </c>
      <c r="G338" s="17">
        <f t="shared" si="80"/>
        <v>8.4785302535081346</v>
      </c>
      <c r="H338" s="16">
        <f t="shared" si="81"/>
        <v>1.5862785105243707E-11</v>
      </c>
      <c r="I338" s="16">
        <f t="shared" si="82"/>
        <v>63040632106.239235</v>
      </c>
      <c r="J338" s="16">
        <f t="shared" si="83"/>
        <v>-36861821966.144043</v>
      </c>
      <c r="K338" s="18">
        <f t="shared" si="84"/>
        <v>51140271584.051071</v>
      </c>
      <c r="L338" s="17">
        <f t="shared" si="85"/>
        <v>7.8013128167698786</v>
      </c>
      <c r="M338" s="16">
        <f t="shared" si="86"/>
        <v>1.822603985762914E-11</v>
      </c>
      <c r="N338" s="16">
        <f t="shared" si="87"/>
        <v>82299830995.493134</v>
      </c>
      <c r="O338" s="16">
        <f t="shared" si="89"/>
        <v>-48123275681.738586</v>
      </c>
      <c r="P338" s="18">
        <f t="shared" si="88"/>
        <v>66763856386.117477</v>
      </c>
    </row>
    <row r="339" spans="1:16" x14ac:dyDescent="0.4">
      <c r="A339" s="14">
        <v>0.32600000000000001</v>
      </c>
      <c r="B339" s="44">
        <f t="shared" si="90"/>
        <v>2.0483184101405452</v>
      </c>
      <c r="C339" s="40">
        <f t="shared" si="76"/>
        <v>6.6350784261610255E-12</v>
      </c>
      <c r="D339" s="15">
        <f t="shared" si="77"/>
        <v>150714119076.14597</v>
      </c>
      <c r="E339" s="15">
        <f t="shared" si="78"/>
        <v>-69265173838.705475</v>
      </c>
      <c r="F339" s="29">
        <f t="shared" si="79"/>
        <v>133854702502.34998</v>
      </c>
      <c r="G339" s="17">
        <f t="shared" si="80"/>
        <v>8.5046180389035442</v>
      </c>
      <c r="H339" s="16">
        <f t="shared" si="81"/>
        <v>1.5785063329800915E-11</v>
      </c>
      <c r="I339" s="16">
        <f t="shared" si="82"/>
        <v>63351028697.622101</v>
      </c>
      <c r="J339" s="16">
        <f t="shared" si="83"/>
        <v>-38371269227.538803</v>
      </c>
      <c r="K339" s="18">
        <f t="shared" si="84"/>
        <v>50408318112.338097</v>
      </c>
      <c r="L339" s="17">
        <f t="shared" si="85"/>
        <v>7.8253168562060935</v>
      </c>
      <c r="M339" s="16">
        <f t="shared" si="86"/>
        <v>1.8137113649170397E-11</v>
      </c>
      <c r="N339" s="16">
        <f t="shared" si="87"/>
        <v>82703346795.679977</v>
      </c>
      <c r="O339" s="16">
        <f t="shared" si="89"/>
        <v>-50092831184.518089</v>
      </c>
      <c r="P339" s="18">
        <f t="shared" si="88"/>
        <v>65806928473.572456</v>
      </c>
    </row>
    <row r="340" spans="1:16" x14ac:dyDescent="0.4">
      <c r="A340" s="14">
        <v>0.32700000000000001</v>
      </c>
      <c r="B340" s="44">
        <f t="shared" si="90"/>
        <v>2.0546015954477248</v>
      </c>
      <c r="C340" s="40">
        <f t="shared" si="76"/>
        <v>6.6344559067382594E-12</v>
      </c>
      <c r="D340" s="15">
        <f t="shared" si="77"/>
        <v>150728260773.32941</v>
      </c>
      <c r="E340" s="15">
        <f t="shared" si="78"/>
        <v>-70111412995.454453</v>
      </c>
      <c r="F340" s="29">
        <f t="shared" si="79"/>
        <v>133429375939.23466</v>
      </c>
      <c r="G340" s="17">
        <f t="shared" si="80"/>
        <v>8.5307058242989537</v>
      </c>
      <c r="H340" s="16">
        <f t="shared" si="81"/>
        <v>1.5708869885189574E-11</v>
      </c>
      <c r="I340" s="16">
        <f t="shared" si="82"/>
        <v>63658303067.543175</v>
      </c>
      <c r="J340" s="16">
        <f t="shared" si="83"/>
        <v>-39865533240.258148</v>
      </c>
      <c r="K340" s="18">
        <f t="shared" si="84"/>
        <v>49629817740.034569</v>
      </c>
      <c r="L340" s="17">
        <f t="shared" si="85"/>
        <v>7.8493208956423084</v>
      </c>
      <c r="M340" s="16">
        <f t="shared" si="86"/>
        <v>1.8048126212440282E-11</v>
      </c>
      <c r="N340" s="16">
        <f t="shared" si="87"/>
        <v>83111120918.806198</v>
      </c>
      <c r="O340" s="16">
        <f t="shared" si="89"/>
        <v>-52047714028.888184</v>
      </c>
      <c r="P340" s="18">
        <f t="shared" si="88"/>
        <v>64795786010.723732</v>
      </c>
    </row>
    <row r="341" spans="1:16" x14ac:dyDescent="0.4">
      <c r="A341" s="14">
        <v>0.32800000000000001</v>
      </c>
      <c r="B341" s="44">
        <f t="shared" si="90"/>
        <v>2.0608847807549044</v>
      </c>
      <c r="C341" s="40">
        <f t="shared" si="76"/>
        <v>6.6338354392105046E-12</v>
      </c>
      <c r="D341" s="15">
        <f t="shared" si="77"/>
        <v>150742358498.87323</v>
      </c>
      <c r="E341" s="15">
        <f t="shared" si="78"/>
        <v>-70955020889.295883</v>
      </c>
      <c r="F341" s="29">
        <f t="shared" si="79"/>
        <v>132998660355.66826</v>
      </c>
      <c r="G341" s="17">
        <f t="shared" si="80"/>
        <v>8.5567936096943633</v>
      </c>
      <c r="H341" s="16">
        <f t="shared" si="81"/>
        <v>1.5634256623635468E-11</v>
      </c>
      <c r="I341" s="16">
        <f t="shared" si="82"/>
        <v>63962107318.119987</v>
      </c>
      <c r="J341" s="16">
        <f t="shared" si="83"/>
        <v>-41342922189.634888</v>
      </c>
      <c r="K341" s="18">
        <f t="shared" si="84"/>
        <v>48804855879.271828</v>
      </c>
      <c r="L341" s="17">
        <f t="shared" si="85"/>
        <v>7.8733249350785233</v>
      </c>
      <c r="M341" s="16">
        <f t="shared" si="86"/>
        <v>1.7959128818995905E-11</v>
      </c>
      <c r="N341" s="16">
        <f t="shared" si="87"/>
        <v>83522982385.058975</v>
      </c>
      <c r="O341" s="16">
        <f t="shared" si="89"/>
        <v>-53986403928.463219</v>
      </c>
      <c r="P341" s="18">
        <f t="shared" si="88"/>
        <v>63730344243.285583</v>
      </c>
    </row>
    <row r="342" spans="1:16" x14ac:dyDescent="0.4">
      <c r="A342" s="14">
        <v>0.32900000000000001</v>
      </c>
      <c r="B342" s="44">
        <f t="shared" si="90"/>
        <v>2.0671679660620841</v>
      </c>
      <c r="C342" s="40">
        <f t="shared" si="76"/>
        <v>6.6332170480727578E-12</v>
      </c>
      <c r="D342" s="15">
        <f t="shared" si="77"/>
        <v>150756411670.64542</v>
      </c>
      <c r="E342" s="15">
        <f t="shared" si="78"/>
        <v>-71795962685.45253</v>
      </c>
      <c r="F342" s="29">
        <f t="shared" si="79"/>
        <v>132562571647.80043</v>
      </c>
      <c r="G342" s="17">
        <f t="shared" si="80"/>
        <v>8.5828813950897729</v>
      </c>
      <c r="H342" s="16">
        <f t="shared" si="81"/>
        <v>1.5561274321996168E-11</v>
      </c>
      <c r="I342" s="16">
        <f t="shared" si="82"/>
        <v>64262089293.450745</v>
      </c>
      <c r="J342" s="16">
        <f t="shared" si="83"/>
        <v>-42801723554.409851</v>
      </c>
      <c r="K342" s="18">
        <f t="shared" si="84"/>
        <v>47933585106.179085</v>
      </c>
      <c r="L342" s="17">
        <f t="shared" si="85"/>
        <v>7.8973289745147381</v>
      </c>
      <c r="M342" s="16">
        <f t="shared" si="86"/>
        <v>1.7870172746131092E-11</v>
      </c>
      <c r="N342" s="16">
        <f t="shared" si="87"/>
        <v>83938752093.191223</v>
      </c>
      <c r="O342" s="16">
        <f t="shared" si="89"/>
        <v>-55907352252.256508</v>
      </c>
      <c r="P342" s="18">
        <f t="shared" si="88"/>
        <v>62610558750.935318</v>
      </c>
    </row>
    <row r="343" spans="1:16" x14ac:dyDescent="0.4">
      <c r="A343" s="14">
        <v>0.33</v>
      </c>
      <c r="B343" s="44">
        <f t="shared" si="90"/>
        <v>2.0734511513692637</v>
      </c>
      <c r="C343" s="40">
        <f t="shared" si="76"/>
        <v>6.6326007577380422E-12</v>
      </c>
      <c r="D343" s="15">
        <f t="shared" si="77"/>
        <v>150770419708.03568</v>
      </c>
      <c r="E343" s="15">
        <f t="shared" si="78"/>
        <v>-72634203640.203873</v>
      </c>
      <c r="F343" s="29">
        <f t="shared" si="79"/>
        <v>132121125943.16862</v>
      </c>
      <c r="G343" s="17">
        <f t="shared" si="80"/>
        <v>8.6089691804851824</v>
      </c>
      <c r="H343" s="16">
        <f t="shared" si="81"/>
        <v>1.5489972647205643E-11</v>
      </c>
      <c r="I343" s="16">
        <f t="shared" si="82"/>
        <v>64557893211.024994</v>
      </c>
      <c r="J343" s="16">
        <f t="shared" si="83"/>
        <v>-44240207177.258415</v>
      </c>
      <c r="K343" s="18">
        <f t="shared" si="84"/>
        <v>47016227462.008896</v>
      </c>
      <c r="L343" s="17">
        <f t="shared" si="85"/>
        <v>7.921333013950953</v>
      </c>
      <c r="M343" s="16">
        <f t="shared" si="86"/>
        <v>1.7781309247332159E-11</v>
      </c>
      <c r="N343" s="16">
        <f t="shared" si="87"/>
        <v>84358242643.1875</v>
      </c>
      <c r="O343" s="16">
        <f t="shared" si="89"/>
        <v>-57808982697.823029</v>
      </c>
      <c r="P343" s="18">
        <f t="shared" si="88"/>
        <v>61436427478.245308</v>
      </c>
    </row>
    <row r="344" spans="1:16" x14ac:dyDescent="0.4">
      <c r="A344" s="14">
        <v>0.33100000000000002</v>
      </c>
      <c r="B344" s="44">
        <f t="shared" si="90"/>
        <v>2.0797343366764434</v>
      </c>
      <c r="C344" s="40">
        <f t="shared" si="76"/>
        <v>6.6319865925364434E-12</v>
      </c>
      <c r="D344" s="15">
        <f t="shared" si="77"/>
        <v>150784382031.98236</v>
      </c>
      <c r="E344" s="15">
        <f t="shared" si="78"/>
        <v>-73469709102.499985</v>
      </c>
      <c r="F344" s="29">
        <f t="shared" si="79"/>
        <v>131674339600.24571</v>
      </c>
      <c r="G344" s="17">
        <f t="shared" si="80"/>
        <v>8.6350569658805938</v>
      </c>
      <c r="H344" s="16">
        <f t="shared" si="81"/>
        <v>1.5420400122474244E-11</v>
      </c>
      <c r="I344" s="16">
        <f t="shared" si="82"/>
        <v>64849160336.803726</v>
      </c>
      <c r="J344" s="16">
        <f t="shared" si="83"/>
        <v>-45656628547.681046</v>
      </c>
      <c r="K344" s="18">
        <f t="shared" si="84"/>
        <v>46053076618.696762</v>
      </c>
      <c r="L344" s="17">
        <f t="shared" si="85"/>
        <v>7.9453370533871697</v>
      </c>
      <c r="M344" s="16">
        <f t="shared" si="86"/>
        <v>1.7692589522747358E-11</v>
      </c>
      <c r="N344" s="16">
        <f t="shared" si="87"/>
        <v>84781258168.650238</v>
      </c>
      <c r="O344" s="16">
        <f t="shared" si="89"/>
        <v>-59689692077.852707</v>
      </c>
      <c r="P344" s="18">
        <f t="shared" si="88"/>
        <v>60207992794.233322</v>
      </c>
    </row>
    <row r="345" spans="1:16" x14ac:dyDescent="0.4">
      <c r="A345" s="14">
        <v>0.33200000000000002</v>
      </c>
      <c r="B345" s="44">
        <f t="shared" si="90"/>
        <v>2.0860175219836226</v>
      </c>
      <c r="C345" s="40">
        <f t="shared" si="76"/>
        <v>6.6313745767141534E-12</v>
      </c>
      <c r="D345" s="15">
        <f t="shared" si="77"/>
        <v>150798298064.99939</v>
      </c>
      <c r="E345" s="15">
        <f t="shared" si="78"/>
        <v>-74302444515.574005</v>
      </c>
      <c r="F345" s="29">
        <f t="shared" si="79"/>
        <v>131222229207.97543</v>
      </c>
      <c r="G345" s="17">
        <f t="shared" si="80"/>
        <v>8.6611447512760016</v>
      </c>
      <c r="H345" s="16">
        <f t="shared" si="81"/>
        <v>1.5352604094267013E-11</v>
      </c>
      <c r="I345" s="16">
        <f t="shared" si="82"/>
        <v>65135529702.965584</v>
      </c>
      <c r="J345" s="16">
        <f t="shared" si="83"/>
        <v>-47049232292.37616</v>
      </c>
      <c r="K345" s="18">
        <f t="shared" si="84"/>
        <v>45044499890.485413</v>
      </c>
      <c r="L345" s="17">
        <f t="shared" si="85"/>
        <v>7.9693410928233828</v>
      </c>
      <c r="M345" s="16">
        <f t="shared" si="86"/>
        <v>1.7604064689687109E-11</v>
      </c>
      <c r="N345" s="16">
        <f t="shared" si="87"/>
        <v>85207594180.151855</v>
      </c>
      <c r="O345" s="16">
        <f t="shared" si="89"/>
        <v>-61547851225.564812</v>
      </c>
      <c r="P345" s="18">
        <f t="shared" si="88"/>
        <v>58925343575.453072</v>
      </c>
    </row>
    <row r="346" spans="1:16" x14ac:dyDescent="0.4">
      <c r="A346" s="14">
        <v>0.33300000000000002</v>
      </c>
      <c r="B346" s="44">
        <f t="shared" si="90"/>
        <v>2.0923007072908022</v>
      </c>
      <c r="C346" s="40">
        <f t="shared" si="76"/>
        <v>6.630764734432508E-12</v>
      </c>
      <c r="D346" s="15">
        <f t="shared" si="77"/>
        <v>150812167231.20319</v>
      </c>
      <c r="E346" s="15">
        <f t="shared" si="78"/>
        <v>-75132375418.553848</v>
      </c>
      <c r="F346" s="29">
        <f t="shared" si="79"/>
        <v>130764811585.29568</v>
      </c>
      <c r="G346" s="17">
        <f t="shared" si="80"/>
        <v>8.6872325366714112</v>
      </c>
      <c r="H346" s="16">
        <f t="shared" si="81"/>
        <v>1.5286630700082766E-11</v>
      </c>
      <c r="I346" s="16">
        <f t="shared" si="82"/>
        <v>65416638866.96666</v>
      </c>
      <c r="J346" s="16">
        <f t="shared" si="83"/>
        <v>-48416255866.520386</v>
      </c>
      <c r="K346" s="18">
        <f t="shared" si="84"/>
        <v>43990940073.141914</v>
      </c>
      <c r="L346" s="17">
        <f t="shared" si="85"/>
        <v>7.9933451322595985</v>
      </c>
      <c r="M346" s="16">
        <f t="shared" si="86"/>
        <v>1.7515785753171889E-11</v>
      </c>
      <c r="N346" s="16">
        <f t="shared" si="87"/>
        <v>85637037420.851578</v>
      </c>
      <c r="O346" s="16">
        <f t="shared" si="89"/>
        <v>-63381806024.161903</v>
      </c>
      <c r="P346" s="18">
        <f t="shared" si="88"/>
        <v>57588617307.032532</v>
      </c>
    </row>
    <row r="347" spans="1:16" x14ac:dyDescent="0.4">
      <c r="A347" s="14">
        <v>0.33400000000000002</v>
      </c>
      <c r="B347" s="44">
        <f t="shared" si="90"/>
        <v>2.0985838925979818</v>
      </c>
      <c r="C347" s="40">
        <f t="shared" si="76"/>
        <v>6.6301570897670375E-12</v>
      </c>
      <c r="D347" s="15">
        <f t="shared" si="77"/>
        <v>150825988956.3396</v>
      </c>
      <c r="E347" s="15">
        <f t="shared" si="78"/>
        <v>-75959467448.071655</v>
      </c>
      <c r="F347" s="29">
        <f t="shared" si="79"/>
        <v>130302103780.64977</v>
      </c>
      <c r="G347" s="17">
        <f t="shared" si="80"/>
        <v>8.7133203220668207</v>
      </c>
      <c r="H347" s="16">
        <f t="shared" si="81"/>
        <v>1.5222524837056015E-11</v>
      </c>
      <c r="I347" s="16">
        <f t="shared" si="82"/>
        <v>65692124710.199959</v>
      </c>
      <c r="J347" s="16">
        <f t="shared" si="83"/>
        <v>-49755933437.62043</v>
      </c>
      <c r="K347" s="18">
        <f t="shared" si="84"/>
        <v>42892917092.353943</v>
      </c>
      <c r="L347" s="17">
        <f t="shared" si="85"/>
        <v>8.0173491716958125</v>
      </c>
      <c r="M347" s="16">
        <f t="shared" si="86"/>
        <v>1.7427803576544916E-11</v>
      </c>
      <c r="N347" s="16">
        <f t="shared" si="87"/>
        <v>86069365735.723816</v>
      </c>
      <c r="O347" s="16">
        <f t="shared" si="89"/>
        <v>-65189878565.458374</v>
      </c>
      <c r="P347" s="18">
        <f t="shared" si="88"/>
        <v>56198002195.545876</v>
      </c>
    </row>
    <row r="348" spans="1:16" x14ac:dyDescent="0.4">
      <c r="A348" s="14">
        <v>0.33500000000000002</v>
      </c>
      <c r="B348" s="44">
        <f t="shared" si="90"/>
        <v>2.1048670779051615</v>
      </c>
      <c r="C348" s="40">
        <f t="shared" si="76"/>
        <v>6.6295516667065114E-12</v>
      </c>
      <c r="D348" s="15">
        <f t="shared" si="77"/>
        <v>150839762667.81085</v>
      </c>
      <c r="E348" s="15">
        <f t="shared" si="78"/>
        <v>-76783686339.872437</v>
      </c>
      <c r="F348" s="29">
        <f t="shared" si="79"/>
        <v>129834123071.48531</v>
      </c>
      <c r="G348" s="17">
        <f t="shared" si="80"/>
        <v>8.7394081074622303</v>
      </c>
      <c r="H348" s="16">
        <f t="shared" si="81"/>
        <v>1.5160330131402909E-11</v>
      </c>
      <c r="I348" s="16">
        <f t="shared" si="82"/>
        <v>65961624274.171516</v>
      </c>
      <c r="J348" s="16">
        <f t="shared" si="83"/>
        <v>-51066499951.806755</v>
      </c>
      <c r="K348" s="18">
        <f t="shared" si="84"/>
        <v>41751029443.105873</v>
      </c>
      <c r="L348" s="17">
        <f t="shared" si="85"/>
        <v>8.0413532111320283</v>
      </c>
      <c r="M348" s="16">
        <f t="shared" si="86"/>
        <v>1.7340168852166348E-11</v>
      </c>
      <c r="N348" s="16">
        <f t="shared" si="87"/>
        <v>86504347955.792923</v>
      </c>
      <c r="O348" s="16">
        <f t="shared" si="89"/>
        <v>-66970368442.629715</v>
      </c>
      <c r="P348" s="18">
        <f t="shared" si="88"/>
        <v>54753739287.059853</v>
      </c>
    </row>
    <row r="349" spans="1:16" x14ac:dyDescent="0.4">
      <c r="A349" s="14">
        <v>0.33600000000000002</v>
      </c>
      <c r="B349" s="44">
        <f t="shared" si="90"/>
        <v>2.1111502632123411</v>
      </c>
      <c r="C349" s="40">
        <f t="shared" si="76"/>
        <v>6.6289484891519959E-12</v>
      </c>
      <c r="D349" s="15">
        <f t="shared" si="77"/>
        <v>150853487794.70218</v>
      </c>
      <c r="E349" s="15">
        <f t="shared" si="78"/>
        <v>-77604997930.420776</v>
      </c>
      <c r="F349" s="29">
        <f t="shared" si="79"/>
        <v>129360886963.74089</v>
      </c>
      <c r="G349" s="17">
        <f t="shared" si="80"/>
        <v>8.7654958928576399</v>
      </c>
      <c r="H349" s="16">
        <f t="shared" si="81"/>
        <v>1.510008890873212E-11</v>
      </c>
      <c r="I349" s="16">
        <f t="shared" si="82"/>
        <v>66224775631.732689</v>
      </c>
      <c r="J349" s="16">
        <f t="shared" si="83"/>
        <v>-52346195370.604294</v>
      </c>
      <c r="K349" s="18">
        <f t="shared" si="84"/>
        <v>40565955402.231819</v>
      </c>
      <c r="L349" s="17">
        <f t="shared" si="85"/>
        <v>8.0653572505682423</v>
      </c>
      <c r="M349" s="16">
        <f t="shared" si="86"/>
        <v>1.7252932072206116E-11</v>
      </c>
      <c r="N349" s="16">
        <f t="shared" si="87"/>
        <v>86941743798.809067</v>
      </c>
      <c r="O349" s="16">
        <f t="shared" si="89"/>
        <v>-68721554181.797241</v>
      </c>
      <c r="P349" s="18">
        <f t="shared" si="88"/>
        <v>53256124583.15062</v>
      </c>
    </row>
    <row r="350" spans="1:16" x14ac:dyDescent="0.4">
      <c r="A350" s="14">
        <v>0.33700000000000002</v>
      </c>
      <c r="B350" s="44">
        <f t="shared" si="90"/>
        <v>2.1174334485195208</v>
      </c>
      <c r="C350" s="40">
        <f t="shared" si="76"/>
        <v>6.6283475809159084E-12</v>
      </c>
      <c r="D350" s="15">
        <f t="shared" si="77"/>
        <v>150867163767.80884</v>
      </c>
      <c r="E350" s="15">
        <f t="shared" si="78"/>
        <v>-78423368158.505783</v>
      </c>
      <c r="F350" s="29">
        <f t="shared" si="79"/>
        <v>128882413191.32069</v>
      </c>
      <c r="G350" s="17">
        <f t="shared" si="80"/>
        <v>8.7915836782530512</v>
      </c>
      <c r="H350" s="16">
        <f t="shared" si="81"/>
        <v>1.5041842165240831E-11</v>
      </c>
      <c r="I350" s="16">
        <f t="shared" si="82"/>
        <v>66481218790.530319</v>
      </c>
      <c r="J350" s="16">
        <f t="shared" si="83"/>
        <v>-53593269064.377708</v>
      </c>
      <c r="K350" s="18">
        <f t="shared" si="84"/>
        <v>39338453996.917274</v>
      </c>
      <c r="L350" s="17">
        <f t="shared" si="85"/>
        <v>8.0893612900044598</v>
      </c>
      <c r="M350" s="16">
        <f t="shared" si="86"/>
        <v>1.7166143499551969E-11</v>
      </c>
      <c r="N350" s="16">
        <f t="shared" si="87"/>
        <v>87381303787.839676</v>
      </c>
      <c r="O350" s="16">
        <f t="shared" si="89"/>
        <v>-70441694816.895859</v>
      </c>
      <c r="P350" s="18">
        <f t="shared" si="88"/>
        <v>51705511147.130463</v>
      </c>
    </row>
    <row r="351" spans="1:16" x14ac:dyDescent="0.4">
      <c r="A351" s="14">
        <v>0.33800000000000002</v>
      </c>
      <c r="B351" s="44">
        <f t="shared" si="90"/>
        <v>2.1237166338267004</v>
      </c>
      <c r="C351" s="40">
        <f t="shared" si="76"/>
        <v>6.6277489657210774E-12</v>
      </c>
      <c r="D351" s="15">
        <f t="shared" si="77"/>
        <v>150880790019.66293</v>
      </c>
      <c r="E351" s="15">
        <f t="shared" si="78"/>
        <v>-79238763066.844452</v>
      </c>
      <c r="F351" s="29">
        <f t="shared" si="79"/>
        <v>128398719715.55675</v>
      </c>
      <c r="G351" s="17">
        <f t="shared" si="80"/>
        <v>8.8176714636484608</v>
      </c>
      <c r="H351" s="16">
        <f t="shared" si="81"/>
        <v>1.4985629539815439E-11</v>
      </c>
      <c r="I351" s="16">
        <f t="shared" si="82"/>
        <v>66730596625.459877</v>
      </c>
      <c r="J351" s="16">
        <f t="shared" si="83"/>
        <v>-54805984346.816704</v>
      </c>
      <c r="K351" s="18">
        <f t="shared" si="84"/>
        <v>38069365712.687141</v>
      </c>
      <c r="L351" s="17">
        <f t="shared" si="85"/>
        <v>8.1133653294406738</v>
      </c>
      <c r="M351" s="16">
        <f t="shared" si="86"/>
        <v>1.7079853138849804E-11</v>
      </c>
      <c r="N351" s="16">
        <f t="shared" si="87"/>
        <v>87822769189.279663</v>
      </c>
      <c r="O351" s="16">
        <f t="shared" si="89"/>
        <v>-72129031611.945175</v>
      </c>
      <c r="P351" s="18">
        <f t="shared" si="88"/>
        <v>50102311192.164604</v>
      </c>
    </row>
    <row r="352" spans="1:16" x14ac:dyDescent="0.4">
      <c r="A352" s="14">
        <v>0.33900000000000002</v>
      </c>
      <c r="B352" s="44">
        <f t="shared" si="90"/>
        <v>2.12999981913388</v>
      </c>
      <c r="C352" s="40">
        <f t="shared" si="76"/>
        <v>6.6271526671998048E-12</v>
      </c>
      <c r="D352" s="15">
        <f t="shared" si="77"/>
        <v>150894365984.55997</v>
      </c>
      <c r="E352" s="15">
        <f t="shared" si="78"/>
        <v>-80051148803.682709</v>
      </c>
      <c r="F352" s="29">
        <f t="shared" si="79"/>
        <v>127909824724.65897</v>
      </c>
      <c r="G352" s="17">
        <f t="shared" si="80"/>
        <v>8.8437592490438703</v>
      </c>
      <c r="H352" s="16">
        <f t="shared" si="81"/>
        <v>1.4931489287055933E-11</v>
      </c>
      <c r="I352" s="16">
        <f t="shared" si="82"/>
        <v>66972555836.536499</v>
      </c>
      <c r="J352" s="16">
        <f t="shared" si="83"/>
        <v>-55982623133.027962</v>
      </c>
      <c r="K352" s="18">
        <f t="shared" si="84"/>
        <v>36759612925.374519</v>
      </c>
      <c r="L352" s="17">
        <f t="shared" si="85"/>
        <v>8.1373693688768896</v>
      </c>
      <c r="M352" s="16">
        <f t="shared" si="86"/>
        <v>1.6994110707692533E-11</v>
      </c>
      <c r="N352" s="16">
        <f t="shared" si="87"/>
        <v>88265871971.812668</v>
      </c>
      <c r="O352" s="16">
        <f t="shared" si="89"/>
        <v>-73781789934.472763</v>
      </c>
      <c r="P352" s="18">
        <f t="shared" si="88"/>
        <v>48446998142.400505</v>
      </c>
    </row>
    <row r="353" spans="1:16" x14ac:dyDescent="0.4">
      <c r="A353" s="14">
        <v>0.34</v>
      </c>
      <c r="B353" s="44">
        <f t="shared" si="90"/>
        <v>2.1362830044410597</v>
      </c>
      <c r="C353" s="40">
        <f t="shared" si="76"/>
        <v>6.626558708892936E-12</v>
      </c>
      <c r="D353" s="15">
        <f t="shared" si="77"/>
        <v>150907891098.58572</v>
      </c>
      <c r="E353" s="15">
        <f t="shared" si="78"/>
        <v>-80860491624.394684</v>
      </c>
      <c r="F353" s="29">
        <f t="shared" si="79"/>
        <v>127415746633.15288</v>
      </c>
      <c r="G353" s="17">
        <f t="shared" si="80"/>
        <v>8.8698470344392799</v>
      </c>
      <c r="H353" s="16">
        <f t="shared" si="81"/>
        <v>1.4879458251242345E-11</v>
      </c>
      <c r="I353" s="16">
        <f t="shared" si="82"/>
        <v>67206747928.238991</v>
      </c>
      <c r="J353" s="16">
        <f t="shared" si="83"/>
        <v>-57121490702.049034</v>
      </c>
      <c r="K353" s="18">
        <f t="shared" si="84"/>
        <v>35410200042.721893</v>
      </c>
      <c r="L353" s="17">
        <f t="shared" si="85"/>
        <v>8.1613734083131035</v>
      </c>
      <c r="M353" s="16">
        <f t="shared" si="86"/>
        <v>1.6908965607974619E-11</v>
      </c>
      <c r="N353" s="16">
        <f t="shared" si="87"/>
        <v>88710334787.869507</v>
      </c>
      <c r="O353" s="16">
        <f t="shared" si="89"/>
        <v>-75398181283.397232</v>
      </c>
      <c r="P353" s="18">
        <f t="shared" si="88"/>
        <v>46740108657.681335</v>
      </c>
    </row>
    <row r="354" spans="1:16" x14ac:dyDescent="0.4">
      <c r="A354" s="14">
        <v>0.34100000000000003</v>
      </c>
      <c r="B354" s="44">
        <f t="shared" si="90"/>
        <v>2.1425661897482389</v>
      </c>
      <c r="C354" s="40">
        <f t="shared" si="76"/>
        <v>6.6259671142489282E-12</v>
      </c>
      <c r="D354" s="15">
        <f t="shared" si="77"/>
        <v>150921364799.64294</v>
      </c>
      <c r="E354" s="15">
        <f t="shared" si="78"/>
        <v>-81666757893.079788</v>
      </c>
      <c r="F354" s="29">
        <f t="shared" si="79"/>
        <v>126916504081.30534</v>
      </c>
      <c r="G354" s="17">
        <f t="shared" si="80"/>
        <v>8.8959348198346877</v>
      </c>
      <c r="H354" s="16">
        <f t="shared" si="81"/>
        <v>1.4829571841260981E-11</v>
      </c>
      <c r="I354" s="16">
        <f t="shared" si="82"/>
        <v>67432830206.038399</v>
      </c>
      <c r="J354" s="16">
        <f t="shared" si="83"/>
        <v>-58220920542.930542</v>
      </c>
      <c r="K354" s="18">
        <f t="shared" si="84"/>
        <v>34022213342.611507</v>
      </c>
      <c r="L354" s="17">
        <f t="shared" si="85"/>
        <v>8.1853774477493175</v>
      </c>
      <c r="M354" s="16">
        <f t="shared" si="86"/>
        <v>1.6824466897428282E-11</v>
      </c>
      <c r="N354" s="16">
        <f t="shared" si="87"/>
        <v>89155870979.144287</v>
      </c>
      <c r="O354" s="16">
        <f t="shared" si="89"/>
        <v>-76976405474.194565</v>
      </c>
      <c r="P354" s="18">
        <f t="shared" si="88"/>
        <v>44982244611.871155</v>
      </c>
    </row>
    <row r="355" spans="1:16" x14ac:dyDescent="0.4">
      <c r="A355" s="14">
        <v>0.34200000000000003</v>
      </c>
      <c r="B355" s="44">
        <f t="shared" si="90"/>
        <v>2.1488493750554185</v>
      </c>
      <c r="C355" s="40">
        <f t="shared" si="76"/>
        <v>6.6253779066229239E-12</v>
      </c>
      <c r="D355" s="15">
        <f t="shared" si="77"/>
        <v>150934786527.478</v>
      </c>
      <c r="E355" s="15">
        <f t="shared" si="78"/>
        <v>-82469914084.157684</v>
      </c>
      <c r="F355" s="29">
        <f t="shared" si="79"/>
        <v>126412115934.5377</v>
      </c>
      <c r="G355" s="17">
        <f t="shared" si="80"/>
        <v>8.9220226052300973</v>
      </c>
      <c r="H355" s="16">
        <f t="shared" si="81"/>
        <v>1.4781864006507436E-11</v>
      </c>
      <c r="I355" s="16">
        <f t="shared" si="82"/>
        <v>67650466785.499374</v>
      </c>
      <c r="J355" s="16">
        <f t="shared" si="83"/>
        <v>-59279279261.958733</v>
      </c>
      <c r="K355" s="18">
        <f t="shared" si="84"/>
        <v>32596820496.463516</v>
      </c>
      <c r="L355" s="17">
        <f t="shared" si="85"/>
        <v>8.2093814871855333</v>
      </c>
      <c r="M355" s="16">
        <f t="shared" si="86"/>
        <v>1.6740663261358119E-11</v>
      </c>
      <c r="N355" s="16">
        <f t="shared" si="87"/>
        <v>89602184607.726807</v>
      </c>
      <c r="O355" s="16">
        <f t="shared" si="89"/>
        <v>-78514652983.614426</v>
      </c>
      <c r="P355" s="18">
        <f t="shared" si="88"/>
        <v>43174075014.292557</v>
      </c>
    </row>
    <row r="356" spans="1:16" x14ac:dyDescent="0.4">
      <c r="A356" s="14">
        <v>0.34300000000000003</v>
      </c>
      <c r="B356" s="44">
        <f t="shared" si="90"/>
        <v>2.1551325603625981</v>
      </c>
      <c r="C356" s="40">
        <f t="shared" si="76"/>
        <v>6.6247911092758325E-12</v>
      </c>
      <c r="D356" s="15">
        <f t="shared" si="77"/>
        <v>150948155723.70731</v>
      </c>
      <c r="E356" s="15">
        <f t="shared" si="78"/>
        <v>-83269926783.960373</v>
      </c>
      <c r="F356" s="29">
        <f t="shared" si="79"/>
        <v>125902601282.82684</v>
      </c>
      <c r="G356" s="17">
        <f t="shared" si="80"/>
        <v>8.9481103906255086</v>
      </c>
      <c r="H356" s="16">
        <f t="shared" si="81"/>
        <v>1.4736367213782919E-11</v>
      </c>
      <c r="I356" s="16">
        <f t="shared" si="82"/>
        <v>67859329609.043701</v>
      </c>
      <c r="J356" s="16">
        <f t="shared" si="83"/>
        <v>-60294971527.139809</v>
      </c>
      <c r="K356" s="18">
        <f t="shared" si="84"/>
        <v>31135269768.065842</v>
      </c>
      <c r="L356" s="17">
        <f t="shared" si="85"/>
        <v>8.2333855266217491</v>
      </c>
      <c r="M356" s="16">
        <f t="shared" si="86"/>
        <v>1.6657602984590303E-11</v>
      </c>
      <c r="N356" s="16">
        <f t="shared" si="87"/>
        <v>90048970514.402786</v>
      </c>
      <c r="O356" s="16">
        <f t="shared" si="89"/>
        <v>-80011107455.599915</v>
      </c>
      <c r="P356" s="18">
        <f t="shared" si="88"/>
        <v>41316337863.274216</v>
      </c>
    </row>
    <row r="357" spans="1:16" x14ac:dyDescent="0.4">
      <c r="A357" s="14">
        <v>0.34399999999999997</v>
      </c>
      <c r="B357" s="44">
        <f t="shared" si="90"/>
        <v>2.1614157456697773</v>
      </c>
      <c r="C357" s="40">
        <f t="shared" si="76"/>
        <v>6.6242067453734074E-12</v>
      </c>
      <c r="D357" s="15">
        <f t="shared" si="77"/>
        <v>150961471831.84421</v>
      </c>
      <c r="E357" s="15">
        <f t="shared" si="78"/>
        <v>-84066762692.322418</v>
      </c>
      <c r="F357" s="29">
        <f t="shared" si="79"/>
        <v>125387979440.09402</v>
      </c>
      <c r="G357" s="17">
        <f t="shared" si="80"/>
        <v>8.9741981760209164</v>
      </c>
      <c r="H357" s="16">
        <f t="shared" si="81"/>
        <v>1.4693112425199482E-11</v>
      </c>
      <c r="I357" s="16">
        <f t="shared" si="82"/>
        <v>68059099465.198807</v>
      </c>
      <c r="J357" s="16">
        <f t="shared" si="83"/>
        <v>-61266445024.767937</v>
      </c>
      <c r="K357" s="18">
        <f t="shared" si="84"/>
        <v>29638888879.998745</v>
      </c>
      <c r="L357" s="17">
        <f t="shared" si="85"/>
        <v>8.257389566057963</v>
      </c>
      <c r="M357" s="16">
        <f t="shared" si="86"/>
        <v>1.6575333923652455E-11</v>
      </c>
      <c r="N357" s="16">
        <f t="shared" si="87"/>
        <v>90495914405.654861</v>
      </c>
      <c r="O357" s="16">
        <f t="shared" si="89"/>
        <v>-81463948369.39035</v>
      </c>
      <c r="P357" s="18">
        <f t="shared" si="88"/>
        <v>39409841920.323845</v>
      </c>
    </row>
    <row r="358" spans="1:16" x14ac:dyDescent="0.4">
      <c r="A358" s="14">
        <v>0.34499999999999997</v>
      </c>
      <c r="B358" s="44">
        <f t="shared" si="90"/>
        <v>2.167698930976957</v>
      </c>
      <c r="C358" s="40">
        <f t="shared" si="76"/>
        <v>6.6236248379853357E-12</v>
      </c>
      <c r="D358" s="15">
        <f t="shared" si="77"/>
        <v>150974734297.32523</v>
      </c>
      <c r="E358" s="15">
        <f t="shared" si="78"/>
        <v>-84860388624.168442</v>
      </c>
      <c r="F358" s="29">
        <f t="shared" si="79"/>
        <v>124868269943.58116</v>
      </c>
      <c r="G358" s="17">
        <f t="shared" si="80"/>
        <v>9.000285961416326</v>
      </c>
      <c r="H358" s="16">
        <f t="shared" si="81"/>
        <v>1.4652129077109221E-11</v>
      </c>
      <c r="I358" s="16">
        <f t="shared" si="82"/>
        <v>68249467004.920357</v>
      </c>
      <c r="J358" s="16">
        <f t="shared" si="83"/>
        <v>-62192195401.764572</v>
      </c>
      <c r="K358" s="18">
        <f t="shared" si="84"/>
        <v>28109083541.881027</v>
      </c>
      <c r="L358" s="17">
        <f t="shared" si="85"/>
        <v>8.281393605494177</v>
      </c>
      <c r="M358" s="16">
        <f t="shared" si="86"/>
        <v>1.6493903479200341E-11</v>
      </c>
      <c r="N358" s="16">
        <f t="shared" si="87"/>
        <v>90942692970.865082</v>
      </c>
      <c r="O358" s="16">
        <f t="shared" si="89"/>
        <v>-82871353870.045105</v>
      </c>
      <c r="P358" s="18">
        <f t="shared" si="88"/>
        <v>37455468392.996956</v>
      </c>
    </row>
    <row r="359" spans="1:16" x14ac:dyDescent="0.4">
      <c r="A359" s="14">
        <v>0.34599999999999997</v>
      </c>
      <c r="B359" s="44">
        <f t="shared" si="90"/>
        <v>2.1739821162841366</v>
      </c>
      <c r="C359" s="40">
        <f t="shared" si="76"/>
        <v>6.6230454100843235E-12</v>
      </c>
      <c r="D359" s="15">
        <f t="shared" si="77"/>
        <v>150987942567.5368</v>
      </c>
      <c r="E359" s="15">
        <f t="shared" si="78"/>
        <v>-85650771511.097641</v>
      </c>
      <c r="F359" s="29">
        <f t="shared" si="79"/>
        <v>124343492553.21542</v>
      </c>
      <c r="G359" s="17">
        <f t="shared" si="80"/>
        <v>9.0263737468117355</v>
      </c>
      <c r="H359" s="16">
        <f t="shared" si="81"/>
        <v>1.4613445060071876E-11</v>
      </c>
      <c r="I359" s="16">
        <f t="shared" si="82"/>
        <v>68430133749.384453</v>
      </c>
      <c r="J359" s="16">
        <f t="shared" si="83"/>
        <v>-63070771166.535271</v>
      </c>
      <c r="K359" s="18">
        <f t="shared" si="84"/>
        <v>26547335636.880554</v>
      </c>
      <c r="L359" s="17">
        <f t="shared" si="85"/>
        <v>8.3053976449303928</v>
      </c>
      <c r="M359" s="16">
        <f t="shared" si="86"/>
        <v>1.6413358568707216E-11</v>
      </c>
      <c r="N359" s="16">
        <f t="shared" si="87"/>
        <v>91388974031.178207</v>
      </c>
      <c r="O359" s="16">
        <f t="shared" si="89"/>
        <v>-84231503760.822678</v>
      </c>
      <c r="P359" s="18">
        <f t="shared" si="88"/>
        <v>35454172514.132675</v>
      </c>
    </row>
    <row r="360" spans="1:16" x14ac:dyDescent="0.4">
      <c r="A360" s="14">
        <v>0.34699999999999998</v>
      </c>
      <c r="B360" s="44">
        <f t="shared" si="90"/>
        <v>2.1802653015913163</v>
      </c>
      <c r="C360" s="40">
        <f t="shared" si="76"/>
        <v>6.6224684845451938E-12</v>
      </c>
      <c r="D360" s="15">
        <f t="shared" si="77"/>
        <v>151001096091.84137</v>
      </c>
      <c r="E360" s="15">
        <f t="shared" si="78"/>
        <v>-86437878402.96579</v>
      </c>
      <c r="F360" s="29">
        <f t="shared" si="79"/>
        <v>123813667250.96066</v>
      </c>
      <c r="G360" s="17">
        <f t="shared" si="80"/>
        <v>9.0524615322071451</v>
      </c>
      <c r="H360" s="16">
        <f t="shared" si="81"/>
        <v>1.4577086699874347E-11</v>
      </c>
      <c r="I360" s="16">
        <f t="shared" si="82"/>
        <v>68600813083.4963</v>
      </c>
      <c r="J360" s="16">
        <f t="shared" si="83"/>
        <v>-63900778520.366127</v>
      </c>
      <c r="K360" s="18">
        <f t="shared" si="84"/>
        <v>24955201065.267166</v>
      </c>
      <c r="L360" s="17">
        <f t="shared" si="85"/>
        <v>8.3294016843666068</v>
      </c>
      <c r="M360" s="16">
        <f t="shared" si="86"/>
        <v>1.6333745599431576E-11</v>
      </c>
      <c r="N360" s="16">
        <f t="shared" si="87"/>
        <v>91834416721.428604</v>
      </c>
      <c r="O360" s="16">
        <f t="shared" si="89"/>
        <v>-85542582655.988754</v>
      </c>
      <c r="P360" s="18">
        <f t="shared" si="88"/>
        <v>33406985004.761158</v>
      </c>
    </row>
    <row r="361" spans="1:16" x14ac:dyDescent="0.4">
      <c r="A361" s="14">
        <v>0.34799999999999998</v>
      </c>
      <c r="B361" s="44">
        <f t="shared" si="90"/>
        <v>2.1865484868984959</v>
      </c>
      <c r="C361" s="40">
        <f t="shared" si="76"/>
        <v>6.6218940841439785E-12</v>
      </c>
      <c r="D361" s="15">
        <f t="shared" si="77"/>
        <v>151014194321.60419</v>
      </c>
      <c r="E361" s="15">
        <f t="shared" si="78"/>
        <v>-87221676469.464554</v>
      </c>
      <c r="F361" s="29">
        <f t="shared" si="79"/>
        <v>123278814240.15759</v>
      </c>
      <c r="G361" s="17">
        <f t="shared" si="80"/>
        <v>9.0785493176025547</v>
      </c>
      <c r="H361" s="16">
        <f t="shared" si="81"/>
        <v>1.4543078739615092E-11</v>
      </c>
      <c r="I361" s="16">
        <f t="shared" si="82"/>
        <v>68761231229.259415</v>
      </c>
      <c r="J361" s="16">
        <f t="shared" si="83"/>
        <v>-64680886090.882233</v>
      </c>
      <c r="K361" s="18">
        <f t="shared" si="84"/>
        <v>23334307246.241478</v>
      </c>
      <c r="L361" s="17">
        <f t="shared" si="85"/>
        <v>8.3534057238028225</v>
      </c>
      <c r="M361" s="16">
        <f t="shared" si="86"/>
        <v>1.6255110441678819E-11</v>
      </c>
      <c r="N361" s="16">
        <f t="shared" si="87"/>
        <v>92278671706.464325</v>
      </c>
      <c r="O361" s="16">
        <f t="shared" si="89"/>
        <v>-86802783291.697922</v>
      </c>
      <c r="P361" s="18">
        <f t="shared" si="88"/>
        <v>31315013407.692303</v>
      </c>
    </row>
    <row r="362" spans="1:16" x14ac:dyDescent="0.4">
      <c r="A362" s="14">
        <v>0.34899999999999998</v>
      </c>
      <c r="B362" s="44">
        <f t="shared" si="90"/>
        <v>2.1928316722056755</v>
      </c>
      <c r="C362" s="40">
        <f t="shared" si="76"/>
        <v>6.6213222315570215E-12</v>
      </c>
      <c r="D362" s="15">
        <f t="shared" si="77"/>
        <v>151027236710.21933</v>
      </c>
      <c r="E362" s="15">
        <f t="shared" si="78"/>
        <v>-88002133001.69725</v>
      </c>
      <c r="F362" s="29">
        <f t="shared" si="79"/>
        <v>122738953944.85081</v>
      </c>
      <c r="G362" s="17">
        <f t="shared" si="80"/>
        <v>9.104637102997966</v>
      </c>
      <c r="H362" s="16">
        <f t="shared" si="81"/>
        <v>1.451144432286562E-11</v>
      </c>
      <c r="I362" s="16">
        <f t="shared" si="82"/>
        <v>68911128193.098206</v>
      </c>
      <c r="J362" s="16">
        <f t="shared" si="83"/>
        <v>-65409829538.842888</v>
      </c>
      <c r="K362" s="18">
        <f t="shared" si="84"/>
        <v>21686350281.804695</v>
      </c>
      <c r="L362" s="17">
        <f t="shared" si="85"/>
        <v>8.3774097632390383</v>
      </c>
      <c r="M362" s="16">
        <f t="shared" si="86"/>
        <v>1.6177498402372383E-11</v>
      </c>
      <c r="N362" s="16">
        <f t="shared" si="87"/>
        <v>92721381433.116348</v>
      </c>
      <c r="O362" s="16">
        <f t="shared" si="89"/>
        <v>-88010309991.610336</v>
      </c>
      <c r="P362" s="18">
        <f t="shared" si="88"/>
        <v>29179443278.549805</v>
      </c>
    </row>
    <row r="363" spans="1:16" x14ac:dyDescent="0.4">
      <c r="A363" s="14">
        <v>0.35</v>
      </c>
      <c r="B363" s="44">
        <f t="shared" si="90"/>
        <v>2.1991148575128552</v>
      </c>
      <c r="C363" s="40">
        <f t="shared" si="76"/>
        <v>6.6207529493600834E-12</v>
      </c>
      <c r="D363" s="15">
        <f t="shared" si="77"/>
        <v>151040222713.13614</v>
      </c>
      <c r="E363" s="15">
        <f t="shared" si="78"/>
        <v>-88779215413.752045</v>
      </c>
      <c r="F363" s="29">
        <f t="shared" si="79"/>
        <v>122194107009.10406</v>
      </c>
      <c r="G363" s="17">
        <f t="shared" si="80"/>
        <v>9.1307248883933756</v>
      </c>
      <c r="H363" s="16">
        <f t="shared" si="81"/>
        <v>1.44822049779205E-11</v>
      </c>
      <c r="I363" s="16">
        <f t="shared" si="82"/>
        <v>69050258681.229492</v>
      </c>
      <c r="J363" s="16">
        <f t="shared" si="83"/>
        <v>-66086416009.559753</v>
      </c>
      <c r="K363" s="18">
        <f t="shared" si="84"/>
        <v>20013091789.029335</v>
      </c>
      <c r="L363" s="17">
        <f t="shared" si="85"/>
        <v>8.4014138026752541</v>
      </c>
      <c r="M363" s="16">
        <f t="shared" si="86"/>
        <v>1.6100954198949377E-11</v>
      </c>
      <c r="N363" s="16">
        <f t="shared" si="87"/>
        <v>93162180418.964142</v>
      </c>
      <c r="O363" s="16">
        <f t="shared" si="89"/>
        <v>-89163382282.867065</v>
      </c>
      <c r="P363" s="18">
        <f t="shared" si="88"/>
        <v>27001539220.846878</v>
      </c>
    </row>
    <row r="364" spans="1:16" x14ac:dyDescent="0.4">
      <c r="A364" s="14">
        <v>0.35099999999999998</v>
      </c>
      <c r="B364" s="44">
        <f t="shared" si="90"/>
        <v>2.2053980428200348</v>
      </c>
      <c r="C364" s="40">
        <f t="shared" si="76"/>
        <v>6.6201862600274515E-12</v>
      </c>
      <c r="D364" s="15">
        <f t="shared" si="77"/>
        <v>151053151787.88541</v>
      </c>
      <c r="E364" s="15">
        <f t="shared" si="78"/>
        <v>-89552891244.271561</v>
      </c>
      <c r="F364" s="29">
        <f t="shared" si="79"/>
        <v>121644294296.30318</v>
      </c>
      <c r="G364" s="17">
        <f t="shared" si="80"/>
        <v>9.1568126737887852</v>
      </c>
      <c r="H364" s="16">
        <f t="shared" si="81"/>
        <v>1.4455380603146631E-11</v>
      </c>
      <c r="I364" s="16">
        <f t="shared" si="82"/>
        <v>69178392977.236526</v>
      </c>
      <c r="J364" s="16">
        <f t="shared" si="83"/>
        <v>-66709528400.507385</v>
      </c>
      <c r="K364" s="18">
        <f t="shared" si="84"/>
        <v>18316355409.711468</v>
      </c>
      <c r="L364" s="17">
        <f t="shared" si="85"/>
        <v>8.425417842111468</v>
      </c>
      <c r="M364" s="16">
        <f t="shared" si="86"/>
        <v>1.6025521933595926E-11</v>
      </c>
      <c r="N364" s="16">
        <f t="shared" si="87"/>
        <v>93600695578.931381</v>
      </c>
      <c r="O364" s="16">
        <f t="shared" si="89"/>
        <v>-90260238656.954712</v>
      </c>
      <c r="P364" s="18">
        <f t="shared" si="88"/>
        <v>24782645751.601299</v>
      </c>
    </row>
    <row r="365" spans="1:16" x14ac:dyDescent="0.4">
      <c r="A365" s="14">
        <v>0.35199999999999998</v>
      </c>
      <c r="B365" s="44">
        <f t="shared" si="90"/>
        <v>2.211681228127214</v>
      </c>
      <c r="C365" s="40">
        <f t="shared" si="76"/>
        <v>6.6196221859310501E-12</v>
      </c>
      <c r="D365" s="15">
        <f t="shared" si="77"/>
        <v>151066023394.10553</v>
      </c>
      <c r="E365" s="15">
        <f t="shared" si="78"/>
        <v>-90323128158.019363</v>
      </c>
      <c r="F365" s="29">
        <f t="shared" si="79"/>
        <v>121089536888.44652</v>
      </c>
      <c r="G365" s="17">
        <f t="shared" si="80"/>
        <v>9.182900459184193</v>
      </c>
      <c r="H365" s="16">
        <f t="shared" si="81"/>
        <v>1.4430989453441716E-11</v>
      </c>
      <c r="I365" s="16">
        <f t="shared" si="82"/>
        <v>69295317776.114456</v>
      </c>
      <c r="J365" s="16">
        <f t="shared" si="83"/>
        <v>-67278129417.255432</v>
      </c>
      <c r="K365" s="18">
        <f t="shared" si="84"/>
        <v>16598023009.012653</v>
      </c>
      <c r="L365" s="17">
        <f t="shared" si="85"/>
        <v>8.449421881547682</v>
      </c>
      <c r="M365" s="16">
        <f t="shared" si="86"/>
        <v>1.5951245067836968E-11</v>
      </c>
      <c r="N365" s="16">
        <f t="shared" si="87"/>
        <v>94036546590.616959</v>
      </c>
      <c r="O365" s="16">
        <f t="shared" si="89"/>
        <v>-91299140468.853256</v>
      </c>
      <c r="P365" s="18">
        <f t="shared" si="88"/>
        <v>22524187983.984585</v>
      </c>
    </row>
    <row r="366" spans="1:16" x14ac:dyDescent="0.4">
      <c r="A366" s="14">
        <v>0.35299999999999998</v>
      </c>
      <c r="B366" s="44">
        <f t="shared" si="90"/>
        <v>2.2179644134343937</v>
      </c>
      <c r="C366" s="40">
        <f t="shared" si="76"/>
        <v>6.6190607493395588E-12</v>
      </c>
      <c r="D366" s="15">
        <f t="shared" si="77"/>
        <v>151078836993.56873</v>
      </c>
      <c r="E366" s="15">
        <f t="shared" si="78"/>
        <v>-91089893947.443222</v>
      </c>
      <c r="F366" s="29">
        <f t="shared" si="79"/>
        <v>120529856085.42332</v>
      </c>
      <c r="G366" s="17">
        <f t="shared" si="80"/>
        <v>9.2089882445796025</v>
      </c>
      <c r="H366" s="16">
        <f t="shared" si="81"/>
        <v>1.4409048127811195E-11</v>
      </c>
      <c r="I366" s="16">
        <f t="shared" si="82"/>
        <v>69400836969.229065</v>
      </c>
      <c r="J366" s="16">
        <f t="shared" si="83"/>
        <v>-67791265390.69455</v>
      </c>
      <c r="K366" s="18">
        <f t="shared" si="84"/>
        <v>14860030577.287901</v>
      </c>
      <c r="L366" s="17">
        <f t="shared" si="85"/>
        <v>8.4734259209838978</v>
      </c>
      <c r="M366" s="16">
        <f t="shared" si="86"/>
        <v>1.5878166397495199E-11</v>
      </c>
      <c r="N366" s="16">
        <f t="shared" si="87"/>
        <v>94469346299.118454</v>
      </c>
      <c r="O366" s="16">
        <f t="shared" si="89"/>
        <v>-92278375966.682632</v>
      </c>
      <c r="P366" s="18">
        <f t="shared" si="88"/>
        <v>20227672113.575867</v>
      </c>
    </row>
    <row r="367" spans="1:16" x14ac:dyDescent="0.4">
      <c r="A367" s="14">
        <v>0.35399999999999998</v>
      </c>
      <c r="B367" s="44">
        <f t="shared" si="90"/>
        <v>2.2242475987415733</v>
      </c>
      <c r="C367" s="40">
        <f t="shared" si="76"/>
        <v>6.6185019724175325E-12</v>
      </c>
      <c r="D367" s="15">
        <f t="shared" si="77"/>
        <v>151091592050.20697</v>
      </c>
      <c r="E367" s="15">
        <f t="shared" si="78"/>
        <v>-91853156534.234161</v>
      </c>
      <c r="F367" s="29">
        <f t="shared" si="79"/>
        <v>119965273404.27997</v>
      </c>
      <c r="G367" s="17">
        <f t="shared" si="80"/>
        <v>9.2350760299750121</v>
      </c>
      <c r="H367" s="16">
        <f t="shared" si="81"/>
        <v>1.4389571558072056E-11</v>
      </c>
      <c r="I367" s="16">
        <f t="shared" si="82"/>
        <v>69494772374.861588</v>
      </c>
      <c r="J367" s="16">
        <f t="shared" si="83"/>
        <v>-68248069829.648994</v>
      </c>
      <c r="K367" s="18">
        <f t="shared" si="84"/>
        <v>13104363851.831202</v>
      </c>
      <c r="L367" s="17">
        <f t="shared" si="85"/>
        <v>8.4974299604201118</v>
      </c>
      <c r="M367" s="16">
        <f t="shared" si="86"/>
        <v>1.5806328028033572E-11</v>
      </c>
      <c r="N367" s="16">
        <f t="shared" si="87"/>
        <v>94898701161.942886</v>
      </c>
      <c r="O367" s="16">
        <f t="shared" si="89"/>
        <v>-93196264442.850037</v>
      </c>
      <c r="P367" s="18">
        <f t="shared" si="88"/>
        <v>17894685694.979557</v>
      </c>
    </row>
    <row r="368" spans="1:16" x14ac:dyDescent="0.4">
      <c r="A368" s="14">
        <v>0.35499999999999998</v>
      </c>
      <c r="B368" s="44">
        <f t="shared" si="90"/>
        <v>2.2305307840487529</v>
      </c>
      <c r="C368" s="40">
        <f t="shared" si="76"/>
        <v>6.6179458772245275E-12</v>
      </c>
      <c r="D368" s="15">
        <f t="shared" si="77"/>
        <v>151104288030.13809</v>
      </c>
      <c r="E368" s="15">
        <f t="shared" si="78"/>
        <v>-92612883970.882629</v>
      </c>
      <c r="F368" s="29">
        <f t="shared" si="79"/>
        <v>119395810578.47366</v>
      </c>
      <c r="G368" s="17">
        <f t="shared" si="80"/>
        <v>9.2611638153704217</v>
      </c>
      <c r="H368" s="16">
        <f t="shared" si="81"/>
        <v>1.4372572998691226E-11</v>
      </c>
      <c r="I368" s="16">
        <f t="shared" si="82"/>
        <v>69576964409.299606</v>
      </c>
      <c r="J368" s="16">
        <f t="shared" si="83"/>
        <v>-68647766684.367004</v>
      </c>
      <c r="K368" s="18">
        <f t="shared" si="84"/>
        <v>11333053677.701172</v>
      </c>
      <c r="L368" s="17">
        <f t="shared" si="85"/>
        <v>8.5214339998563275</v>
      </c>
      <c r="M368" s="16">
        <f t="shared" si="86"/>
        <v>1.5735771350295529E-11</v>
      </c>
      <c r="N368" s="16">
        <f t="shared" si="87"/>
        <v>95324211734.420563</v>
      </c>
      <c r="O368" s="16">
        <f t="shared" si="89"/>
        <v>-94051160496.462585</v>
      </c>
      <c r="P368" s="18">
        <f t="shared" si="88"/>
        <v>15526897695.846388</v>
      </c>
    </row>
    <row r="369" spans="1:16" x14ac:dyDescent="0.4">
      <c r="A369" s="14">
        <v>0.35599999999999998</v>
      </c>
      <c r="B369" s="44">
        <f t="shared" si="90"/>
        <v>2.2368139693559326</v>
      </c>
      <c r="C369" s="40">
        <f t="shared" si="76"/>
        <v>6.6173924857142291E-12</v>
      </c>
      <c r="D369" s="15">
        <f t="shared" si="77"/>
        <v>151116924401.69171</v>
      </c>
      <c r="E369" s="15">
        <f t="shared" si="78"/>
        <v>-93369044442.23053</v>
      </c>
      <c r="F369" s="29">
        <f t="shared" si="79"/>
        <v>118821489557.11417</v>
      </c>
      <c r="G369" s="17">
        <f t="shared" si="80"/>
        <v>9.287251600765833</v>
      </c>
      <c r="H369" s="16">
        <f t="shared" si="81"/>
        <v>1.4358064017765456E-11</v>
      </c>
      <c r="I369" s="16">
        <f t="shared" si="82"/>
        <v>69647272693.775742</v>
      </c>
      <c r="J369" s="16">
        <f t="shared" si="83"/>
        <v>-68989673298.041611</v>
      </c>
      <c r="K369" s="18">
        <f t="shared" si="84"/>
        <v>9548171129.1035023</v>
      </c>
      <c r="L369" s="17">
        <f t="shared" si="85"/>
        <v>8.5454380392925433</v>
      </c>
      <c r="M369" s="16">
        <f t="shared" si="86"/>
        <v>1.5666537016657017E-11</v>
      </c>
      <c r="N369" s="16">
        <f t="shared" si="87"/>
        <v>95745473195.841934</v>
      </c>
      <c r="O369" s="16">
        <f t="shared" si="89"/>
        <v>-94841458395.510895</v>
      </c>
      <c r="P369" s="18">
        <f t="shared" si="88"/>
        <v>13126058315.742079</v>
      </c>
    </row>
    <row r="370" spans="1:16" x14ac:dyDescent="0.4">
      <c r="A370" s="14">
        <v>0.35699999999999998</v>
      </c>
      <c r="B370" s="44">
        <f t="shared" si="90"/>
        <v>2.2430971546631122</v>
      </c>
      <c r="C370" s="40">
        <f t="shared" si="76"/>
        <v>6.6168418197335872E-12</v>
      </c>
      <c r="D370" s="15">
        <f t="shared" si="77"/>
        <v>151129500635.435</v>
      </c>
      <c r="E370" s="15">
        <f t="shared" si="78"/>
        <v>-94121606267.019333</v>
      </c>
      <c r="F370" s="29">
        <f t="shared" si="79"/>
        <v>118242332504.19299</v>
      </c>
      <c r="G370" s="17">
        <f t="shared" si="80"/>
        <v>9.3133393861612426</v>
      </c>
      <c r="H370" s="16">
        <f t="shared" si="81"/>
        <v>1.4346054489148841E-11</v>
      </c>
      <c r="I370" s="16">
        <f t="shared" si="82"/>
        <v>69705576592.950089</v>
      </c>
      <c r="J370" s="16">
        <f t="shared" si="83"/>
        <v>-69273203025.430954</v>
      </c>
      <c r="K370" s="18">
        <f t="shared" si="84"/>
        <v>7751822414.9586744</v>
      </c>
      <c r="L370" s="17">
        <f t="shared" si="85"/>
        <v>8.5694420787287591</v>
      </c>
      <c r="M370" s="16">
        <f t="shared" si="86"/>
        <v>1.5598664917603943E-11</v>
      </c>
      <c r="N370" s="16">
        <f t="shared" si="87"/>
        <v>96162075916.328476</v>
      </c>
      <c r="O370" s="16">
        <f t="shared" si="89"/>
        <v>-95565596526.066971</v>
      </c>
      <c r="P370" s="18">
        <f t="shared" si="88"/>
        <v>10693998557.821909</v>
      </c>
    </row>
    <row r="371" spans="1:16" x14ac:dyDescent="0.4">
      <c r="A371" s="14">
        <v>0.35799999999999998</v>
      </c>
      <c r="B371" s="44">
        <f t="shared" si="90"/>
        <v>2.2493803399702919</v>
      </c>
      <c r="C371" s="40">
        <f t="shared" si="76"/>
        <v>6.6162939010219527E-12</v>
      </c>
      <c r="D371" s="15">
        <f t="shared" si="77"/>
        <v>151142016204.19855</v>
      </c>
      <c r="E371" s="15">
        <f t="shared" si="78"/>
        <v>-94870537899.434479</v>
      </c>
      <c r="F371" s="29">
        <f t="shared" si="79"/>
        <v>117658361797.80075</v>
      </c>
      <c r="G371" s="17">
        <f t="shared" si="80"/>
        <v>9.3394271715566521</v>
      </c>
      <c r="H371" s="16">
        <f t="shared" si="81"/>
        <v>1.4336552585733318E-11</v>
      </c>
      <c r="I371" s="16">
        <f t="shared" si="82"/>
        <v>69751775681.07457</v>
      </c>
      <c r="J371" s="16">
        <f t="shared" si="83"/>
        <v>-69497867499.798248</v>
      </c>
      <c r="K371" s="18">
        <f t="shared" si="84"/>
        <v>5946143594.2492704</v>
      </c>
      <c r="L371" s="17">
        <f t="shared" si="85"/>
        <v>8.5934461181649731</v>
      </c>
      <c r="M371" s="16">
        <f t="shared" si="86"/>
        <v>1.5532194158748642E-11</v>
      </c>
      <c r="N371" s="16">
        <f t="shared" si="87"/>
        <v>96573606064.221909</v>
      </c>
      <c r="O371" s="16">
        <f t="shared" si="89"/>
        <v>-96222061914.47612</v>
      </c>
      <c r="P371" s="18">
        <f t="shared" si="88"/>
        <v>8232629541.9047184</v>
      </c>
    </row>
    <row r="372" spans="1:16" x14ac:dyDescent="0.4">
      <c r="A372" s="14">
        <v>0.35899999999999999</v>
      </c>
      <c r="B372" s="44">
        <f t="shared" si="90"/>
        <v>2.2556635252774715</v>
      </c>
      <c r="C372" s="40">
        <f t="shared" si="76"/>
        <v>6.6157487512102166E-12</v>
      </c>
      <c r="D372" s="15">
        <f t="shared" si="77"/>
        <v>151154470583.10223</v>
      </c>
      <c r="E372" s="15">
        <f t="shared" si="78"/>
        <v>-95615807930.645584</v>
      </c>
      <c r="F372" s="29">
        <f t="shared" si="79"/>
        <v>117069600029.33217</v>
      </c>
      <c r="G372" s="17">
        <f t="shared" si="80"/>
        <v>9.3655149569520617</v>
      </c>
      <c r="H372" s="16">
        <f t="shared" si="81"/>
        <v>1.4329564773886748E-11</v>
      </c>
      <c r="I372" s="16">
        <f t="shared" si="82"/>
        <v>69785790132.463333</v>
      </c>
      <c r="J372" s="16">
        <f t="shared" si="83"/>
        <v>-69663278531.755402</v>
      </c>
      <c r="K372" s="18">
        <f t="shared" si="84"/>
        <v>4133295128.5001974</v>
      </c>
      <c r="L372" s="17">
        <f t="shared" si="85"/>
        <v>8.6174501576011888</v>
      </c>
      <c r="M372" s="16">
        <f t="shared" si="86"/>
        <v>1.5467163038298514E-11</v>
      </c>
      <c r="N372" s="16">
        <f t="shared" si="87"/>
        <v>96979646253.538788</v>
      </c>
      <c r="O372" s="16">
        <f t="shared" si="89"/>
        <v>-96809394807.276474</v>
      </c>
      <c r="P372" s="18">
        <f t="shared" si="88"/>
        <v>5743941548.3089418</v>
      </c>
    </row>
    <row r="373" spans="1:16" x14ac:dyDescent="0.4">
      <c r="A373" s="14">
        <v>0.36</v>
      </c>
      <c r="B373" s="44">
        <f t="shared" si="90"/>
        <v>2.2619467105846511</v>
      </c>
      <c r="C373" s="40">
        <f t="shared" si="76"/>
        <v>6.6152063918199608E-12</v>
      </c>
      <c r="D373" s="15">
        <f t="shared" si="77"/>
        <v>151166863249.58066</v>
      </c>
      <c r="E373" s="15">
        <f t="shared" si="78"/>
        <v>-96357385090.342285</v>
      </c>
      <c r="F373" s="29">
        <f t="shared" si="79"/>
        <v>116476070002.67868</v>
      </c>
      <c r="G373" s="17">
        <f t="shared" si="80"/>
        <v>9.3916027423474713</v>
      </c>
      <c r="H373" s="16">
        <f t="shared" si="81"/>
        <v>1.4325095809052321E-11</v>
      </c>
      <c r="I373" s="16">
        <f t="shared" si="82"/>
        <v>69807561033.419373</v>
      </c>
      <c r="J373" s="16">
        <f t="shared" si="83"/>
        <v>-69769149626.150406</v>
      </c>
      <c r="K373" s="18">
        <f t="shared" si="84"/>
        <v>2315456300.2584782</v>
      </c>
      <c r="L373" s="17">
        <f t="shared" si="85"/>
        <v>8.6414541970374028</v>
      </c>
      <c r="M373" s="16">
        <f t="shared" si="86"/>
        <v>1.5403609024989927E-11</v>
      </c>
      <c r="N373" s="16">
        <f t="shared" si="87"/>
        <v>97379776230.783737</v>
      </c>
      <c r="O373" s="16">
        <f t="shared" si="89"/>
        <v>-97326193292.357193</v>
      </c>
      <c r="P373" s="18">
        <f t="shared" si="88"/>
        <v>3230002782.6983433</v>
      </c>
    </row>
    <row r="374" spans="1:16" x14ac:dyDescent="0.4">
      <c r="A374" s="14">
        <v>0.36099999999999999</v>
      </c>
      <c r="B374" s="44">
        <f t="shared" si="90"/>
        <v>2.2682298958918308</v>
      </c>
      <c r="C374" s="40">
        <f t="shared" si="76"/>
        <v>6.6146668442626061E-12</v>
      </c>
      <c r="D374" s="15">
        <f t="shared" si="77"/>
        <v>151179193683.40894</v>
      </c>
      <c r="E374" s="15">
        <f t="shared" si="78"/>
        <v>-97095238248.266129</v>
      </c>
      <c r="F374" s="29">
        <f t="shared" si="79"/>
        <v>115877794733.40918</v>
      </c>
      <c r="G374" s="17">
        <f t="shared" si="80"/>
        <v>9.4176905277428808</v>
      </c>
      <c r="H374" s="16">
        <f t="shared" si="81"/>
        <v>1.4323148732512331E-11</v>
      </c>
      <c r="I374" s="16">
        <f t="shared" si="82"/>
        <v>69817050613.325333</v>
      </c>
      <c r="J374" s="16">
        <f t="shared" si="83"/>
        <v>-69815297105.85379</v>
      </c>
      <c r="K374" s="18">
        <f t="shared" si="84"/>
        <v>494819527.70043343</v>
      </c>
      <c r="L374" s="17">
        <f t="shared" si="85"/>
        <v>8.6654582364736186</v>
      </c>
      <c r="M374" s="16">
        <f t="shared" si="86"/>
        <v>1.5341568736499961E-11</v>
      </c>
      <c r="N374" s="16">
        <f t="shared" si="87"/>
        <v>97773573600.153961</v>
      </c>
      <c r="O374" s="16">
        <f t="shared" si="89"/>
        <v>-97771117943.687225</v>
      </c>
      <c r="P374" s="18">
        <f t="shared" si="88"/>
        <v>692957853.20925391</v>
      </c>
    </row>
    <row r="375" spans="1:16" x14ac:dyDescent="0.4">
      <c r="A375" s="14">
        <v>0.36199999999999999</v>
      </c>
      <c r="B375" s="44">
        <f t="shared" si="90"/>
        <v>2.27451308119901</v>
      </c>
      <c r="C375" s="40">
        <f t="shared" si="76"/>
        <v>6.6141301298385646E-12</v>
      </c>
      <c r="D375" s="15">
        <f t="shared" si="77"/>
        <v>151191461366.72815</v>
      </c>
      <c r="E375" s="15">
        <f t="shared" si="78"/>
        <v>-97829336415.737732</v>
      </c>
      <c r="F375" s="29">
        <f t="shared" si="79"/>
        <v>115274797447.93855</v>
      </c>
      <c r="G375" s="17">
        <f t="shared" si="80"/>
        <v>9.4437783131382904</v>
      </c>
      <c r="H375" s="16">
        <f t="shared" si="81"/>
        <v>1.4323724869318463E-11</v>
      </c>
      <c r="I375" s="16">
        <f t="shared" si="82"/>
        <v>69814242393.192596</v>
      </c>
      <c r="J375" s="16">
        <f t="shared" si="83"/>
        <v>-69801640834.147095</v>
      </c>
      <c r="K375" s="18">
        <f t="shared" si="84"/>
        <v>-1326415393.5246706</v>
      </c>
      <c r="L375" s="17">
        <f t="shared" si="85"/>
        <v>8.6894622759098326</v>
      </c>
      <c r="M375" s="16">
        <f t="shared" si="86"/>
        <v>1.5281077918348565E-11</v>
      </c>
      <c r="N375" s="16">
        <f t="shared" si="87"/>
        <v>98160614585.892105</v>
      </c>
      <c r="O375" s="16">
        <f t="shared" si="89"/>
        <v>-98142896470.816376</v>
      </c>
      <c r="P375" s="18">
        <f t="shared" si="88"/>
        <v>-1864974047.720458</v>
      </c>
    </row>
    <row r="376" spans="1:16" x14ac:dyDescent="0.4">
      <c r="A376" s="14">
        <v>0.36299999999999999</v>
      </c>
      <c r="B376" s="44">
        <f t="shared" si="90"/>
        <v>2.2807962665061896</v>
      </c>
      <c r="C376" s="40">
        <f t="shared" si="76"/>
        <v>6.6135962697364037E-12</v>
      </c>
      <c r="D376" s="15">
        <f t="shared" si="77"/>
        <v>151203665784.07071</v>
      </c>
      <c r="E376" s="15">
        <f t="shared" si="78"/>
        <v>-98559648747.179794</v>
      </c>
      <c r="F376" s="29">
        <f t="shared" si="79"/>
        <v>114667101582.68367</v>
      </c>
      <c r="G376" s="17">
        <f t="shared" si="80"/>
        <v>9.4698660985337</v>
      </c>
      <c r="H376" s="16">
        <f t="shared" si="81"/>
        <v>1.4326823827390059E-11</v>
      </c>
      <c r="I376" s="16">
        <f t="shared" si="82"/>
        <v>69799141250.567856</v>
      </c>
      <c r="J376" s="16">
        <f t="shared" si="83"/>
        <v>-69728204530.361389</v>
      </c>
      <c r="K376" s="18">
        <f t="shared" si="84"/>
        <v>-3146047089.4142542</v>
      </c>
      <c r="L376" s="17">
        <f t="shared" si="85"/>
        <v>8.7134663153460483</v>
      </c>
      <c r="M376" s="16">
        <f t="shared" si="86"/>
        <v>1.5222171423303174E-11</v>
      </c>
      <c r="N376" s="16">
        <f t="shared" si="87"/>
        <v>98540474830.265945</v>
      </c>
      <c r="O376" s="16">
        <f t="shared" si="89"/>
        <v>-98440328353.292068</v>
      </c>
      <c r="P376" s="18">
        <f t="shared" si="88"/>
        <v>-4441501263.1224117</v>
      </c>
    </row>
    <row r="377" spans="1:16" x14ac:dyDescent="0.4">
      <c r="A377" s="14">
        <v>0.36399999999999999</v>
      </c>
      <c r="B377" s="44">
        <f t="shared" si="90"/>
        <v>2.2870794518133692</v>
      </c>
      <c r="C377" s="40">
        <f t="shared" si="76"/>
        <v>6.613065285032006E-12</v>
      </c>
      <c r="D377" s="15">
        <f t="shared" si="77"/>
        <v>151215806422.38589</v>
      </c>
      <c r="E377" s="15">
        <f t="shared" si="78"/>
        <v>-99286144541.634979</v>
      </c>
      <c r="F377" s="29">
        <f t="shared" si="79"/>
        <v>114054730783.20798</v>
      </c>
      <c r="G377" s="17">
        <f t="shared" si="80"/>
        <v>9.4959538839291096</v>
      </c>
      <c r="H377" s="16">
        <f t="shared" si="81"/>
        <v>1.4332443497780947E-11</v>
      </c>
      <c r="I377" s="16">
        <f t="shared" si="82"/>
        <v>69771773400.315674</v>
      </c>
      <c r="J377" s="16">
        <f t="shared" si="83"/>
        <v>-69595115676.42334</v>
      </c>
      <c r="K377" s="18">
        <f t="shared" si="84"/>
        <v>-4961878415.5048342</v>
      </c>
      <c r="L377" s="17">
        <f t="shared" si="85"/>
        <v>8.7374703547822623</v>
      </c>
      <c r="M377" s="16">
        <f t="shared" si="86"/>
        <v>1.5164883191297744E-11</v>
      </c>
      <c r="N377" s="16">
        <f t="shared" si="87"/>
        <v>98912730225.364609</v>
      </c>
      <c r="O377" s="16">
        <f t="shared" si="89"/>
        <v>-98662289439.15535</v>
      </c>
      <c r="P377" s="18">
        <f t="shared" si="88"/>
        <v>-7034262097.7678728</v>
      </c>
    </row>
    <row r="378" spans="1:16" x14ac:dyDescent="0.4">
      <c r="A378" s="14">
        <v>0.36499999999999999</v>
      </c>
      <c r="B378" s="44">
        <f t="shared" si="90"/>
        <v>2.2933626371205489</v>
      </c>
      <c r="C378" s="40">
        <f t="shared" si="76"/>
        <v>6.6125371966877382E-12</v>
      </c>
      <c r="D378" s="15">
        <f t="shared" si="77"/>
        <v>151227882771.065</v>
      </c>
      <c r="E378" s="15">
        <f t="shared" si="78"/>
        <v>-100008793244.27953</v>
      </c>
      <c r="F378" s="29">
        <f t="shared" si="79"/>
        <v>113437708903.35333</v>
      </c>
      <c r="G378" s="17">
        <f t="shared" si="80"/>
        <v>9.5220416693245191</v>
      </c>
      <c r="H378" s="16">
        <f t="shared" si="81"/>
        <v>1.434058005611464E-11</v>
      </c>
      <c r="I378" s="16">
        <f t="shared" si="82"/>
        <v>69732186291.419418</v>
      </c>
      <c r="J378" s="16">
        <f t="shared" si="83"/>
        <v>-69402605015.002182</v>
      </c>
      <c r="K378" s="18">
        <f t="shared" si="84"/>
        <v>-6771722241.2630138</v>
      </c>
      <c r="L378" s="17">
        <f t="shared" si="85"/>
        <v>8.7614743942184781</v>
      </c>
      <c r="M378" s="16">
        <f t="shared" si="86"/>
        <v>1.5109246229877678E-11</v>
      </c>
      <c r="N378" s="16">
        <f t="shared" si="87"/>
        <v>99276957776.611984</v>
      </c>
      <c r="O378" s="16">
        <f t="shared" si="89"/>
        <v>-98807736485.799515</v>
      </c>
      <c r="P378" s="18">
        <f t="shared" si="88"/>
        <v>-9640827554.3131275</v>
      </c>
    </row>
    <row r="379" spans="1:16" x14ac:dyDescent="0.4">
      <c r="A379" s="14">
        <v>0.36599999999999999</v>
      </c>
      <c r="B379" s="44">
        <f t="shared" si="90"/>
        <v>2.2996458224277285</v>
      </c>
      <c r="C379" s="40">
        <f t="shared" si="76"/>
        <v>6.6120120255516246E-12</v>
      </c>
      <c r="D379" s="15">
        <f t="shared" si="77"/>
        <v>151239894321.96658</v>
      </c>
      <c r="E379" s="15">
        <f t="shared" si="78"/>
        <v>-100727564447.93182</v>
      </c>
      <c r="F379" s="29">
        <f t="shared" si="79"/>
        <v>112816060004.36003</v>
      </c>
      <c r="G379" s="17">
        <f t="shared" si="80"/>
        <v>9.5481294547199287</v>
      </c>
      <c r="H379" s="16">
        <f t="shared" si="81"/>
        <v>1.4351227965186959E-11</v>
      </c>
      <c r="I379" s="16">
        <f t="shared" si="82"/>
        <v>69680448420.566406</v>
      </c>
      <c r="J379" s="16">
        <f t="shared" si="83"/>
        <v>-69151005642.980881</v>
      </c>
      <c r="K379" s="18">
        <f t="shared" si="84"/>
        <v>-8573407178.9249811</v>
      </c>
      <c r="L379" s="17">
        <f t="shared" si="85"/>
        <v>8.7854784336546921</v>
      </c>
      <c r="M379" s="16">
        <f t="shared" si="86"/>
        <v>1.5055292595182026E-11</v>
      </c>
      <c r="N379" s="16">
        <f t="shared" si="87"/>
        <v>99632736495.604736</v>
      </c>
      <c r="O379" s="16">
        <f t="shared" si="89"/>
        <v>-98875711620.702942</v>
      </c>
      <c r="P379" s="18">
        <f t="shared" si="88"/>
        <v>-12258704381.05908</v>
      </c>
    </row>
    <row r="380" spans="1:16" x14ac:dyDescent="0.4">
      <c r="A380" s="14">
        <v>0.36699999999999999</v>
      </c>
      <c r="B380" s="44">
        <f t="shared" si="90"/>
        <v>2.3059290077349082</v>
      </c>
      <c r="C380" s="40">
        <f t="shared" si="76"/>
        <v>6.6114897923565216E-12</v>
      </c>
      <c r="D380" s="15">
        <f t="shared" si="77"/>
        <v>151251840569.44174</v>
      </c>
      <c r="E380" s="15">
        <f t="shared" si="78"/>
        <v>-101442427894.55609</v>
      </c>
      <c r="F380" s="29">
        <f t="shared" si="79"/>
        <v>112189808353.97487</v>
      </c>
      <c r="G380" s="17">
        <f t="shared" si="80"/>
        <v>9.5742172401153383</v>
      </c>
      <c r="H380" s="16">
        <f t="shared" si="81"/>
        <v>1.4364379978734291E-11</v>
      </c>
      <c r="I380" s="16">
        <f t="shared" si="82"/>
        <v>69616649063.896072</v>
      </c>
      <c r="J380" s="16">
        <f t="shared" si="83"/>
        <v>-68840751706.957474</v>
      </c>
      <c r="K380" s="18">
        <f t="shared" si="84"/>
        <v>-10364783225.262983</v>
      </c>
      <c r="L380" s="17">
        <f t="shared" si="85"/>
        <v>8.8094824730909078</v>
      </c>
      <c r="M380" s="16">
        <f t="shared" si="86"/>
        <v>1.5003053373473789E-11</v>
      </c>
      <c r="N380" s="16">
        <f t="shared" si="87"/>
        <v>99979648319.593475</v>
      </c>
      <c r="O380" s="16">
        <f t="shared" si="89"/>
        <v>-98865346698.904678</v>
      </c>
      <c r="P380" s="18">
        <f t="shared" si="88"/>
        <v>-14885338431.321224</v>
      </c>
    </row>
    <row r="381" spans="1:16" x14ac:dyDescent="0.4">
      <c r="A381" s="14">
        <v>0.36799999999999999</v>
      </c>
      <c r="B381" s="44">
        <f t="shared" si="90"/>
        <v>2.3122121930420878</v>
      </c>
      <c r="C381" s="40">
        <f t="shared" si="76"/>
        <v>6.6109705177193024E-12</v>
      </c>
      <c r="D381" s="15">
        <f t="shared" si="77"/>
        <v>151263721010.35883</v>
      </c>
      <c r="E381" s="15">
        <f t="shared" si="78"/>
        <v>-102153353476.76083</v>
      </c>
      <c r="F381" s="29">
        <f t="shared" si="79"/>
        <v>111558978425.54684</v>
      </c>
      <c r="G381" s="17">
        <f t="shared" si="80"/>
        <v>9.6003050255107496</v>
      </c>
      <c r="H381" s="16">
        <f t="shared" si="81"/>
        <v>1.4380027146364914E-11</v>
      </c>
      <c r="I381" s="16">
        <f t="shared" si="82"/>
        <v>69540897928.887924</v>
      </c>
      <c r="J381" s="16">
        <f t="shared" si="83"/>
        <v>-68472376710.388832</v>
      </c>
      <c r="K381" s="18">
        <f t="shared" si="84"/>
        <v>-12143727285.582884</v>
      </c>
      <c r="L381" s="17">
        <f t="shared" si="85"/>
        <v>8.8334865125271236</v>
      </c>
      <c r="M381" s="16">
        <f t="shared" si="86"/>
        <v>1.4952558663229093E-11</v>
      </c>
      <c r="N381" s="16">
        <f t="shared" si="87"/>
        <v>100317279054.63815</v>
      </c>
      <c r="O381" s="16">
        <f t="shared" si="89"/>
        <v>-98775867533.584915</v>
      </c>
      <c r="P381" s="18">
        <f t="shared" si="88"/>
        <v>-17518118332.56728</v>
      </c>
    </row>
    <row r="382" spans="1:16" x14ac:dyDescent="0.4">
      <c r="A382" s="14">
        <v>0.36899999999999999</v>
      </c>
      <c r="B382" s="44">
        <f t="shared" si="90"/>
        <v>2.3184953783492674</v>
      </c>
      <c r="C382" s="40">
        <f t="shared" si="76"/>
        <v>6.6104542221400392E-12</v>
      </c>
      <c r="D382" s="15">
        <f t="shared" si="77"/>
        <v>151275535144.12878</v>
      </c>
      <c r="E382" s="15">
        <f t="shared" si="78"/>
        <v>-102860311239.29243</v>
      </c>
      <c r="F382" s="29">
        <f t="shared" si="79"/>
        <v>110923594897.11119</v>
      </c>
      <c r="G382" s="17">
        <f t="shared" si="80"/>
        <v>9.6263928109061592</v>
      </c>
      <c r="H382" s="16">
        <f t="shared" si="81"/>
        <v>1.4398158819650038E-11</v>
      </c>
      <c r="I382" s="16">
        <f t="shared" si="82"/>
        <v>69453324728.939621</v>
      </c>
      <c r="J382" s="16">
        <f t="shared" si="83"/>
        <v>-68046511444.779289</v>
      </c>
      <c r="K382" s="18">
        <f t="shared" si="84"/>
        <v>-13908148550.366331</v>
      </c>
      <c r="L382" s="17">
        <f t="shared" si="85"/>
        <v>8.8574905519633393</v>
      </c>
      <c r="M382" s="16">
        <f t="shared" si="86"/>
        <v>1.4903837557795433E-11</v>
      </c>
      <c r="N382" s="16">
        <f t="shared" si="87"/>
        <v>100645219339.19141</v>
      </c>
      <c r="O382" s="16">
        <f t="shared" si="89"/>
        <v>-98606597975.762161</v>
      </c>
      <c r="P382" s="18">
        <f t="shared" si="88"/>
        <v>-20154379461.55537</v>
      </c>
    </row>
    <row r="383" spans="1:16" x14ac:dyDescent="0.4">
      <c r="A383" s="14">
        <v>0.37</v>
      </c>
      <c r="B383" s="44">
        <f t="shared" si="90"/>
        <v>2.3247785636564471</v>
      </c>
      <c r="C383" s="40">
        <f t="shared" si="76"/>
        <v>6.6099409260011981E-12</v>
      </c>
      <c r="D383" s="15">
        <f t="shared" si="77"/>
        <v>151287282472.72974</v>
      </c>
      <c r="E383" s="15">
        <f t="shared" si="78"/>
        <v>-103563271380.52318</v>
      </c>
      <c r="F383" s="29">
        <f t="shared" si="79"/>
        <v>110283682650.46115</v>
      </c>
      <c r="G383" s="17">
        <f t="shared" si="80"/>
        <v>9.6524805963015687</v>
      </c>
      <c r="H383" s="16">
        <f t="shared" si="81"/>
        <v>1.4418762659370436E-11</v>
      </c>
      <c r="I383" s="16">
        <f t="shared" si="82"/>
        <v>69354078683.72963</v>
      </c>
      <c r="J383" s="16">
        <f t="shared" si="83"/>
        <v>-67563881559.963043</v>
      </c>
      <c r="K383" s="18">
        <f t="shared" si="84"/>
        <v>-15655993696.353054</v>
      </c>
      <c r="L383" s="17">
        <f t="shared" si="85"/>
        <v>8.8814945913995533</v>
      </c>
      <c r="M383" s="16">
        <f t="shared" si="86"/>
        <v>1.4856918128629095E-11</v>
      </c>
      <c r="N383" s="16">
        <f t="shared" si="87"/>
        <v>100963065624.59402</v>
      </c>
      <c r="O383" s="16">
        <f t="shared" si="89"/>
        <v>-98356963818.930389</v>
      </c>
      <c r="P383" s="18">
        <f t="shared" si="88"/>
        <v>-22791408219.715107</v>
      </c>
    </row>
    <row r="384" spans="1:16" x14ac:dyDescent="0.4">
      <c r="A384" s="14">
        <v>0.371</v>
      </c>
      <c r="B384" s="44">
        <f t="shared" si="90"/>
        <v>2.3310617489636263</v>
      </c>
      <c r="C384" s="40">
        <f t="shared" si="76"/>
        <v>6.6094306495668332E-12</v>
      </c>
      <c r="D384" s="15">
        <f t="shared" si="77"/>
        <v>151298962500.73184</v>
      </c>
      <c r="E384" s="15">
        <f t="shared" si="78"/>
        <v>-104262204253.93391</v>
      </c>
      <c r="F384" s="29">
        <f t="shared" si="79"/>
        <v>109639266770.20796</v>
      </c>
      <c r="G384" s="17">
        <f t="shared" si="80"/>
        <v>9.6785683816969765</v>
      </c>
      <c r="H384" s="16">
        <f t="shared" si="81"/>
        <v>1.4441824643913688E-11</v>
      </c>
      <c r="I384" s="16">
        <f t="shared" si="82"/>
        <v>69243327948.967758</v>
      </c>
      <c r="J384" s="16">
        <f t="shared" si="83"/>
        <v>-67025304791.00116</v>
      </c>
      <c r="K384" s="18">
        <f t="shared" si="84"/>
        <v>-17385251885.48317</v>
      </c>
      <c r="L384" s="17">
        <f t="shared" si="85"/>
        <v>8.9054986308357673</v>
      </c>
      <c r="M384" s="16">
        <f t="shared" si="86"/>
        <v>1.4811827409121314E-11</v>
      </c>
      <c r="N384" s="16">
        <f t="shared" si="87"/>
        <v>101270421168.71283</v>
      </c>
      <c r="O384" s="16">
        <f t="shared" si="89"/>
        <v>-98026496504.450882</v>
      </c>
      <c r="P384" s="18">
        <f t="shared" si="88"/>
        <v>-25426446600.957829</v>
      </c>
    </row>
    <row r="385" spans="1:16" x14ac:dyDescent="0.4">
      <c r="A385" s="14">
        <v>0.372</v>
      </c>
      <c r="B385" s="44">
        <f t="shared" si="90"/>
        <v>2.3373449342708059</v>
      </c>
      <c r="C385" s="40">
        <f t="shared" si="76"/>
        <v>6.6089234129817822E-12</v>
      </c>
      <c r="D385" s="15">
        <f t="shared" si="77"/>
        <v>151310574735.32211</v>
      </c>
      <c r="E385" s="15">
        <f t="shared" si="78"/>
        <v>-104957080369.59164</v>
      </c>
      <c r="F385" s="29">
        <f t="shared" si="79"/>
        <v>108990372542.82866</v>
      </c>
      <c r="G385" s="17">
        <f t="shared" si="80"/>
        <v>9.7046561670923861</v>
      </c>
      <c r="H385" s="16">
        <f t="shared" si="81"/>
        <v>1.446732907881637E-11</v>
      </c>
      <c r="I385" s="16">
        <f t="shared" si="82"/>
        <v>69121258979.602478</v>
      </c>
      <c r="J385" s="16">
        <f t="shared" si="83"/>
        <v>-66431687861.482658</v>
      </c>
      <c r="K385" s="18">
        <f t="shared" si="84"/>
        <v>-19093959536.979607</v>
      </c>
      <c r="L385" s="17">
        <f t="shared" si="85"/>
        <v>8.9295026702719831</v>
      </c>
      <c r="M385" s="16">
        <f t="shared" si="86"/>
        <v>1.476859137902254E-11</v>
      </c>
      <c r="N385" s="16">
        <f t="shared" si="87"/>
        <v>101566897038.71254</v>
      </c>
      <c r="O385" s="16">
        <f t="shared" si="89"/>
        <v>-97614836603.688004</v>
      </c>
      <c r="P385" s="18">
        <f t="shared" si="88"/>
        <v>-28056697042.020576</v>
      </c>
    </row>
    <row r="386" spans="1:16" x14ac:dyDescent="0.4">
      <c r="A386" s="14">
        <v>0.373</v>
      </c>
      <c r="B386" s="44">
        <f t="shared" si="90"/>
        <v>2.3436281195779856</v>
      </c>
      <c r="C386" s="40">
        <f t="shared" si="76"/>
        <v>6.6084192362708777E-12</v>
      </c>
      <c r="D386" s="15">
        <f t="shared" si="77"/>
        <v>151322118686.3288</v>
      </c>
      <c r="E386" s="15">
        <f t="shared" si="78"/>
        <v>-105647870395.62071</v>
      </c>
      <c r="F386" s="29">
        <f t="shared" si="79"/>
        <v>108337025455.70238</v>
      </c>
      <c r="G386" s="17">
        <f t="shared" si="80"/>
        <v>9.7307439524877957</v>
      </c>
      <c r="H386" s="16">
        <f t="shared" si="81"/>
        <v>1.4495258607444669E-11</v>
      </c>
      <c r="I386" s="16">
        <f t="shared" si="82"/>
        <v>68988075830.975967</v>
      </c>
      <c r="J386" s="16">
        <f t="shared" si="83"/>
        <v>-65784023085.066864</v>
      </c>
      <c r="K386" s="18">
        <f t="shared" si="84"/>
        <v>-20780204849.901756</v>
      </c>
      <c r="L386" s="17">
        <f t="shared" si="85"/>
        <v>8.9535067097081971</v>
      </c>
      <c r="M386" s="16">
        <f t="shared" si="86"/>
        <v>1.4727234949473818E-11</v>
      </c>
      <c r="N386" s="16">
        <f t="shared" si="87"/>
        <v>101852113118.73535</v>
      </c>
      <c r="O386" s="16">
        <f t="shared" si="89"/>
        <v>-97121737053.250122</v>
      </c>
      <c r="P386" s="18">
        <f t="shared" si="88"/>
        <v>-30679327543.331261</v>
      </c>
    </row>
    <row r="387" spans="1:16" x14ac:dyDescent="0.4">
      <c r="A387" s="14">
        <v>0.374</v>
      </c>
      <c r="B387" s="44">
        <f t="shared" si="90"/>
        <v>2.3499113048851652</v>
      </c>
      <c r="C387" s="40">
        <f t="shared" si="76"/>
        <v>6.607918139338153E-12</v>
      </c>
      <c r="D387" s="15">
        <f t="shared" si="77"/>
        <v>151333593866.246</v>
      </c>
      <c r="E387" s="15">
        <f t="shared" si="78"/>
        <v>-106334545159.66905</v>
      </c>
      <c r="F387" s="29">
        <f t="shared" si="79"/>
        <v>107679251196.13432</v>
      </c>
      <c r="G387" s="17">
        <f t="shared" si="80"/>
        <v>9.756831737883207</v>
      </c>
      <c r="H387" s="16">
        <f t="shared" si="81"/>
        <v>1.4525594222806163E-11</v>
      </c>
      <c r="I387" s="16">
        <f t="shared" si="82"/>
        <v>68843999402.78743</v>
      </c>
      <c r="J387" s="16">
        <f t="shared" si="83"/>
        <v>-65083384688.904564</v>
      </c>
      <c r="K387" s="18">
        <f t="shared" si="84"/>
        <v>-22442132055.735241</v>
      </c>
      <c r="L387" s="17">
        <f t="shared" si="85"/>
        <v>8.9775107491444146</v>
      </c>
      <c r="M387" s="16">
        <f t="shared" si="86"/>
        <v>1.4687781948653777E-11</v>
      </c>
      <c r="N387" s="16">
        <f t="shared" si="87"/>
        <v>102125699118.06758</v>
      </c>
      <c r="O387" s="16">
        <f t="shared" si="89"/>
        <v>-96547066120.266617</v>
      </c>
      <c r="P387" s="18">
        <f t="shared" si="88"/>
        <v>-33291477046.279198</v>
      </c>
    </row>
    <row r="388" spans="1:16" x14ac:dyDescent="0.4">
      <c r="A388" s="14">
        <v>0.375</v>
      </c>
      <c r="B388" s="44">
        <f t="shared" si="90"/>
        <v>2.3561944901923448</v>
      </c>
      <c r="C388" s="40">
        <f t="shared" si="76"/>
        <v>6.6074201419660574E-12</v>
      </c>
      <c r="D388" s="15">
        <f t="shared" si="77"/>
        <v>151344999790.25809</v>
      </c>
      <c r="E388" s="15">
        <f t="shared" si="78"/>
        <v>-107017075650.3681</v>
      </c>
      <c r="F388" s="29">
        <f t="shared" si="79"/>
        <v>107017075650.36812</v>
      </c>
      <c r="G388" s="17">
        <f t="shared" si="80"/>
        <v>9.7829195232786166</v>
      </c>
      <c r="H388" s="16">
        <f t="shared" si="81"/>
        <v>1.4558315280484718E-11</v>
      </c>
      <c r="I388" s="16">
        <f t="shared" si="82"/>
        <v>68689266631.042839</v>
      </c>
      <c r="J388" s="16">
        <f t="shared" si="83"/>
        <v>-64330924884.119545</v>
      </c>
      <c r="K388" s="18">
        <f t="shared" si="84"/>
        <v>-24077945382.948761</v>
      </c>
      <c r="L388" s="17">
        <f t="shared" si="85"/>
        <v>9.0015147885806286</v>
      </c>
      <c r="M388" s="16">
        <f t="shared" si="86"/>
        <v>1.4650255108049699E-11</v>
      </c>
      <c r="N388" s="16">
        <f t="shared" si="87"/>
        <v>102387295575.20216</v>
      </c>
      <c r="O388" s="16">
        <f t="shared" si="89"/>
        <v>-95890810075.409271</v>
      </c>
      <c r="P388" s="18">
        <f t="shared" si="88"/>
        <v>-35890261050.675034</v>
      </c>
    </row>
    <row r="389" spans="1:16" x14ac:dyDescent="0.4">
      <c r="A389" s="14">
        <v>0.376</v>
      </c>
      <c r="B389" s="44">
        <f t="shared" si="90"/>
        <v>2.3624776754995245</v>
      </c>
      <c r="C389" s="40">
        <f t="shared" si="76"/>
        <v>6.606925263814674E-12</v>
      </c>
      <c r="D389" s="15">
        <f t="shared" si="77"/>
        <v>151356335976.26392</v>
      </c>
      <c r="E389" s="15">
        <f t="shared" si="78"/>
        <v>-107695433018.78706</v>
      </c>
      <c r="F389" s="29">
        <f t="shared" si="79"/>
        <v>106350524902.58632</v>
      </c>
      <c r="G389" s="17">
        <f t="shared" si="80"/>
        <v>9.8090073086740261</v>
      </c>
      <c r="H389" s="16">
        <f t="shared" si="81"/>
        <v>1.4593399512689719E-11</v>
      </c>
      <c r="I389" s="16">
        <f t="shared" si="82"/>
        <v>68524129633.431061</v>
      </c>
      <c r="J389" s="16">
        <f t="shared" si="83"/>
        <v>-63527869709.803543</v>
      </c>
      <c r="K389" s="18">
        <f t="shared" si="84"/>
        <v>-25685912717.937233</v>
      </c>
      <c r="L389" s="17">
        <f t="shared" si="85"/>
        <v>9.0255188280168444</v>
      </c>
      <c r="M389" s="16">
        <f t="shared" si="86"/>
        <v>1.4614676049360342E-11</v>
      </c>
      <c r="N389" s="16">
        <f t="shared" si="87"/>
        <v>102636554853.06856</v>
      </c>
      <c r="O389" s="16">
        <f t="shared" si="89"/>
        <v>-95153075552.349319</v>
      </c>
      <c r="P389" s="18">
        <f t="shared" si="88"/>
        <v>-38472777454.140915</v>
      </c>
    </row>
    <row r="390" spans="1:16" x14ac:dyDescent="0.4">
      <c r="A390" s="14">
        <v>0.377</v>
      </c>
      <c r="B390" s="44">
        <f t="shared" si="90"/>
        <v>2.3687608608067041</v>
      </c>
      <c r="C390" s="40">
        <f t="shared" si="76"/>
        <v>6.6064335244209451E-12</v>
      </c>
      <c r="D390" s="15">
        <f t="shared" si="77"/>
        <v>151367601944.90115</v>
      </c>
      <c r="E390" s="15">
        <f t="shared" si="78"/>
        <v>-108369588579.88103</v>
      </c>
      <c r="F390" s="29">
        <f t="shared" si="79"/>
        <v>105679625233.89909</v>
      </c>
      <c r="G390" s="17">
        <f t="shared" si="80"/>
        <v>9.8350950940694357</v>
      </c>
      <c r="H390" s="16">
        <f t="shared" si="81"/>
        <v>1.4630823043410063E-11</v>
      </c>
      <c r="I390" s="16">
        <f t="shared" si="82"/>
        <v>68348854813.770348</v>
      </c>
      <c r="J390" s="16">
        <f t="shared" si="83"/>
        <v>-62675514677.972687</v>
      </c>
      <c r="K390" s="18">
        <f t="shared" si="84"/>
        <v>-27264368949.328148</v>
      </c>
      <c r="L390" s="17">
        <f t="shared" si="85"/>
        <v>9.0495228674530583</v>
      </c>
      <c r="M390" s="16">
        <f t="shared" si="86"/>
        <v>1.4581065272038288E-11</v>
      </c>
      <c r="N390" s="16">
        <f t="shared" si="87"/>
        <v>102873142120.59041</v>
      </c>
      <c r="O390" s="16">
        <f t="shared" si="89"/>
        <v>-94334091573.531693</v>
      </c>
      <c r="P390" s="18">
        <f t="shared" si="88"/>
        <v>-41036112593.174934</v>
      </c>
    </row>
    <row r="391" spans="1:16" x14ac:dyDescent="0.4">
      <c r="A391" s="14">
        <v>0.378</v>
      </c>
      <c r="B391" s="44">
        <f t="shared" si="90"/>
        <v>2.3750440461138838</v>
      </c>
      <c r="C391" s="40">
        <f t="shared" si="76"/>
        <v>6.6059449431978996E-12</v>
      </c>
      <c r="D391" s="15">
        <f t="shared" si="77"/>
        <v>151378797219.57019</v>
      </c>
      <c r="E391" s="15">
        <f t="shared" si="78"/>
        <v>-109039513813.9328</v>
      </c>
      <c r="F391" s="29">
        <f t="shared" si="79"/>
        <v>105004403121.32111</v>
      </c>
      <c r="G391" s="17">
        <f t="shared" si="80"/>
        <v>9.8611828794648453</v>
      </c>
      <c r="H391" s="16">
        <f t="shared" si="81"/>
        <v>1.4670560404662588E-11</v>
      </c>
      <c r="I391" s="16">
        <f t="shared" si="82"/>
        <v>68163721931.316315</v>
      </c>
      <c r="J391" s="16">
        <f t="shared" si="83"/>
        <v>-61775220247.646095</v>
      </c>
      <c r="K391" s="18">
        <f t="shared" si="84"/>
        <v>-28811718985.243286</v>
      </c>
      <c r="L391" s="17">
        <f t="shared" si="85"/>
        <v>9.0735269068892741</v>
      </c>
      <c r="M391" s="16">
        <f t="shared" si="86"/>
        <v>1.4549442141478833E-11</v>
      </c>
      <c r="N391" s="16">
        <f t="shared" si="87"/>
        <v>103096736315.66035</v>
      </c>
      <c r="O391" s="16">
        <f t="shared" si="89"/>
        <v>-93434211223.542313</v>
      </c>
      <c r="P391" s="18">
        <f t="shared" si="88"/>
        <v>-43577347463.737167</v>
      </c>
    </row>
    <row r="392" spans="1:16" x14ac:dyDescent="0.4">
      <c r="A392" s="14">
        <v>0.379</v>
      </c>
      <c r="B392" s="44">
        <f t="shared" si="90"/>
        <v>2.3813272314210634</v>
      </c>
      <c r="C392" s="40">
        <f t="shared" si="76"/>
        <v>6.6054595394338886E-12</v>
      </c>
      <c r="D392" s="15">
        <f t="shared" si="77"/>
        <v>151389921326.45831</v>
      </c>
      <c r="E392" s="15">
        <f t="shared" si="78"/>
        <v>-109705180367.98875</v>
      </c>
      <c r="F392" s="29">
        <f t="shared" si="79"/>
        <v>104324885236.73674</v>
      </c>
      <c r="G392" s="17">
        <f t="shared" si="80"/>
        <v>9.8872706648602549</v>
      </c>
      <c r="H392" s="16">
        <f t="shared" si="81"/>
        <v>1.4712584553823895E-11</v>
      </c>
      <c r="I392" s="16">
        <f t="shared" si="82"/>
        <v>67969023140.811356</v>
      </c>
      <c r="J392" s="16">
        <f t="shared" si="83"/>
        <v>-60828407156.641212</v>
      </c>
      <c r="K392" s="18">
        <f t="shared" si="84"/>
        <v>-30326440435.732487</v>
      </c>
      <c r="L392" s="17">
        <f t="shared" si="85"/>
        <v>9.0975309463254881</v>
      </c>
      <c r="M392" s="16">
        <f t="shared" si="86"/>
        <v>1.4519824877862317E-11</v>
      </c>
      <c r="N392" s="16">
        <f t="shared" si="87"/>
        <v>103307031084.58136</v>
      </c>
      <c r="O392" s="16">
        <f t="shared" si="89"/>
        <v>-92453912952.936569</v>
      </c>
      <c r="P392" s="18">
        <f t="shared" si="88"/>
        <v>-46093564097.403961</v>
      </c>
    </row>
    <row r="393" spans="1:16" x14ac:dyDescent="0.4">
      <c r="A393" s="14">
        <v>0.38</v>
      </c>
      <c r="B393" s="44">
        <f t="shared" si="90"/>
        <v>2.3876104167282426</v>
      </c>
      <c r="C393" s="40">
        <f t="shared" si="76"/>
        <v>6.6049773322918201E-12</v>
      </c>
      <c r="D393" s="15">
        <f t="shared" si="77"/>
        <v>151400973794.56354</v>
      </c>
      <c r="E393" s="15">
        <f t="shared" si="78"/>
        <v>-110366560057.28806</v>
      </c>
      <c r="F393" s="29">
        <f t="shared" si="79"/>
        <v>103641098445.85373</v>
      </c>
      <c r="G393" s="17">
        <f t="shared" si="80"/>
        <v>9.9133584502556644</v>
      </c>
      <c r="H393" s="16">
        <f t="shared" si="81"/>
        <v>1.4756866892033786E-11</v>
      </c>
      <c r="I393" s="16">
        <f t="shared" si="82"/>
        <v>67765062009.187805</v>
      </c>
      <c r="J393" s="16">
        <f t="shared" si="83"/>
        <v>-59836551639.837555</v>
      </c>
      <c r="K393" s="18">
        <f t="shared" si="84"/>
        <v>-31807085955.210072</v>
      </c>
      <c r="L393" s="17">
        <f t="shared" si="85"/>
        <v>9.1215349857617039</v>
      </c>
      <c r="M393" s="16">
        <f t="shared" si="86"/>
        <v>1.4492230545656243E-11</v>
      </c>
      <c r="N393" s="16">
        <f t="shared" si="87"/>
        <v>103503735693.02588</v>
      </c>
      <c r="O393" s="16">
        <f t="shared" si="89"/>
        <v>-91393801497.180542</v>
      </c>
      <c r="P393" s="18">
        <f t="shared" si="88"/>
        <v>-48581852067.471855</v>
      </c>
    </row>
    <row r="394" spans="1:16" x14ac:dyDescent="0.4">
      <c r="A394" s="14">
        <v>0.38100000000000001</v>
      </c>
      <c r="B394" s="44">
        <f t="shared" si="90"/>
        <v>2.3938936020354222</v>
      </c>
      <c r="C394" s="40">
        <f t="shared" si="76"/>
        <v>6.6044983408084068E-12</v>
      </c>
      <c r="D394" s="15">
        <f t="shared" si="77"/>
        <v>151411954155.71829</v>
      </c>
      <c r="E394" s="15">
        <f t="shared" si="78"/>
        <v>-111023624866.68558</v>
      </c>
      <c r="F394" s="29">
        <f t="shared" si="79"/>
        <v>102953069807.14471</v>
      </c>
      <c r="G394" s="17">
        <f t="shared" si="80"/>
        <v>9.939446235651074</v>
      </c>
      <c r="H394" s="16">
        <f t="shared" si="81"/>
        <v>1.4803377283657746E-11</v>
      </c>
      <c r="I394" s="16">
        <f t="shared" si="82"/>
        <v>67552152514.815277</v>
      </c>
      <c r="J394" s="16">
        <f t="shared" si="83"/>
        <v>-58801180562.55294</v>
      </c>
      <c r="K394" s="18">
        <f t="shared" si="84"/>
        <v>-33252285242.294399</v>
      </c>
      <c r="L394" s="17">
        <f t="shared" si="85"/>
        <v>9.1455390251979178</v>
      </c>
      <c r="M394" s="16">
        <f t="shared" si="86"/>
        <v>1.4466675043783338E-11</v>
      </c>
      <c r="N394" s="16">
        <f t="shared" si="87"/>
        <v>103686575903.60298</v>
      </c>
      <c r="O394" s="16">
        <f t="shared" si="89"/>
        <v>-90254608397.318848</v>
      </c>
      <c r="P394" s="18">
        <f t="shared" si="88"/>
        <v>-51039315097.875732</v>
      </c>
    </row>
    <row r="395" spans="1:16" x14ac:dyDescent="0.4">
      <c r="A395" s="14">
        <v>0.38200000000000001</v>
      </c>
      <c r="B395" s="44">
        <f t="shared" si="90"/>
        <v>2.4001767873426019</v>
      </c>
      <c r="C395" s="40">
        <f t="shared" si="76"/>
        <v>6.6040225838934128E-12</v>
      </c>
      <c r="D395" s="15">
        <f t="shared" si="77"/>
        <v>151422861944.61319</v>
      </c>
      <c r="E395" s="15">
        <f t="shared" si="78"/>
        <v>-111676346952.06805</v>
      </c>
      <c r="F395" s="29">
        <f t="shared" si="79"/>
        <v>102260826570.77786</v>
      </c>
      <c r="G395" s="17">
        <f t="shared" si="80"/>
        <v>9.9655340210464836</v>
      </c>
      <c r="H395" s="16">
        <f t="shared" si="81"/>
        <v>1.4852084076795274E-11</v>
      </c>
      <c r="I395" s="16">
        <f t="shared" si="82"/>
        <v>67330618035.107178</v>
      </c>
      <c r="J395" s="16">
        <f t="shared" si="83"/>
        <v>-57723866497.311058</v>
      </c>
      <c r="K395" s="18">
        <f t="shared" si="84"/>
        <v>-34660746696.949707</v>
      </c>
      <c r="L395" s="17">
        <f t="shared" si="85"/>
        <v>9.1695430646341336</v>
      </c>
      <c r="M395" s="16">
        <f t="shared" si="86"/>
        <v>1.44431730964611E-11</v>
      </c>
      <c r="N395" s="16">
        <f t="shared" si="87"/>
        <v>103855294815.20467</v>
      </c>
      <c r="O395" s="16">
        <f t="shared" si="89"/>
        <v>-89037192111.112228</v>
      </c>
      <c r="P395" s="18">
        <f t="shared" si="88"/>
        <v>-53463077746.440781</v>
      </c>
    </row>
    <row r="396" spans="1:16" x14ac:dyDescent="0.4">
      <c r="A396" s="14">
        <v>0.38300000000000001</v>
      </c>
      <c r="B396" s="44">
        <f t="shared" si="90"/>
        <v>2.4064599726497815</v>
      </c>
      <c r="C396" s="40">
        <f t="shared" si="76"/>
        <v>6.6035500803289068E-12</v>
      </c>
      <c r="D396" s="15">
        <f t="shared" si="77"/>
        <v>151433696698.82059</v>
      </c>
      <c r="E396" s="15">
        <f t="shared" si="78"/>
        <v>-112324698641.76372</v>
      </c>
      <c r="F396" s="29">
        <f t="shared" si="79"/>
        <v>101564396177.53529</v>
      </c>
      <c r="G396" s="17">
        <f t="shared" si="80"/>
        <v>9.9916218064418931</v>
      </c>
      <c r="H396" s="16">
        <f t="shared" si="81"/>
        <v>1.4902954124820066E-11</v>
      </c>
      <c r="I396" s="16">
        <f t="shared" si="82"/>
        <v>67100790328.177551</v>
      </c>
      <c r="J396" s="16">
        <f t="shared" si="83"/>
        <v>-56606222771.676003</v>
      </c>
      <c r="K396" s="18">
        <f t="shared" si="84"/>
        <v>-36031258737.233086</v>
      </c>
      <c r="L396" s="17">
        <f t="shared" si="85"/>
        <v>9.1935471040703476</v>
      </c>
      <c r="M396" s="16">
        <f t="shared" si="86"/>
        <v>1.4421738244718234E-11</v>
      </c>
      <c r="N396" s="16">
        <f t="shared" si="87"/>
        <v>104009653659.4231</v>
      </c>
      <c r="O396" s="16">
        <f t="shared" si="89"/>
        <v>-87742537705.666931</v>
      </c>
      <c r="P396" s="18">
        <f t="shared" si="88"/>
        <v>-55850292132.832764</v>
      </c>
    </row>
    <row r="397" spans="1:16" x14ac:dyDescent="0.4">
      <c r="A397" s="14">
        <v>0.38400000000000001</v>
      </c>
      <c r="B397" s="44">
        <f t="shared" si="90"/>
        <v>2.4127431579569611</v>
      </c>
      <c r="C397" s="40">
        <f t="shared" ref="C397:C460" si="91">((semiejeMayorTierra*(1-(excentricidadTierra^2)))^-1)*(1+excentricidadTierra*COS(Φ))</f>
        <v>6.6030808487685202E-12</v>
      </c>
      <c r="D397" s="15">
        <f t="shared" ref="D397:D460" si="92">1/u0Tierra</f>
        <v>151444457958.81793</v>
      </c>
      <c r="E397" s="15">
        <f t="shared" ref="E397:E460" si="93">r0Tierra*COS(Φ)</f>
        <v>-112968652437.94504</v>
      </c>
      <c r="F397" s="29">
        <f t="shared" ref="F397:F460" si="94">r0Tierra*SIN(Φ)</f>
        <v>100863806257.72035</v>
      </c>
      <c r="G397" s="17">
        <f t="shared" ref="G397:G460" si="95">Φ*relaciónOrbitas</f>
        <v>10.017709591837303</v>
      </c>
      <c r="H397" s="16">
        <f t="shared" ref="H397:H460" si="96">((semiejeMayorMercurio*(1-(excentricidadMercurio^2)))^-1)*(1+excentricidadMercurio*COS(ΦMercurio))</f>
        <v>1.4955952808937434E-11</v>
      </c>
      <c r="I397" s="16">
        <f t="shared" ref="I397:I460" si="97">1/u0Mercurio</f>
        <v>66863008514.069145</v>
      </c>
      <c r="J397" s="16">
        <f t="shared" ref="J397:J460" si="98">r0Mercurio*COS(ΦMercurio)</f>
        <v>-55449898514.001747</v>
      </c>
      <c r="K397" s="18">
        <f t="shared" ref="K397:K460" si="99">r0Mercurio*SIN(ΦMercurio)</f>
        <v>-37362690780.234085</v>
      </c>
      <c r="L397" s="17">
        <f t="shared" ref="L397:L460" si="100">ΦMercurio*(1-(simulaciónÁngulo*((3/2)*rsSol*((semiejeMayorMercurio*(1-(excentricidadMercurio^2)))^-1))))</f>
        <v>9.2175511435065633</v>
      </c>
      <c r="M397" s="16">
        <f t="shared" ref="M397:M460" si="101">((semiejeMayorMercurio*(1-(excentricidadMercurio^2)))^-1)*(1+excentricidadMercurio*COS(ΦLPMercurio))</f>
        <v>1.4402382838592734E-11</v>
      </c>
      <c r="N397" s="16">
        <f t="shared" ref="N397:N460" si="102">1*simulaciónRadio/uMercurio</f>
        <v>104149432549.49373</v>
      </c>
      <c r="O397" s="16">
        <f t="shared" si="89"/>
        <v>-86371756124.989807</v>
      </c>
      <c r="P397" s="18">
        <f t="shared" ref="P397:P460" si="103">rMercurio*SIN(ΦMercurio)</f>
        <v>-58198144680.623863</v>
      </c>
    </row>
    <row r="398" spans="1:16" x14ac:dyDescent="0.4">
      <c r="A398" s="14">
        <v>0.38500000000000001</v>
      </c>
      <c r="B398" s="44">
        <f t="shared" si="90"/>
        <v>2.4190263432641408</v>
      </c>
      <c r="C398" s="40">
        <f t="shared" si="91"/>
        <v>6.6026149077367106E-12</v>
      </c>
      <c r="D398" s="15">
        <f t="shared" si="92"/>
        <v>151455145268.01123</v>
      </c>
      <c r="E398" s="15">
        <f t="shared" si="93"/>
        <v>-113608181018.02455</v>
      </c>
      <c r="F398" s="29">
        <f t="shared" si="94"/>
        <v>100159084630.05316</v>
      </c>
      <c r="G398" s="17">
        <f t="shared" si="95"/>
        <v>10.043797377232712</v>
      </c>
      <c r="H398" s="16">
        <f t="shared" si="96"/>
        <v>1.5011044061743559E-11</v>
      </c>
      <c r="I398" s="16">
        <f t="shared" si="97"/>
        <v>66617618060.861801</v>
      </c>
      <c r="J398" s="16">
        <f t="shared" si="98"/>
        <v>-54256573722.914215</v>
      </c>
      <c r="K398" s="18">
        <f t="shared" si="99"/>
        <v>-38653993893.941086</v>
      </c>
      <c r="L398" s="17">
        <f t="shared" si="100"/>
        <v>9.2415551829427791</v>
      </c>
      <c r="M398" s="16">
        <f t="shared" si="101"/>
        <v>1.4385118030016235E-11</v>
      </c>
      <c r="N398" s="16">
        <f t="shared" si="102"/>
        <v>104274431177.42059</v>
      </c>
      <c r="O398" s="16">
        <f t="shared" ref="O398:O461" si="104">rMercurio*COS(ΦMercurio)</f>
        <v>-84926083028.425156</v>
      </c>
      <c r="P398" s="18">
        <f t="shared" si="103"/>
        <v>-60503862842.166191</v>
      </c>
    </row>
    <row r="399" spans="1:16" x14ac:dyDescent="0.4">
      <c r="A399" s="14">
        <v>0.38600000000000001</v>
      </c>
      <c r="B399" s="44">
        <f t="shared" ref="B399:B462" si="105">A399*2*PI()</f>
        <v>2.4253095285713204</v>
      </c>
      <c r="C399" s="40">
        <f t="shared" si="91"/>
        <v>6.602152275628033E-12</v>
      </c>
      <c r="D399" s="15">
        <f t="shared" si="92"/>
        <v>151465758172.75806</v>
      </c>
      <c r="E399" s="15">
        <f t="shared" si="93"/>
        <v>-114243257236.04358</v>
      </c>
      <c r="F399" s="29">
        <f t="shared" si="94"/>
        <v>99450259300.554886</v>
      </c>
      <c r="G399" s="17">
        <f t="shared" si="95"/>
        <v>10.069885162628124</v>
      </c>
      <c r="H399" s="16">
        <f t="shared" si="96"/>
        <v>1.5068190391770589E-11</v>
      </c>
      <c r="I399" s="16">
        <f t="shared" si="97"/>
        <v>66364969780.720627</v>
      </c>
      <c r="J399" s="16">
        <f t="shared" si="98"/>
        <v>-53027954385.130295</v>
      </c>
      <c r="K399" s="18">
        <f t="shared" si="99"/>
        <v>-39904201128.759644</v>
      </c>
      <c r="L399" s="17">
        <f t="shared" si="100"/>
        <v>9.2655592223789949</v>
      </c>
      <c r="M399" s="16">
        <f t="shared" si="101"/>
        <v>1.4369953766388636E-11</v>
      </c>
      <c r="N399" s="16">
        <f t="shared" si="102"/>
        <v>104384469455.18394</v>
      </c>
      <c r="O399" s="16">
        <f t="shared" si="104"/>
        <v>-83406877198.542068</v>
      </c>
      <c r="P399" s="18">
        <f t="shared" si="103"/>
        <v>-62764721774.477356</v>
      </c>
    </row>
    <row r="400" spans="1:16" x14ac:dyDescent="0.4">
      <c r="A400" s="14">
        <v>0.38700000000000001</v>
      </c>
      <c r="B400" s="44">
        <f t="shared" si="105"/>
        <v>2.4315927138785001</v>
      </c>
      <c r="C400" s="40">
        <f t="shared" si="91"/>
        <v>6.60169297070641E-12</v>
      </c>
      <c r="D400" s="15">
        <f t="shared" si="92"/>
        <v>151476296222.3909</v>
      </c>
      <c r="E400" s="15">
        <f t="shared" si="93"/>
        <v>-114873854124.05415</v>
      </c>
      <c r="F400" s="29">
        <f t="shared" si="94"/>
        <v>98737358461.420471</v>
      </c>
      <c r="G400" s="17">
        <f t="shared" si="95"/>
        <v>10.095972948023533</v>
      </c>
      <c r="H400" s="16">
        <f t="shared" si="96"/>
        <v>1.512735290900085E-11</v>
      </c>
      <c r="I400" s="16">
        <f t="shared" si="97"/>
        <v>66105418840.661476</v>
      </c>
      <c r="J400" s="16">
        <f t="shared" si="98"/>
        <v>-51765767664.846817</v>
      </c>
      <c r="K400" s="18">
        <f t="shared" si="99"/>
        <v>-41112427539.229317</v>
      </c>
      <c r="L400" s="17">
        <f t="shared" si="100"/>
        <v>9.2895632618152106</v>
      </c>
      <c r="M400" s="16">
        <f t="shared" si="101"/>
        <v>1.4356898784846739E-11</v>
      </c>
      <c r="N400" s="16">
        <f t="shared" si="102"/>
        <v>104479388096.20943</v>
      </c>
      <c r="O400" s="16">
        <f t="shared" si="104"/>
        <v>-81815618519.718018</v>
      </c>
      <c r="P400" s="18">
        <f t="shared" si="103"/>
        <v>-64978050934.098679</v>
      </c>
    </row>
    <row r="401" spans="1:16" x14ac:dyDescent="0.4">
      <c r="A401" s="14">
        <v>0.38800000000000001</v>
      </c>
      <c r="B401" s="44">
        <f t="shared" si="105"/>
        <v>2.4378758991856797</v>
      </c>
      <c r="C401" s="40">
        <f t="shared" si="91"/>
        <v>6.6012370111044152E-12</v>
      </c>
      <c r="D401" s="15">
        <f t="shared" si="92"/>
        <v>151486758969.23987</v>
      </c>
      <c r="E401" s="15">
        <f t="shared" si="93"/>
        <v>-115499944893.49324</v>
      </c>
      <c r="F401" s="29">
        <f t="shared" si="94"/>
        <v>98020410489.880127</v>
      </c>
      <c r="G401" s="17">
        <f t="shared" si="95"/>
        <v>10.122060733418943</v>
      </c>
      <c r="H401" s="16">
        <f t="shared" si="96"/>
        <v>1.5188491351332832E-11</v>
      </c>
      <c r="I401" s="16">
        <f t="shared" si="97"/>
        <v>65839323792.500778</v>
      </c>
      <c r="J401" s="16">
        <f t="shared" si="98"/>
        <v>-50471757186.421677</v>
      </c>
      <c r="K401" s="18">
        <f t="shared" si="99"/>
        <v>-42277869908.128654</v>
      </c>
      <c r="L401" s="17">
        <f t="shared" si="100"/>
        <v>9.3135673012514246</v>
      </c>
      <c r="M401" s="16">
        <f t="shared" si="101"/>
        <v>1.4345960607230215E-11</v>
      </c>
      <c r="N401" s="16">
        <f t="shared" si="102"/>
        <v>104559049133.59483</v>
      </c>
      <c r="O401" s="16">
        <f t="shared" si="104"/>
        <v>-80153905531.378265</v>
      </c>
      <c r="P401" s="18">
        <f t="shared" si="103"/>
        <v>-67141240558.902306</v>
      </c>
    </row>
    <row r="402" spans="1:16" x14ac:dyDescent="0.4">
      <c r="A402" s="14">
        <v>0.38900000000000001</v>
      </c>
      <c r="B402" s="44">
        <f t="shared" si="105"/>
        <v>2.4441590844928589</v>
      </c>
      <c r="C402" s="40">
        <f t="shared" si="91"/>
        <v>6.6007844148225513E-12</v>
      </c>
      <c r="D402" s="15">
        <f t="shared" si="92"/>
        <v>151497145968.65576</v>
      </c>
      <c r="E402" s="15">
        <f t="shared" si="93"/>
        <v>-116121502936.54991</v>
      </c>
      <c r="F402" s="29">
        <f t="shared" si="94"/>
        <v>97299443947.049469</v>
      </c>
      <c r="G402" s="17">
        <f t="shared" si="95"/>
        <v>10.148148518814351</v>
      </c>
      <c r="H402" s="16">
        <f t="shared" si="96"/>
        <v>1.5251564111980904E-11</v>
      </c>
      <c r="I402" s="16">
        <f t="shared" si="97"/>
        <v>65567045626.12352</v>
      </c>
      <c r="J402" s="16">
        <f t="shared" si="98"/>
        <v>-49147678430.451042</v>
      </c>
      <c r="K402" s="18">
        <f t="shared" si="99"/>
        <v>-43399806186.60804</v>
      </c>
      <c r="L402" s="17">
        <f t="shared" si="100"/>
        <v>9.3375713406876386</v>
      </c>
      <c r="M402" s="16">
        <f t="shared" si="101"/>
        <v>1.4337145535747768E-11</v>
      </c>
      <c r="N402" s="16">
        <f t="shared" si="102"/>
        <v>104623336371.94023</v>
      </c>
      <c r="O402" s="16">
        <f t="shared" si="104"/>
        <v>-78423452562.583267</v>
      </c>
      <c r="P402" s="18">
        <f t="shared" si="103"/>
        <v>-69251748005.089401</v>
      </c>
    </row>
    <row r="403" spans="1:16" x14ac:dyDescent="0.4">
      <c r="A403" s="14">
        <v>0.39</v>
      </c>
      <c r="B403" s="44">
        <f t="shared" si="105"/>
        <v>2.4504422698000385</v>
      </c>
      <c r="C403" s="40">
        <f t="shared" si="91"/>
        <v>6.6003351997285456E-12</v>
      </c>
      <c r="D403" s="15">
        <f t="shared" si="92"/>
        <v>151507456779.03259</v>
      </c>
      <c r="E403" s="15">
        <f t="shared" si="93"/>
        <v>-116738501827.52512</v>
      </c>
      <c r="F403" s="29">
        <f t="shared" si="94"/>
        <v>96574487576.768143</v>
      </c>
      <c r="G403" s="17">
        <f t="shared" si="95"/>
        <v>10.17423630420976</v>
      </c>
      <c r="H403" s="16">
        <f t="shared" si="96"/>
        <v>1.5316528267790173E-11</v>
      </c>
      <c r="I403" s="16">
        <f t="shared" si="97"/>
        <v>65288946849.851456</v>
      </c>
      <c r="J403" s="16">
        <f t="shared" si="98"/>
        <v>-47795294261.63353</v>
      </c>
      <c r="K403" s="18">
        <f t="shared" si="99"/>
        <v>-44477594665.253525</v>
      </c>
      <c r="L403" s="17">
        <f t="shared" si="100"/>
        <v>9.3615753801238526</v>
      </c>
      <c r="M403" s="16">
        <f t="shared" si="101"/>
        <v>1.4330458649346017E-11</v>
      </c>
      <c r="N403" s="16">
        <f t="shared" si="102"/>
        <v>104672155770.00768</v>
      </c>
      <c r="O403" s="16">
        <f t="shared" si="104"/>
        <v>-76626086457.365509</v>
      </c>
      <c r="P403" s="18">
        <f t="shared" si="103"/>
        <v>-71307103908.15979</v>
      </c>
    </row>
    <row r="404" spans="1:16" x14ac:dyDescent="0.4">
      <c r="A404" s="14">
        <v>0.39100000000000001</v>
      </c>
      <c r="B404" s="44">
        <f t="shared" si="105"/>
        <v>2.4567254551072182</v>
      </c>
      <c r="C404" s="40">
        <f t="shared" si="91"/>
        <v>6.5998893835566399E-12</v>
      </c>
      <c r="D404" s="15">
        <f t="shared" si="92"/>
        <v>151517690961.83035</v>
      </c>
      <c r="E404" s="15">
        <f t="shared" si="93"/>
        <v>-117350915324.18362</v>
      </c>
      <c r="F404" s="29">
        <f t="shared" si="94"/>
        <v>95845570304.427795</v>
      </c>
      <c r="G404" s="17">
        <f t="shared" si="95"/>
        <v>10.20032408960517</v>
      </c>
      <c r="H404" s="16">
        <f t="shared" si="96"/>
        <v>1.5383339608447105E-11</v>
      </c>
      <c r="I404" s="16">
        <f t="shared" si="97"/>
        <v>65005390601.329025</v>
      </c>
      <c r="J404" s="16">
        <f t="shared" si="98"/>
        <v>-46416370605.040878</v>
      </c>
      <c r="K404" s="18">
        <f t="shared" si="99"/>
        <v>-45510672892.046463</v>
      </c>
      <c r="L404" s="17">
        <f t="shared" si="100"/>
        <v>9.3855794195600684</v>
      </c>
      <c r="M404" s="16">
        <f t="shared" si="101"/>
        <v>1.4325903800783176E-11</v>
      </c>
      <c r="N404" s="16">
        <f t="shared" si="102"/>
        <v>104705435751.84395</v>
      </c>
      <c r="O404" s="16">
        <f t="shared" si="104"/>
        <v>-74763742902.892776</v>
      </c>
      <c r="P404" s="18">
        <f t="shared" si="103"/>
        <v>-73304918137.418793</v>
      </c>
    </row>
    <row r="405" spans="1:16" x14ac:dyDescent="0.4">
      <c r="A405" s="14">
        <v>0.39200000000000002</v>
      </c>
      <c r="B405" s="44">
        <f t="shared" si="105"/>
        <v>2.4630086404143978</v>
      </c>
      <c r="C405" s="40">
        <f t="shared" si="91"/>
        <v>6.599446983906895E-12</v>
      </c>
      <c r="D405" s="15">
        <f t="shared" si="92"/>
        <v>151527848081.59738</v>
      </c>
      <c r="E405" s="15">
        <f t="shared" si="93"/>
        <v>-117958717369.09856</v>
      </c>
      <c r="F405" s="29">
        <f t="shared" si="94"/>
        <v>95112721235.78833</v>
      </c>
      <c r="G405" s="17">
        <f t="shared" si="95"/>
        <v>10.226411875000579</v>
      </c>
      <c r="H405" s="16">
        <f t="shared" si="96"/>
        <v>1.5451952666566176E-11</v>
      </c>
      <c r="I405" s="16">
        <f t="shared" si="97"/>
        <v>64716739791.969986</v>
      </c>
      <c r="J405" s="16">
        <f t="shared" si="98"/>
        <v>-45012672285.593315</v>
      </c>
      <c r="K405" s="18">
        <f t="shared" si="99"/>
        <v>-46498556354.056099</v>
      </c>
      <c r="L405" s="17">
        <f t="shared" si="100"/>
        <v>9.4095834589962823</v>
      </c>
      <c r="M405" s="16">
        <f t="shared" si="101"/>
        <v>1.4323483614409234E-11</v>
      </c>
      <c r="N405" s="16">
        <f t="shared" si="102"/>
        <v>104723127444.43118</v>
      </c>
      <c r="O405" s="16">
        <f t="shared" si="104"/>
        <v>-72838462375.131851</v>
      </c>
      <c r="P405" s="18">
        <f t="shared" si="103"/>
        <v>-75242885514.639038</v>
      </c>
    </row>
    <row r="406" spans="1:16" x14ac:dyDescent="0.4">
      <c r="A406" s="14">
        <v>0.39300000000000002</v>
      </c>
      <c r="B406" s="44">
        <f t="shared" si="105"/>
        <v>2.4692918257215775</v>
      </c>
      <c r="C406" s="40">
        <f t="shared" si="91"/>
        <v>6.5990080182444889E-12</v>
      </c>
      <c r="D406" s="15">
        <f t="shared" si="92"/>
        <v>151537927705.99277</v>
      </c>
      <c r="E406" s="15">
        <f t="shared" si="93"/>
        <v>-118561882090.98808</v>
      </c>
      <c r="F406" s="29">
        <f t="shared" si="94"/>
        <v>94375969655.783295</v>
      </c>
      <c r="G406" s="17">
        <f t="shared" si="95"/>
        <v>10.252499660395991</v>
      </c>
      <c r="H406" s="16">
        <f t="shared" si="96"/>
        <v>1.5522320748631962E-11</v>
      </c>
      <c r="I406" s="16">
        <f t="shared" si="97"/>
        <v>64423356287.630737</v>
      </c>
      <c r="J406" s="16">
        <f t="shared" si="98"/>
        <v>-43585959043.703888</v>
      </c>
      <c r="K406" s="18">
        <f t="shared" si="99"/>
        <v>-47440836940.378464</v>
      </c>
      <c r="L406" s="17">
        <f t="shared" si="100"/>
        <v>9.4335874984324999</v>
      </c>
      <c r="M406" s="16">
        <f t="shared" si="101"/>
        <v>1.4323199484653879E-11</v>
      </c>
      <c r="N406" s="16">
        <f t="shared" si="102"/>
        <v>104725204840.37981</v>
      </c>
      <c r="O406" s="16">
        <f t="shared" si="104"/>
        <v>-70852385719.194305</v>
      </c>
      <c r="P406" s="18">
        <f t="shared" si="103"/>
        <v>-77118791268.782349</v>
      </c>
    </row>
    <row r="407" spans="1:16" x14ac:dyDescent="0.4">
      <c r="A407" s="14">
        <v>0.39400000000000002</v>
      </c>
      <c r="B407" s="44">
        <f t="shared" si="105"/>
        <v>2.4755750110287571</v>
      </c>
      <c r="C407" s="40">
        <f t="shared" si="91"/>
        <v>6.598572503899037E-12</v>
      </c>
      <c r="D407" s="15">
        <f t="shared" si="92"/>
        <v>151547929405.80844</v>
      </c>
      <c r="E407" s="15">
        <f t="shared" si="93"/>
        <v>-119160383806.04413</v>
      </c>
      <c r="F407" s="29">
        <f t="shared" si="94"/>
        <v>93635345027.314102</v>
      </c>
      <c r="G407" s="17">
        <f t="shared" si="95"/>
        <v>10.2785874457914</v>
      </c>
      <c r="H407" s="16">
        <f t="shared" si="96"/>
        <v>1.559439596677565E-11</v>
      </c>
      <c r="I407" s="16">
        <f t="shared" si="97"/>
        <v>64125600127.79792</v>
      </c>
      <c r="J407" s="16">
        <f t="shared" si="98"/>
        <v>-42137981738.216385</v>
      </c>
      <c r="K407" s="18">
        <f t="shared" si="99"/>
        <v>-48337181204.32737</v>
      </c>
      <c r="L407" s="17">
        <f t="shared" si="100"/>
        <v>9.4575915378687139</v>
      </c>
      <c r="M407" s="16">
        <f t="shared" si="101"/>
        <v>1.4325051575223086E-11</v>
      </c>
      <c r="N407" s="16">
        <f t="shared" si="102"/>
        <v>104711664884.64391</v>
      </c>
      <c r="O407" s="16">
        <f t="shared" si="104"/>
        <v>-68807749383.925781</v>
      </c>
      <c r="P407" s="18">
        <f t="shared" si="103"/>
        <v>-78930516200.217697</v>
      </c>
    </row>
    <row r="408" spans="1:16" x14ac:dyDescent="0.4">
      <c r="A408" s="14">
        <v>0.39500000000000002</v>
      </c>
      <c r="B408" s="44">
        <f t="shared" si="105"/>
        <v>2.4818581963359367</v>
      </c>
      <c r="C408" s="40">
        <f t="shared" si="91"/>
        <v>6.5981404580638981E-12</v>
      </c>
      <c r="D408" s="15">
        <f t="shared" si="92"/>
        <v>151557852754.99142</v>
      </c>
      <c r="E408" s="15">
        <f t="shared" si="93"/>
        <v>-119754197019.25331</v>
      </c>
      <c r="F408" s="29">
        <f t="shared" si="94"/>
        <v>92890876990.033417</v>
      </c>
      <c r="G408" s="17">
        <f t="shared" si="95"/>
        <v>10.30467523118681</v>
      </c>
      <c r="H408" s="16">
        <f t="shared" si="96"/>
        <v>1.5668129271364382E-11</v>
      </c>
      <c r="I408" s="16">
        <f t="shared" si="97"/>
        <v>63823828785.203781</v>
      </c>
      <c r="J408" s="16">
        <f t="shared" si="98"/>
        <v>-40670478745.941925</v>
      </c>
      <c r="K408" s="18">
        <f t="shared" si="99"/>
        <v>-49187328443.196548</v>
      </c>
      <c r="L408" s="17">
        <f t="shared" si="100"/>
        <v>9.4815955773049296</v>
      </c>
      <c r="M408" s="16">
        <f t="shared" si="101"/>
        <v>1.4329038819004791E-11</v>
      </c>
      <c r="N408" s="16">
        <f t="shared" si="102"/>
        <v>104682527484.71381</v>
      </c>
      <c r="O408" s="16">
        <f t="shared" si="104"/>
        <v>-66706880332.530975</v>
      </c>
      <c r="P408" s="18">
        <f t="shared" si="103"/>
        <v>-80676041529.62175</v>
      </c>
    </row>
    <row r="409" spans="1:16" x14ac:dyDescent="0.4">
      <c r="A409" s="14">
        <v>0.39600000000000002</v>
      </c>
      <c r="B409" s="44">
        <f t="shared" si="105"/>
        <v>2.4881413816431164</v>
      </c>
      <c r="C409" s="40">
        <f t="shared" si="91"/>
        <v>6.5977118977955023E-12</v>
      </c>
      <c r="D409" s="15">
        <f t="shared" si="92"/>
        <v>151567697330.66559</v>
      </c>
      <c r="E409" s="15">
        <f t="shared" si="93"/>
        <v>-120343296425.70963</v>
      </c>
      <c r="F409" s="29">
        <f t="shared" si="94"/>
        <v>92142595359.117355</v>
      </c>
      <c r="G409" s="17">
        <f t="shared" si="95"/>
        <v>10.330763016582219</v>
      </c>
      <c r="H409" s="16">
        <f t="shared" si="96"/>
        <v>1.5743470484381181E-11</v>
      </c>
      <c r="I409" s="16">
        <f t="shared" si="97"/>
        <v>63518396467.416908</v>
      </c>
      <c r="J409" s="16">
        <f t="shared" si="98"/>
        <v>-39185172565.320335</v>
      </c>
      <c r="K409" s="18">
        <f t="shared" si="99"/>
        <v>-49991088614.052277</v>
      </c>
      <c r="L409" s="17">
        <f t="shared" si="100"/>
        <v>9.5055996167411436</v>
      </c>
      <c r="M409" s="16">
        <f t="shared" si="101"/>
        <v>1.4335158918683722E-11</v>
      </c>
      <c r="N409" s="16">
        <f t="shared" si="102"/>
        <v>104637835444.22209</v>
      </c>
      <c r="O409" s="16">
        <f t="shared" si="104"/>
        <v>-64552190653.09285</v>
      </c>
      <c r="P409" s="18">
        <f t="shared" si="103"/>
        <v>-82353453408.699585</v>
      </c>
    </row>
    <row r="410" spans="1:16" x14ac:dyDescent="0.4">
      <c r="A410" s="14">
        <v>0.39700000000000002</v>
      </c>
      <c r="B410" s="44">
        <f t="shared" si="105"/>
        <v>2.494424566950296</v>
      </c>
      <c r="C410" s="40">
        <f t="shared" si="91"/>
        <v>6.5972868400126765E-12</v>
      </c>
      <c r="D410" s="15">
        <f t="shared" si="92"/>
        <v>151577462713.15353</v>
      </c>
      <c r="E410" s="15">
        <f t="shared" si="93"/>
        <v>-120927656911.91898</v>
      </c>
      <c r="F410" s="29">
        <f t="shared" si="94"/>
        <v>91390530124.026871</v>
      </c>
      <c r="G410" s="17">
        <f t="shared" si="95"/>
        <v>10.356850801977629</v>
      </c>
      <c r="H410" s="16">
        <f t="shared" si="96"/>
        <v>1.5820368333572792E-11</v>
      </c>
      <c r="I410" s="16">
        <f t="shared" si="97"/>
        <v>63209653461.599594</v>
      </c>
      <c r="J410" s="16">
        <f t="shared" si="98"/>
        <v>-37683766629.998993</v>
      </c>
      <c r="K410" s="18">
        <f t="shared" si="99"/>
        <v>-50748340104.000282</v>
      </c>
      <c r="L410" s="17">
        <f t="shared" si="100"/>
        <v>9.5296036561773594</v>
      </c>
      <c r="M410" s="16">
        <f t="shared" si="101"/>
        <v>1.4343408348065039E-11</v>
      </c>
      <c r="N410" s="16">
        <f t="shared" si="102"/>
        <v>104577654320.38011</v>
      </c>
      <c r="O410" s="16">
        <f t="shared" si="104"/>
        <v>-62346171894.709541</v>
      </c>
      <c r="P410" s="18">
        <f t="shared" si="103"/>
        <v>-83960947072.006317</v>
      </c>
    </row>
    <row r="411" spans="1:16" x14ac:dyDescent="0.4">
      <c r="A411" s="14">
        <v>0.39800000000000002</v>
      </c>
      <c r="B411" s="44">
        <f t="shared" si="105"/>
        <v>2.5007077522574757</v>
      </c>
      <c r="C411" s="40">
        <f t="shared" si="91"/>
        <v>6.5968653014959723E-12</v>
      </c>
      <c r="D411" s="15">
        <f t="shared" si="92"/>
        <v>151587148485.99832</v>
      </c>
      <c r="E411" s="15">
        <f t="shared" si="93"/>
        <v>-121507253557.09557</v>
      </c>
      <c r="F411" s="29">
        <f t="shared" si="94"/>
        <v>90634711447.258392</v>
      </c>
      <c r="G411" s="17">
        <f t="shared" si="95"/>
        <v>10.382938587373038</v>
      </c>
      <c r="H411" s="16">
        <f t="shared" si="96"/>
        <v>1.5898770487342204E-11</v>
      </c>
      <c r="I411" s="16">
        <f t="shared" si="97"/>
        <v>62897945523.281151</v>
      </c>
      <c r="J411" s="16">
        <f t="shared" si="98"/>
        <v>-36167942336.460197</v>
      </c>
      <c r="K411" s="18">
        <f t="shared" si="99"/>
        <v>-51459027373.203758</v>
      </c>
      <c r="L411" s="17">
        <f t="shared" si="100"/>
        <v>9.5536076956135734</v>
      </c>
      <c r="M411" s="16">
        <f t="shared" si="101"/>
        <v>1.4353782354106007E-11</v>
      </c>
      <c r="N411" s="16">
        <f t="shared" si="102"/>
        <v>104502072206.13971</v>
      </c>
      <c r="O411" s="16">
        <f t="shared" si="104"/>
        <v>-60091389156.634125</v>
      </c>
      <c r="P411" s="18">
        <f t="shared" si="103"/>
        <v>-85496830611.451279</v>
      </c>
    </row>
    <row r="412" spans="1:16" x14ac:dyDescent="0.4">
      <c r="A412" s="14">
        <v>0.39900000000000002</v>
      </c>
      <c r="B412" s="44">
        <f t="shared" si="105"/>
        <v>2.5069909375646549</v>
      </c>
      <c r="C412" s="40">
        <f t="shared" si="91"/>
        <v>6.5964472988870086E-12</v>
      </c>
      <c r="D412" s="15">
        <f t="shared" si="92"/>
        <v>151596754235.98486</v>
      </c>
      <c r="E412" s="15">
        <f t="shared" si="93"/>
        <v>-122082061634.44952</v>
      </c>
      <c r="F412" s="29">
        <f t="shared" si="94"/>
        <v>89875169663.083588</v>
      </c>
      <c r="G412" s="17">
        <f t="shared" si="95"/>
        <v>10.409026372768448</v>
      </c>
      <c r="H412" s="16">
        <f t="shared" si="96"/>
        <v>1.5978623590362066E-11</v>
      </c>
      <c r="I412" s="16">
        <f t="shared" si="97"/>
        <v>62583613309.670601</v>
      </c>
      <c r="J412" s="16">
        <f t="shared" si="98"/>
        <v>-34639356288.241196</v>
      </c>
      <c r="K412" s="18">
        <f t="shared" si="99"/>
        <v>-52123158488.628304</v>
      </c>
      <c r="L412" s="17">
        <f t="shared" si="100"/>
        <v>9.5776117350497891</v>
      </c>
      <c r="M412" s="16">
        <f t="shared" si="101"/>
        <v>1.436627495965454E-11</v>
      </c>
      <c r="N412" s="16">
        <f t="shared" si="102"/>
        <v>104411199438.44301</v>
      </c>
      <c r="O412" s="16">
        <f t="shared" si="104"/>
        <v>-57790474959.232948</v>
      </c>
      <c r="P412" s="18">
        <f t="shared" si="103"/>
        <v>-86959528357.51004</v>
      </c>
    </row>
    <row r="413" spans="1:16" x14ac:dyDescent="0.4">
      <c r="A413" s="14">
        <v>0.4</v>
      </c>
      <c r="B413" s="44">
        <f t="shared" si="105"/>
        <v>2.5132741228718345</v>
      </c>
      <c r="C413" s="40">
        <f t="shared" si="91"/>
        <v>6.5960328486878146E-12</v>
      </c>
      <c r="D413" s="15">
        <f t="shared" si="92"/>
        <v>151606279553.16135</v>
      </c>
      <c r="E413" s="15">
        <f t="shared" si="93"/>
        <v>-122652056612.46663</v>
      </c>
      <c r="F413" s="29">
        <f t="shared" si="94"/>
        <v>89111935276.278168</v>
      </c>
      <c r="G413" s="17">
        <f t="shared" si="95"/>
        <v>10.435114158163858</v>
      </c>
      <c r="H413" s="16">
        <f t="shared" si="96"/>
        <v>1.6059873299884794E-11</v>
      </c>
      <c r="I413" s="16">
        <f t="shared" si="97"/>
        <v>62266991857.723656</v>
      </c>
      <c r="J413" s="16">
        <f t="shared" si="98"/>
        <v>-33099637757.792961</v>
      </c>
      <c r="K413" s="18">
        <f t="shared" si="99"/>
        <v>-52740802566.06559</v>
      </c>
      <c r="L413" s="17">
        <f t="shared" si="100"/>
        <v>9.6016157744860049</v>
      </c>
      <c r="M413" s="16">
        <f t="shared" si="101"/>
        <v>1.4380878966893031E-11</v>
      </c>
      <c r="N413" s="16">
        <f t="shared" si="102"/>
        <v>104305168234.37761</v>
      </c>
      <c r="O413" s="16">
        <f t="shared" si="104"/>
        <v>-55446122926.770317</v>
      </c>
      <c r="P413" s="18">
        <f t="shared" si="103"/>
        <v>-88347583853.726822</v>
      </c>
    </row>
    <row r="414" spans="1:16" x14ac:dyDescent="0.4">
      <c r="A414" s="14">
        <v>0.40100000000000002</v>
      </c>
      <c r="B414" s="44">
        <f t="shared" si="105"/>
        <v>2.5195573081790141</v>
      </c>
      <c r="C414" s="40">
        <f t="shared" si="91"/>
        <v>6.5956219672601732E-12</v>
      </c>
      <c r="D414" s="15">
        <f t="shared" si="92"/>
        <v>151615724030.86057</v>
      </c>
      <c r="E414" s="15">
        <f t="shared" si="93"/>
        <v>-123217214156.17879</v>
      </c>
      <c r="F414" s="29">
        <f t="shared" si="94"/>
        <v>88345038960.840607</v>
      </c>
      <c r="G414" s="17">
        <f t="shared" si="95"/>
        <v>10.461201943559267</v>
      </c>
      <c r="H414" s="16">
        <f t="shared" si="96"/>
        <v>1.6142464322724683E-11</v>
      </c>
      <c r="I414" s="16">
        <f t="shared" si="97"/>
        <v>61948410106.890678</v>
      </c>
      <c r="J414" s="16">
        <f t="shared" si="98"/>
        <v>-31550386365.621479</v>
      </c>
      <c r="K414" s="18">
        <f t="shared" si="99"/>
        <v>-53312087137.454315</v>
      </c>
      <c r="L414" s="17">
        <f t="shared" si="100"/>
        <v>9.6256198139222189</v>
      </c>
      <c r="M414" s="16">
        <f t="shared" si="101"/>
        <v>1.4397585961485494E-11</v>
      </c>
      <c r="N414" s="16">
        <f t="shared" si="102"/>
        <v>104184132257.49097</v>
      </c>
      <c r="O414" s="16">
        <f t="shared" si="104"/>
        <v>-53061081312.968529</v>
      </c>
      <c r="P414" s="18">
        <f t="shared" si="103"/>
        <v>-89659662413.734924</v>
      </c>
    </row>
    <row r="415" spans="1:16" x14ac:dyDescent="0.4">
      <c r="A415" s="14">
        <v>0.40200000000000002</v>
      </c>
      <c r="B415" s="44">
        <f t="shared" si="105"/>
        <v>2.5258404934861938</v>
      </c>
      <c r="C415" s="40">
        <f t="shared" si="91"/>
        <v>6.5952146708249807E-12</v>
      </c>
      <c r="D415" s="15">
        <f t="shared" si="92"/>
        <v>151625087265.72083</v>
      </c>
      <c r="E415" s="15">
        <f t="shared" si="93"/>
        <v>-123777510128.42616</v>
      </c>
      <c r="F415" s="29">
        <f t="shared" si="94"/>
        <v>87574511558.699615</v>
      </c>
      <c r="G415" s="17">
        <f t="shared" si="95"/>
        <v>10.487289728954677</v>
      </c>
      <c r="H415" s="16">
        <f t="shared" si="96"/>
        <v>1.6226340452886771E-11</v>
      </c>
      <c r="I415" s="16">
        <f t="shared" si="97"/>
        <v>61628190466.205429</v>
      </c>
      <c r="J415" s="16">
        <f t="shared" si="98"/>
        <v>-29993169975.055679</v>
      </c>
      <c r="K415" s="18">
        <f t="shared" si="99"/>
        <v>-53837195459.889183</v>
      </c>
      <c r="L415" s="17">
        <f t="shared" si="100"/>
        <v>9.6496238533584346</v>
      </c>
      <c r="M415" s="16">
        <f t="shared" si="101"/>
        <v>1.4416386317425619E-11</v>
      </c>
      <c r="N415" s="16">
        <f t="shared" si="102"/>
        <v>104048266116.93213</v>
      </c>
      <c r="O415" s="16">
        <f t="shared" si="104"/>
        <v>-50638146400.976448</v>
      </c>
      <c r="P415" s="18">
        <f t="shared" si="103"/>
        <v>-90894553252.72908</v>
      </c>
    </row>
    <row r="416" spans="1:16" x14ac:dyDescent="0.4">
      <c r="A416" s="14">
        <v>0.40300000000000002</v>
      </c>
      <c r="B416" s="44">
        <f t="shared" si="105"/>
        <v>2.5321236787933734</v>
      </c>
      <c r="C416" s="40">
        <f t="shared" si="91"/>
        <v>6.5948109754616007E-12</v>
      </c>
      <c r="D416" s="15">
        <f t="shared" si="92"/>
        <v>151634368857.70718</v>
      </c>
      <c r="E416" s="15">
        <f t="shared" si="93"/>
        <v>-124332920591.11069</v>
      </c>
      <c r="F416" s="29">
        <f t="shared" si="94"/>
        <v>86800384078.411545</v>
      </c>
      <c r="G416" s="17">
        <f t="shared" si="95"/>
        <v>10.513377514350086</v>
      </c>
      <c r="H416" s="16">
        <f t="shared" si="96"/>
        <v>1.6311444609816925E-11</v>
      </c>
      <c r="I416" s="16">
        <f t="shared" si="97"/>
        <v>61306648425.128281</v>
      </c>
      <c r="J416" s="16">
        <f t="shared" si="98"/>
        <v>-28429522799.792332</v>
      </c>
      <c r="K416" s="18">
        <f t="shared" si="99"/>
        <v>-54316363781.998253</v>
      </c>
      <c r="L416" s="17">
        <f t="shared" si="100"/>
        <v>9.6736278927946486</v>
      </c>
      <c r="M416" s="16">
        <f t="shared" si="101"/>
        <v>1.4437269202582955E-11</v>
      </c>
      <c r="N416" s="16">
        <f t="shared" si="102"/>
        <v>103897764802.47641</v>
      </c>
      <c r="O416" s="16">
        <f t="shared" si="104"/>
        <v>-48180155809.802505</v>
      </c>
      <c r="P416" s="18">
        <f t="shared" si="103"/>
        <v>-92051171188.061798</v>
      </c>
    </row>
    <row r="417" spans="1:16" x14ac:dyDescent="0.4">
      <c r="A417" s="14">
        <v>0.40400000000000003</v>
      </c>
      <c r="B417" s="44">
        <f t="shared" si="105"/>
        <v>2.5384068641005531</v>
      </c>
      <c r="C417" s="40">
        <f t="shared" si="91"/>
        <v>6.5944108971072372E-12</v>
      </c>
      <c r="D417" s="15">
        <f t="shared" si="92"/>
        <v>151643568410.13181</v>
      </c>
      <c r="E417" s="15">
        <f t="shared" si="93"/>
        <v>-124883421806.43999</v>
      </c>
      <c r="F417" s="29">
        <f t="shared" si="94"/>
        <v>86022687693.846863</v>
      </c>
      <c r="G417" s="17">
        <f t="shared" si="95"/>
        <v>10.539465299745496</v>
      </c>
      <c r="H417" s="16">
        <f t="shared" si="96"/>
        <v>1.6397718877247119E-11</v>
      </c>
      <c r="I417" s="16">
        <f t="shared" si="97"/>
        <v>60984092207.335243</v>
      </c>
      <c r="J417" s="16">
        <f t="shared" si="98"/>
        <v>-26860943720.284966</v>
      </c>
      <c r="K417" s="18">
        <f t="shared" si="99"/>
        <v>-54749878582.59095</v>
      </c>
      <c r="L417" s="17">
        <f t="shared" si="100"/>
        <v>9.6976319322308644</v>
      </c>
      <c r="M417" s="16">
        <f t="shared" si="101"/>
        <v>1.4460222584944016E-11</v>
      </c>
      <c r="N417" s="16">
        <f t="shared" si="102"/>
        <v>103732843058.84752</v>
      </c>
      <c r="O417" s="16">
        <f t="shared" si="104"/>
        <v>-45689981739.429893</v>
      </c>
      <c r="P417" s="18">
        <f t="shared" si="103"/>
        <v>-93128557906.380432</v>
      </c>
    </row>
    <row r="418" spans="1:16" x14ac:dyDescent="0.4">
      <c r="A418" s="14">
        <v>0.40500000000000003</v>
      </c>
      <c r="B418" s="44">
        <f t="shared" si="105"/>
        <v>2.5446900494077327</v>
      </c>
      <c r="C418" s="40">
        <f t="shared" si="91"/>
        <v>6.5940144515562965E-12</v>
      </c>
      <c r="D418" s="15">
        <f t="shared" si="92"/>
        <v>151652685529.67508</v>
      </c>
      <c r="E418" s="15">
        <f t="shared" si="93"/>
        <v>-125428990238.16321</v>
      </c>
      <c r="F418" s="29">
        <f t="shared" si="94"/>
        <v>85241453742.866684</v>
      </c>
      <c r="G418" s="17">
        <f t="shared" si="95"/>
        <v>10.565553085140907</v>
      </c>
      <c r="H418" s="16">
        <f t="shared" si="96"/>
        <v>1.6485104542609405E-11</v>
      </c>
      <c r="I418" s="16">
        <f t="shared" si="97"/>
        <v>60660822466.444084</v>
      </c>
      <c r="J418" s="16">
        <f t="shared" si="98"/>
        <v>-25288894804.07095</v>
      </c>
      <c r="K418" s="18">
        <f t="shared" si="99"/>
        <v>-55138073795.64579</v>
      </c>
      <c r="L418" s="17">
        <f t="shared" si="100"/>
        <v>9.7216359716670802</v>
      </c>
      <c r="M418" s="16">
        <f t="shared" si="101"/>
        <v>1.4485233239544719E-11</v>
      </c>
      <c r="N418" s="16">
        <f t="shared" si="102"/>
        <v>103553734703.07655</v>
      </c>
      <c r="O418" s="16">
        <f t="shared" si="104"/>
        <v>-43170524186.733551</v>
      </c>
      <c r="P418" s="18">
        <f t="shared" si="103"/>
        <v>-94125882797.442139</v>
      </c>
    </row>
    <row r="419" spans="1:16" x14ac:dyDescent="0.4">
      <c r="A419" s="14">
        <v>0.40600000000000003</v>
      </c>
      <c r="B419" s="44">
        <f t="shared" si="105"/>
        <v>2.5509732347149123</v>
      </c>
      <c r="C419" s="40">
        <f t="shared" si="91"/>
        <v>6.5936216544597718E-12</v>
      </c>
      <c r="D419" s="15">
        <f t="shared" si="92"/>
        <v>151661719826.40576</v>
      </c>
      <c r="E419" s="15">
        <f t="shared" si="93"/>
        <v>-125969602552.79692</v>
      </c>
      <c r="F419" s="29">
        <f t="shared" si="94"/>
        <v>84456713725.988525</v>
      </c>
      <c r="G419" s="17">
        <f t="shared" si="95"/>
        <v>10.591640870536317</v>
      </c>
      <c r="H419" s="16">
        <f t="shared" si="96"/>
        <v>1.6573542136991798E-11</v>
      </c>
      <c r="I419" s="16">
        <f t="shared" si="97"/>
        <v>60337132022.491501</v>
      </c>
      <c r="J419" s="16">
        <f t="shared" si="98"/>
        <v>-23714800024.269653</v>
      </c>
      <c r="K419" s="18">
        <f t="shared" si="99"/>
        <v>-55481328034.830505</v>
      </c>
      <c r="L419" s="17">
        <f t="shared" si="100"/>
        <v>9.7456400111032959</v>
      </c>
      <c r="M419" s="16">
        <f t="shared" si="101"/>
        <v>1.4512286756090158E-11</v>
      </c>
      <c r="N419" s="16">
        <f t="shared" si="102"/>
        <v>103360691888.92764</v>
      </c>
      <c r="O419" s="16">
        <f t="shared" si="104"/>
        <v>-40624704163.969193</v>
      </c>
      <c r="P419" s="18">
        <f t="shared" si="103"/>
        <v>-95042443357.416992</v>
      </c>
    </row>
    <row r="420" spans="1:16" x14ac:dyDescent="0.4">
      <c r="A420" s="14">
        <v>0.40699999999999997</v>
      </c>
      <c r="B420" s="44">
        <f t="shared" si="105"/>
        <v>2.5572564200220915</v>
      </c>
      <c r="C420" s="40">
        <f t="shared" si="91"/>
        <v>6.5932325213246201E-12</v>
      </c>
      <c r="D420" s="15">
        <f t="shared" si="92"/>
        <v>151670670913.80148</v>
      </c>
      <c r="E420" s="15">
        <f t="shared" si="93"/>
        <v>-126505235620.8423</v>
      </c>
      <c r="F420" s="29">
        <f t="shared" si="94"/>
        <v>83668499305.042175</v>
      </c>
      <c r="G420" s="17">
        <f t="shared" si="95"/>
        <v>10.617728655931725</v>
      </c>
      <c r="H420" s="16">
        <f t="shared" si="96"/>
        <v>1.6662971475608912E-11</v>
      </c>
      <c r="I420" s="16">
        <f t="shared" si="97"/>
        <v>60013305637.820351</v>
      </c>
      <c r="J420" s="16">
        <f t="shared" si="98"/>
        <v>-22140044169.730305</v>
      </c>
      <c r="K420" s="18">
        <f t="shared" si="99"/>
        <v>-55780061829.840515</v>
      </c>
      <c r="L420" s="17">
        <f t="shared" si="100"/>
        <v>9.7696440505395081</v>
      </c>
      <c r="M420" s="16">
        <f t="shared" si="101"/>
        <v>1.4541367547257342E-11</v>
      </c>
      <c r="N420" s="16">
        <f t="shared" si="102"/>
        <v>103153984322.67233</v>
      </c>
      <c r="O420" s="16">
        <f t="shared" si="104"/>
        <v>-38055456951.005913</v>
      </c>
      <c r="P420" s="18">
        <f t="shared" si="103"/>
        <v>-95877665167.088135</v>
      </c>
    </row>
    <row r="421" spans="1:16" x14ac:dyDescent="0.4">
      <c r="A421" s="14">
        <v>0.40799999999999997</v>
      </c>
      <c r="B421" s="44">
        <f t="shared" si="105"/>
        <v>2.5635396053292712</v>
      </c>
      <c r="C421" s="40">
        <f t="shared" si="91"/>
        <v>6.59284706751315E-12</v>
      </c>
      <c r="D421" s="15">
        <f t="shared" si="92"/>
        <v>151679538408.76886</v>
      </c>
      <c r="E421" s="15">
        <f t="shared" si="93"/>
        <v>-127035866517.99294</v>
      </c>
      <c r="F421" s="29">
        <f t="shared" si="94"/>
        <v>82876842301.814758</v>
      </c>
      <c r="G421" s="17">
        <f t="shared" si="95"/>
        <v>10.643816441327134</v>
      </c>
      <c r="H421" s="16">
        <f t="shared" si="96"/>
        <v>1.675333169875975E-11</v>
      </c>
      <c r="I421" s="16">
        <f t="shared" si="97"/>
        <v>59689619830.903847</v>
      </c>
      <c r="J421" s="16">
        <f t="shared" si="98"/>
        <v>-20565971939.665737</v>
      </c>
      <c r="K421" s="18">
        <f t="shared" si="99"/>
        <v>-56034734885.914391</v>
      </c>
      <c r="L421" s="17">
        <f t="shared" si="100"/>
        <v>9.7936480899757239</v>
      </c>
      <c r="M421" s="16">
        <f t="shared" si="101"/>
        <v>1.4572458857676085E-11</v>
      </c>
      <c r="N421" s="16">
        <f t="shared" si="102"/>
        <v>102933898434.70862</v>
      </c>
      <c r="O421" s="16">
        <f t="shared" si="104"/>
        <v>-35465725411.650101</v>
      </c>
      <c r="P421" s="18">
        <f t="shared" si="103"/>
        <v>-96631101452.857025</v>
      </c>
    </row>
    <row r="422" spans="1:16" x14ac:dyDescent="0.4">
      <c r="A422" s="14">
        <v>0.40899999999999997</v>
      </c>
      <c r="B422" s="44">
        <f t="shared" si="105"/>
        <v>2.5698227906364508</v>
      </c>
      <c r="C422" s="40">
        <f t="shared" si="91"/>
        <v>6.5924653082424184E-12</v>
      </c>
      <c r="D422" s="15">
        <f t="shared" si="92"/>
        <v>151688321931.66364</v>
      </c>
      <c r="E422" s="15">
        <f t="shared" si="93"/>
        <v>-127561472526.33307</v>
      </c>
      <c r="F422" s="29">
        <f t="shared" si="94"/>
        <v>82081774696.686478</v>
      </c>
      <c r="G422" s="17">
        <f t="shared" si="95"/>
        <v>10.669904226722544</v>
      </c>
      <c r="H422" s="16">
        <f t="shared" si="96"/>
        <v>1.6844561313244771E-11</v>
      </c>
      <c r="I422" s="16">
        <f t="shared" si="97"/>
        <v>59366342726.521851</v>
      </c>
      <c r="J422" s="16">
        <f t="shared" si="98"/>
        <v>-18993887215.065327</v>
      </c>
      <c r="K422" s="18">
        <f t="shared" si="99"/>
        <v>-56245843376.948593</v>
      </c>
      <c r="L422" s="17">
        <f t="shared" si="100"/>
        <v>9.8176521294119379</v>
      </c>
      <c r="M422" s="16">
        <f t="shared" si="101"/>
        <v>1.4605542773582857E-11</v>
      </c>
      <c r="N422" s="16">
        <f t="shared" si="102"/>
        <v>102700736511.69336</v>
      </c>
      <c r="O422" s="16">
        <f t="shared" si="104"/>
        <v>-32858453403.358772</v>
      </c>
      <c r="P422" s="18">
        <f t="shared" si="103"/>
        <v>-97302432240.841568</v>
      </c>
    </row>
    <row r="423" spans="1:16" x14ac:dyDescent="0.4">
      <c r="A423" s="14">
        <v>0.41</v>
      </c>
      <c r="B423" s="44">
        <f t="shared" si="105"/>
        <v>2.57610597594363</v>
      </c>
      <c r="C423" s="40">
        <f t="shared" si="91"/>
        <v>6.5920872585836278E-12</v>
      </c>
      <c r="D423" s="15">
        <f t="shared" si="92"/>
        <v>151697021106.31033</v>
      </c>
      <c r="E423" s="15">
        <f t="shared" si="93"/>
        <v>-128082031135.52637</v>
      </c>
      <c r="F423" s="29">
        <f t="shared" si="94"/>
        <v>81283328627.255524</v>
      </c>
      <c r="G423" s="17">
        <f t="shared" si="95"/>
        <v>10.695992012117951</v>
      </c>
      <c r="H423" s="16">
        <f t="shared" si="96"/>
        <v>1.6936598234214115E-11</v>
      </c>
      <c r="I423" s="16">
        <f t="shared" si="97"/>
        <v>59043733940.613342</v>
      </c>
      <c r="J423" s="16">
        <f t="shared" si="98"/>
        <v>-17425052498.736794</v>
      </c>
      <c r="K423" s="18">
        <f t="shared" si="99"/>
        <v>-56413917281.697456</v>
      </c>
      <c r="L423" s="17">
        <f t="shared" si="100"/>
        <v>9.8416561688481519</v>
      </c>
      <c r="M423" s="16">
        <f t="shared" si="101"/>
        <v>1.4640600233142124E-11</v>
      </c>
      <c r="N423" s="16">
        <f t="shared" si="102"/>
        <v>102454815793.9884</v>
      </c>
      <c r="O423" s="16">
        <f t="shared" si="104"/>
        <v>-30236579308.386982</v>
      </c>
      <c r="P423" s="18">
        <f t="shared" si="103"/>
        <v>-97891463116.5952</v>
      </c>
    </row>
    <row r="424" spans="1:16" x14ac:dyDescent="0.4">
      <c r="A424" s="14">
        <v>0.41099999999999998</v>
      </c>
      <c r="B424" s="44">
        <f t="shared" si="105"/>
        <v>2.5823891612508096</v>
      </c>
      <c r="C424" s="40">
        <f t="shared" si="91"/>
        <v>6.5917129334615319E-12</v>
      </c>
      <c r="D424" s="15">
        <f t="shared" si="92"/>
        <v>151705635560.02219</v>
      </c>
      <c r="E424" s="15">
        <f t="shared" si="93"/>
        <v>-128597520043.99538</v>
      </c>
      <c r="F424" s="29">
        <f t="shared" si="94"/>
        <v>80481536386.953201</v>
      </c>
      <c r="G424" s="17">
        <f t="shared" si="95"/>
        <v>10.722079797513363</v>
      </c>
      <c r="H424" s="16">
        <f t="shared" si="96"/>
        <v>1.702937982741848E-11</v>
      </c>
      <c r="I424" s="16">
        <f t="shared" si="97"/>
        <v>58722044498.058044</v>
      </c>
      <c r="J424" s="16">
        <f t="shared" si="98"/>
        <v>-15860688515.481062</v>
      </c>
      <c r="K424" s="18">
        <f t="shared" si="99"/>
        <v>-56539517771.615242</v>
      </c>
      <c r="L424" s="17">
        <f t="shared" si="100"/>
        <v>9.8656602082843676</v>
      </c>
      <c r="M424" s="16">
        <f t="shared" si="101"/>
        <v>1.467761103742912E-11</v>
      </c>
      <c r="N424" s="16">
        <f t="shared" si="102"/>
        <v>102196467543.31316</v>
      </c>
      <c r="O424" s="16">
        <f t="shared" si="104"/>
        <v>-27603029712.982216</v>
      </c>
      <c r="P424" s="18">
        <f t="shared" si="103"/>
        <v>-98398123605.054993</v>
      </c>
    </row>
    <row r="425" spans="1:16" x14ac:dyDescent="0.4">
      <c r="A425" s="14">
        <v>0.41199999999999998</v>
      </c>
      <c r="B425" s="44">
        <f t="shared" si="105"/>
        <v>2.5886723465579893</v>
      </c>
      <c r="C425" s="40">
        <f t="shared" si="91"/>
        <v>6.5913423476538446E-12</v>
      </c>
      <c r="D425" s="15">
        <f t="shared" si="92"/>
        <v>151714164923.62061</v>
      </c>
      <c r="E425" s="15">
        <f t="shared" si="93"/>
        <v>-129107917160.09091</v>
      </c>
      <c r="F425" s="29">
        <f t="shared" si="94"/>
        <v>79676430423.64949</v>
      </c>
      <c r="G425" s="17">
        <f t="shared" si="95"/>
        <v>10.748167582908772</v>
      </c>
      <c r="H425" s="16">
        <f t="shared" si="96"/>
        <v>1.7122842951833781E-11</v>
      </c>
      <c r="I425" s="16">
        <f t="shared" si="97"/>
        <v>58401516781.587044</v>
      </c>
      <c r="J425" s="16">
        <f t="shared" si="98"/>
        <v>-14301973963.646635</v>
      </c>
      <c r="K425" s="18">
        <f t="shared" si="99"/>
        <v>-56623234657.984406</v>
      </c>
      <c r="L425" s="17">
        <f t="shared" si="100"/>
        <v>9.8896642477205834</v>
      </c>
      <c r="M425" s="16">
        <f t="shared" si="101"/>
        <v>1.4716553862067781E-11</v>
      </c>
      <c r="N425" s="16">
        <f t="shared" si="102"/>
        <v>101926036085.54587</v>
      </c>
      <c r="O425" s="16">
        <f t="shared" si="104"/>
        <v>-24960713259.638916</v>
      </c>
      <c r="P425" s="18">
        <f t="shared" si="103"/>
        <v>-98822465187.234039</v>
      </c>
    </row>
    <row r="426" spans="1:16" x14ac:dyDescent="0.4">
      <c r="A426" s="14">
        <v>0.41299999999999998</v>
      </c>
      <c r="B426" s="44">
        <f t="shared" si="105"/>
        <v>2.5949555318651689</v>
      </c>
      <c r="C426" s="40">
        <f t="shared" si="91"/>
        <v>6.5909755157906591E-12</v>
      </c>
      <c r="D426" s="15">
        <f t="shared" si="92"/>
        <v>151722608831.45447</v>
      </c>
      <c r="E426" s="15">
        <f t="shared" si="93"/>
        <v>-129613200603.25171</v>
      </c>
      <c r="F426" s="29">
        <f t="shared" si="94"/>
        <v>78868043338.248093</v>
      </c>
      <c r="G426" s="17">
        <f t="shared" si="95"/>
        <v>10.774255368304182</v>
      </c>
      <c r="H426" s="16">
        <f t="shared" si="96"/>
        <v>1.7216924002630843E-11</v>
      </c>
      <c r="I426" s="16">
        <f t="shared" si="97"/>
        <v>58082384509.985313</v>
      </c>
      <c r="J426" s="16">
        <f t="shared" si="98"/>
        <v>-12750045409.129303</v>
      </c>
      <c r="K426" s="18">
        <f t="shared" si="99"/>
        <v>-56665683905.084236</v>
      </c>
      <c r="L426" s="17">
        <f t="shared" si="100"/>
        <v>9.9136682871567974</v>
      </c>
      <c r="M426" s="16">
        <f t="shared" si="101"/>
        <v>1.4757406269517132E-11</v>
      </c>
      <c r="N426" s="16">
        <f t="shared" si="102"/>
        <v>101643877833.62697</v>
      </c>
      <c r="O426" s="16">
        <f t="shared" si="104"/>
        <v>-22312514695.672279</v>
      </c>
      <c r="P426" s="18">
        <f t="shared" si="103"/>
        <v>-99164658971.897308</v>
      </c>
    </row>
    <row r="427" spans="1:16" x14ac:dyDescent="0.4">
      <c r="A427" s="14">
        <v>0.41399999999999998</v>
      </c>
      <c r="B427" s="44">
        <f t="shared" si="105"/>
        <v>2.6012387171723486</v>
      </c>
      <c r="C427" s="40">
        <f t="shared" si="91"/>
        <v>6.5906124523538698E-12</v>
      </c>
      <c r="D427" s="15">
        <f t="shared" si="92"/>
        <v>151730966921.41943</v>
      </c>
      <c r="E427" s="15">
        <f t="shared" si="93"/>
        <v>-130113348705.15443</v>
      </c>
      <c r="F427" s="29">
        <f t="shared" si="94"/>
        <v>78056407883.272217</v>
      </c>
      <c r="G427" s="17">
        <f t="shared" si="95"/>
        <v>10.800343153699592</v>
      </c>
      <c r="H427" s="16">
        <f t="shared" si="96"/>
        <v>1.731155895446059E-11</v>
      </c>
      <c r="I427" s="16">
        <f t="shared" si="97"/>
        <v>57764872743.730255</v>
      </c>
      <c r="J427" s="16">
        <f t="shared" si="98"/>
        <v>-11205997312.791929</v>
      </c>
      <c r="K427" s="18">
        <f t="shared" si="99"/>
        <v>-56667505215.291161</v>
      </c>
      <c r="L427" s="17">
        <f t="shared" si="100"/>
        <v>9.9376723265930131</v>
      </c>
      <c r="M427" s="16">
        <f t="shared" si="101"/>
        <v>1.4800144721999055E-11</v>
      </c>
      <c r="N427" s="16">
        <f t="shared" si="102"/>
        <v>101350360295.49007</v>
      </c>
      <c r="O427" s="16">
        <f t="shared" si="104"/>
        <v>-19661289139.514755</v>
      </c>
      <c r="P427" s="18">
        <f t="shared" si="103"/>
        <v>-99424993041.9814</v>
      </c>
    </row>
    <row r="428" spans="1:16" x14ac:dyDescent="0.4">
      <c r="A428" s="14">
        <v>0.41499999999999998</v>
      </c>
      <c r="B428" s="44">
        <f t="shared" si="105"/>
        <v>2.6075219024795282</v>
      </c>
      <c r="C428" s="40">
        <f t="shared" si="91"/>
        <v>6.5902531716765991E-12</v>
      </c>
      <c r="D428" s="15">
        <f t="shared" si="92"/>
        <v>151739238834.97699</v>
      </c>
      <c r="E428" s="15">
        <f t="shared" si="93"/>
        <v>-130608340010.85361</v>
      </c>
      <c r="F428" s="29">
        <f t="shared" si="94"/>
        <v>77241556961.44043</v>
      </c>
      <c r="G428" s="17">
        <f t="shared" si="95"/>
        <v>10.826430939095001</v>
      </c>
      <c r="H428" s="16">
        <f t="shared" si="96"/>
        <v>1.7406683405025506E-11</v>
      </c>
      <c r="I428" s="16">
        <f t="shared" si="97"/>
        <v>57449197916.203194</v>
      </c>
      <c r="J428" s="16">
        <f t="shared" si="98"/>
        <v>-9670882182.245163</v>
      </c>
      <c r="K428" s="18">
        <f t="shared" si="99"/>
        <v>-56629359691.172722</v>
      </c>
      <c r="L428" s="17">
        <f t="shared" si="100"/>
        <v>9.9616763660292289</v>
      </c>
      <c r="M428" s="16">
        <f t="shared" si="101"/>
        <v>1.4844744595059941E-11</v>
      </c>
      <c r="N428" s="16">
        <f t="shared" si="102"/>
        <v>101045861071.88213</v>
      </c>
      <c r="O428" s="16">
        <f t="shared" si="104"/>
        <v>-17009856584.160786</v>
      </c>
      <c r="P428" s="18">
        <f t="shared" si="103"/>
        <v>-99603869496.844269</v>
      </c>
    </row>
    <row r="429" spans="1:16" x14ac:dyDescent="0.4">
      <c r="A429" s="14">
        <v>0.41599999999999998</v>
      </c>
      <c r="B429" s="44">
        <f t="shared" si="105"/>
        <v>2.6138050877867078</v>
      </c>
      <c r="C429" s="40">
        <f t="shared" si="91"/>
        <v>6.5898976879426348E-12</v>
      </c>
      <c r="D429" s="15">
        <f t="shared" si="92"/>
        <v>151747424217.17322</v>
      </c>
      <c r="E429" s="15">
        <f t="shared" si="93"/>
        <v>-131098153279.91109</v>
      </c>
      <c r="F429" s="29">
        <f t="shared" si="94"/>
        <v>76423523624.232773</v>
      </c>
      <c r="G429" s="17">
        <f t="shared" si="95"/>
        <v>10.852518724490411</v>
      </c>
      <c r="H429" s="16">
        <f t="shared" si="96"/>
        <v>1.750223261890755E-11</v>
      </c>
      <c r="I429" s="16">
        <f t="shared" si="97"/>
        <v>57135567888.619331</v>
      </c>
      <c r="J429" s="16">
        <f t="shared" si="98"/>
        <v>-8145710838.9693956</v>
      </c>
      <c r="K429" s="18">
        <f t="shared" si="99"/>
        <v>-56551927578.844955</v>
      </c>
      <c r="L429" s="17">
        <f t="shared" si="100"/>
        <v>9.9856804054654429</v>
      </c>
      <c r="M429" s="16">
        <f t="shared" si="101"/>
        <v>1.4891180191758479E-11</v>
      </c>
      <c r="N429" s="16">
        <f t="shared" si="102"/>
        <v>100730766848.83411</v>
      </c>
      <c r="O429" s="16">
        <f t="shared" si="104"/>
        <v>-14360996655.144558</v>
      </c>
      <c r="P429" s="18">
        <f t="shared" si="103"/>
        <v>-99701801212.541306</v>
      </c>
    </row>
    <row r="430" spans="1:16" x14ac:dyDescent="0.4">
      <c r="A430" s="14">
        <v>0.41699999999999998</v>
      </c>
      <c r="B430" s="44">
        <f t="shared" si="105"/>
        <v>2.6200882730938875</v>
      </c>
      <c r="C430" s="40">
        <f t="shared" si="91"/>
        <v>6.5895460151858628E-12</v>
      </c>
      <c r="D430" s="15">
        <f t="shared" si="92"/>
        <v>151755522716.65778</v>
      </c>
      <c r="E430" s="15">
        <f t="shared" si="93"/>
        <v>-131582767487.51616</v>
      </c>
      <c r="F430" s="29">
        <f t="shared" si="94"/>
        <v>75602341070.447662</v>
      </c>
      <c r="G430" s="17">
        <f t="shared" si="95"/>
        <v>10.878606509885822</v>
      </c>
      <c r="H430" s="16">
        <f t="shared" si="96"/>
        <v>1.7598141571622838E-11</v>
      </c>
      <c r="I430" s="16">
        <f t="shared" si="97"/>
        <v>56824182026.84021</v>
      </c>
      <c r="J430" s="16">
        <f t="shared" si="98"/>
        <v>-6631452791.851263</v>
      </c>
      <c r="K430" s="18">
        <f t="shared" si="99"/>
        <v>-56435906096.109756</v>
      </c>
      <c r="L430" s="17">
        <f t="shared" si="100"/>
        <v>10.00968444490166</v>
      </c>
      <c r="M430" s="16">
        <f t="shared" si="101"/>
        <v>1.4939424757471384E-11</v>
      </c>
      <c r="N430" s="16">
        <f t="shared" si="102"/>
        <v>100405472389.4126</v>
      </c>
      <c r="O430" s="16">
        <f t="shared" si="104"/>
        <v>-11717443638.3337</v>
      </c>
      <c r="P430" s="18">
        <f t="shared" si="103"/>
        <v>-99719408343.228592</v>
      </c>
    </row>
    <row r="431" spans="1:16" x14ac:dyDescent="0.4">
      <c r="A431" s="14">
        <v>0.41799999999999998</v>
      </c>
      <c r="B431" s="44">
        <f t="shared" si="105"/>
        <v>2.6263714584010671</v>
      </c>
      <c r="C431" s="40">
        <f t="shared" si="91"/>
        <v>6.5891981672897235E-12</v>
      </c>
      <c r="D431" s="15">
        <f t="shared" si="92"/>
        <v>151763533985.70212</v>
      </c>
      <c r="E431" s="15">
        <f t="shared" si="93"/>
        <v>-132062161825.59444</v>
      </c>
      <c r="F431" s="29">
        <f t="shared" si="94"/>
        <v>74778042644.74881</v>
      </c>
      <c r="G431" s="17">
        <f t="shared" si="95"/>
        <v>10.904694295281232</v>
      </c>
      <c r="H431" s="16">
        <f t="shared" si="96"/>
        <v>1.7694344993872976E-11</v>
      </c>
      <c r="I431" s="16">
        <f t="shared" si="97"/>
        <v>56515231298.263382</v>
      </c>
      <c r="J431" s="16">
        <f t="shared" si="98"/>
        <v>-5129036708.354394</v>
      </c>
      <c r="K431" s="18">
        <f t="shared" si="99"/>
        <v>-56282007348.179771</v>
      </c>
      <c r="L431" s="17">
        <f t="shared" si="100"/>
        <v>10.033688484337874</v>
      </c>
      <c r="M431" s="16">
        <f t="shared" si="101"/>
        <v>1.4989450495308459E-11</v>
      </c>
      <c r="N431" s="16">
        <f t="shared" si="102"/>
        <v>100070379529.22186</v>
      </c>
      <c r="O431" s="16">
        <f t="shared" si="104"/>
        <v>-9081881790.6900558</v>
      </c>
      <c r="P431" s="18">
        <f t="shared" si="103"/>
        <v>-99657414587.487854</v>
      </c>
    </row>
    <row r="432" spans="1:16" x14ac:dyDescent="0.4">
      <c r="A432" s="14">
        <v>0.41899999999999998</v>
      </c>
      <c r="B432" s="44">
        <f t="shared" si="105"/>
        <v>2.6326546437082463</v>
      </c>
      <c r="C432" s="40">
        <f t="shared" si="91"/>
        <v>6.5888541579866559E-12</v>
      </c>
      <c r="D432" s="15">
        <f t="shared" si="92"/>
        <v>151771457680.21799</v>
      </c>
      <c r="E432" s="15">
        <f t="shared" si="93"/>
        <v>-132536315703.90703</v>
      </c>
      <c r="F432" s="29">
        <f t="shared" si="94"/>
        <v>73950661836.203217</v>
      </c>
      <c r="G432" s="17">
        <f t="shared" si="95"/>
        <v>10.930782080676639</v>
      </c>
      <c r="H432" s="16">
        <f t="shared" si="96"/>
        <v>1.7790777415963074E-11</v>
      </c>
      <c r="I432" s="16">
        <f t="shared" si="97"/>
        <v>56208898387.022324</v>
      </c>
      <c r="J432" s="16">
        <f t="shared" si="98"/>
        <v>-3639350974.7325768</v>
      </c>
      <c r="K432" s="18">
        <f t="shared" si="99"/>
        <v>-56090956333.131935</v>
      </c>
      <c r="L432" s="17">
        <f t="shared" si="100"/>
        <v>10.057692523774088</v>
      </c>
      <c r="M432" s="16">
        <f t="shared" si="101"/>
        <v>1.5041228582128277E-11</v>
      </c>
      <c r="N432" s="16">
        <f t="shared" si="102"/>
        <v>99725896179.935303</v>
      </c>
      <c r="O432" s="16">
        <f t="shared" si="104"/>
        <v>-6456940945.0003281</v>
      </c>
      <c r="P432" s="18">
        <f t="shared" si="103"/>
        <v>-99516643243.851486</v>
      </c>
    </row>
    <row r="433" spans="1:16" x14ac:dyDescent="0.4">
      <c r="A433" s="14">
        <v>0.42</v>
      </c>
      <c r="B433" s="44">
        <f t="shared" si="105"/>
        <v>2.638937829015426</v>
      </c>
      <c r="C433" s="40">
        <f t="shared" si="91"/>
        <v>6.5885140008575577E-12</v>
      </c>
      <c r="D433" s="15">
        <f t="shared" si="92"/>
        <v>151779293459.77567</v>
      </c>
      <c r="E433" s="15">
        <f t="shared" si="93"/>
        <v>-133005208751.13928</v>
      </c>
      <c r="F433" s="29">
        <f t="shared" si="94"/>
        <v>73120232276.809418</v>
      </c>
      <c r="G433" s="17">
        <f t="shared" si="95"/>
        <v>10.956869866072049</v>
      </c>
      <c r="H433" s="16">
        <f t="shared" si="96"/>
        <v>1.788737321235608E-11</v>
      </c>
      <c r="I433" s="16">
        <f t="shared" si="97"/>
        <v>55905357825.777847</v>
      </c>
      <c r="J433" s="16">
        <f t="shared" si="98"/>
        <v>-2163244336.9262767</v>
      </c>
      <c r="K433" s="18">
        <f t="shared" si="99"/>
        <v>-55863489038.611053</v>
      </c>
      <c r="L433" s="17">
        <f t="shared" si="100"/>
        <v>10.081696563210302</v>
      </c>
      <c r="M433" s="16">
        <f t="shared" si="101"/>
        <v>1.5094729185145083E-11</v>
      </c>
      <c r="N433" s="16">
        <f t="shared" si="102"/>
        <v>99372435344.926178</v>
      </c>
      <c r="O433" s="16">
        <f t="shared" si="104"/>
        <v>-3845192417.4495368</v>
      </c>
      <c r="P433" s="18">
        <f t="shared" si="103"/>
        <v>-99298013080.093002</v>
      </c>
    </row>
    <row r="434" spans="1:16" x14ac:dyDescent="0.4">
      <c r="A434" s="14">
        <v>0.42099999999999999</v>
      </c>
      <c r="B434" s="44">
        <f t="shared" si="105"/>
        <v>2.6452210143226056</v>
      </c>
      <c r="C434" s="40">
        <f t="shared" si="91"/>
        <v>6.5881777093312498E-12</v>
      </c>
      <c r="D434" s="15">
        <f t="shared" si="92"/>
        <v>151787040987.62201</v>
      </c>
      <c r="E434" s="15">
        <f t="shared" si="93"/>
        <v>-133468820815.97849</v>
      </c>
      <c r="F434" s="29">
        <f t="shared" si="94"/>
        <v>72286787740.016998</v>
      </c>
      <c r="G434" s="17">
        <f t="shared" si="95"/>
        <v>10.982957651467459</v>
      </c>
      <c r="H434" s="16">
        <f t="shared" si="96"/>
        <v>1.7984066646333166E-11</v>
      </c>
      <c r="I434" s="16">
        <f t="shared" si="97"/>
        <v>55604776142.435699</v>
      </c>
      <c r="J434" s="16">
        <f t="shared" si="98"/>
        <v>-701526614.04513299</v>
      </c>
      <c r="K434" s="18">
        <f t="shared" si="99"/>
        <v>-55600350630.730492</v>
      </c>
      <c r="L434" s="17">
        <f t="shared" si="100"/>
        <v>10.105700602646518</v>
      </c>
      <c r="M434" s="16">
        <f t="shared" si="101"/>
        <v>1.5149921479117425E-11</v>
      </c>
      <c r="N434" s="16">
        <f t="shared" si="102"/>
        <v>99010414150.831894</v>
      </c>
      <c r="O434" s="16">
        <f t="shared" si="104"/>
        <v>-1249145224.8007715</v>
      </c>
      <c r="P434" s="18">
        <f t="shared" si="103"/>
        <v>-99002534040.935577</v>
      </c>
    </row>
    <row r="435" spans="1:16" x14ac:dyDescent="0.4">
      <c r="A435" s="14">
        <v>0.42199999999999999</v>
      </c>
      <c r="B435" s="44">
        <f t="shared" si="105"/>
        <v>2.6515041996297852</v>
      </c>
      <c r="C435" s="40">
        <f t="shared" si="91"/>
        <v>6.5878452966839478E-12</v>
      </c>
      <c r="D435" s="15">
        <f t="shared" si="92"/>
        <v>151794699930.698</v>
      </c>
      <c r="E435" s="15">
        <f t="shared" si="93"/>
        <v>-133927131968.18124</v>
      </c>
      <c r="F435" s="29">
        <f t="shared" si="94"/>
        <v>71450362139.236313</v>
      </c>
      <c r="G435" s="17">
        <f t="shared" si="95"/>
        <v>11.009045436862868</v>
      </c>
      <c r="H435" s="16">
        <f t="shared" si="96"/>
        <v>1.8080791914729817E-11</v>
      </c>
      <c r="I435" s="16">
        <f t="shared" si="97"/>
        <v>55307312020.18499</v>
      </c>
      <c r="J435" s="16">
        <f t="shared" si="98"/>
        <v>745030523.37105954</v>
      </c>
      <c r="K435" s="18">
        <f t="shared" si="99"/>
        <v>-55302293735.588806</v>
      </c>
      <c r="L435" s="17">
        <f t="shared" si="100"/>
        <v>10.129704642082732</v>
      </c>
      <c r="M435" s="16">
        <f t="shared" si="101"/>
        <v>1.5206773664108634E-11</v>
      </c>
      <c r="N435" s="16">
        <f t="shared" si="102"/>
        <v>98640252898.636444</v>
      </c>
      <c r="O435" s="16">
        <f t="shared" si="104"/>
        <v>1328757384.1177423</v>
      </c>
      <c r="P435" s="18">
        <f t="shared" si="103"/>
        <v>-98631302818.735535</v>
      </c>
    </row>
    <row r="436" spans="1:16" x14ac:dyDescent="0.4">
      <c r="A436" s="14">
        <v>0.42299999999999999</v>
      </c>
      <c r="B436" s="44">
        <f t="shared" si="105"/>
        <v>2.6577873849369649</v>
      </c>
      <c r="C436" s="40">
        <f t="shared" si="91"/>
        <v>6.5875167760387308E-12</v>
      </c>
      <c r="D436" s="15">
        <f t="shared" si="92"/>
        <v>151802269959.65689</v>
      </c>
      <c r="E436" s="15">
        <f t="shared" si="93"/>
        <v>-134380122499.63043</v>
      </c>
      <c r="F436" s="29">
        <f t="shared" si="94"/>
        <v>70610989526.339798</v>
      </c>
      <c r="G436" s="17">
        <f t="shared" si="95"/>
        <v>11.035133222258278</v>
      </c>
      <c r="H436" s="16">
        <f t="shared" si="96"/>
        <v>1.8177483192717127E-11</v>
      </c>
      <c r="I436" s="16">
        <f t="shared" si="97"/>
        <v>55013116469.317024</v>
      </c>
      <c r="J436" s="16">
        <f t="shared" si="98"/>
        <v>2175692717.8035188</v>
      </c>
      <c r="K436" s="18">
        <f t="shared" si="99"/>
        <v>-54970076813.338516</v>
      </c>
      <c r="L436" s="17">
        <f t="shared" si="100"/>
        <v>10.153708681518948</v>
      </c>
      <c r="M436" s="16">
        <f t="shared" si="101"/>
        <v>1.5265252983808869E-11</v>
      </c>
      <c r="N436" s="16">
        <f t="shared" si="102"/>
        <v>98262374137.590714</v>
      </c>
      <c r="O436" s="16">
        <f t="shared" si="104"/>
        <v>3886141079.9091763</v>
      </c>
      <c r="P436" s="18">
        <f t="shared" si="103"/>
        <v>-98185498311.425293</v>
      </c>
    </row>
    <row r="437" spans="1:16" x14ac:dyDescent="0.4">
      <c r="A437" s="14">
        <v>0.42399999999999999</v>
      </c>
      <c r="B437" s="44">
        <f t="shared" si="105"/>
        <v>2.6640705702441445</v>
      </c>
      <c r="C437" s="40">
        <f t="shared" si="91"/>
        <v>6.5871921603650339E-12</v>
      </c>
      <c r="D437" s="15">
        <f t="shared" si="92"/>
        <v>151809750748.8812</v>
      </c>
      <c r="E437" s="15">
        <f t="shared" si="93"/>
        <v>-134827772925.38068</v>
      </c>
      <c r="F437" s="29">
        <f t="shared" si="94"/>
        <v>69768704090.153656</v>
      </c>
      <c r="G437" s="17">
        <f t="shared" si="95"/>
        <v>11.061221007653689</v>
      </c>
      <c r="H437" s="16">
        <f t="shared" si="96"/>
        <v>1.8274074678597809E-11</v>
      </c>
      <c r="I437" s="16">
        <f t="shared" si="97"/>
        <v>54722333009.352196</v>
      </c>
      <c r="J437" s="16">
        <f t="shared" si="98"/>
        <v>3589762039.078393</v>
      </c>
      <c r="K437" s="18">
        <f t="shared" si="99"/>
        <v>-54604462624.305984</v>
      </c>
      <c r="L437" s="17">
        <f t="shared" si="100"/>
        <v>10.177712720955164</v>
      </c>
      <c r="M437" s="16">
        <f t="shared" si="101"/>
        <v>1.5325325744408196E-11</v>
      </c>
      <c r="N437" s="16">
        <f t="shared" si="102"/>
        <v>97877201765.013718</v>
      </c>
      <c r="O437" s="16">
        <f t="shared" si="104"/>
        <v>6420703286.3020525</v>
      </c>
      <c r="P437" s="18">
        <f t="shared" si="103"/>
        <v>-97666376991.56488</v>
      </c>
    </row>
    <row r="438" spans="1:16" x14ac:dyDescent="0.4">
      <c r="A438" s="14">
        <v>0.42499999999999999</v>
      </c>
      <c r="B438" s="44">
        <f t="shared" si="105"/>
        <v>2.6703537555513241</v>
      </c>
      <c r="C438" s="40">
        <f t="shared" si="91"/>
        <v>6.5868714624781264E-12</v>
      </c>
      <c r="D438" s="15">
        <f t="shared" si="92"/>
        <v>151817141976.50031</v>
      </c>
      <c r="E438" s="15">
        <f t="shared" si="93"/>
        <v>-135270063984.69348</v>
      </c>
      <c r="F438" s="29">
        <f t="shared" si="94"/>
        <v>68923540154.941116</v>
      </c>
      <c r="G438" s="17">
        <f t="shared" si="95"/>
        <v>11.087308793049099</v>
      </c>
      <c r="H438" s="16">
        <f t="shared" si="96"/>
        <v>1.8370500638586481E-11</v>
      </c>
      <c r="I438" s="16">
        <f t="shared" si="97"/>
        <v>54435097860.073616</v>
      </c>
      <c r="J438" s="16">
        <f t="shared" si="98"/>
        <v>4986576055.3768702</v>
      </c>
      <c r="K438" s="18">
        <f t="shared" si="99"/>
        <v>-54206216786.266624</v>
      </c>
      <c r="L438" s="17">
        <f t="shared" si="100"/>
        <v>10.201716760391379</v>
      </c>
      <c r="M438" s="16">
        <f t="shared" si="101"/>
        <v>1.5386957334009824E-11</v>
      </c>
      <c r="N438" s="16">
        <f t="shared" si="102"/>
        <v>97485160154.733566</v>
      </c>
      <c r="O438" s="16">
        <f t="shared" si="104"/>
        <v>8930215697.0810738</v>
      </c>
      <c r="P438" s="18">
        <f t="shared" si="103"/>
        <v>-97075268209.764221</v>
      </c>
    </row>
    <row r="439" spans="1:16" x14ac:dyDescent="0.4">
      <c r="A439" s="14">
        <v>0.42599999999999999</v>
      </c>
      <c r="B439" s="44">
        <f t="shared" si="105"/>
        <v>2.6766369408585038</v>
      </c>
      <c r="C439" s="40">
        <f t="shared" si="91"/>
        <v>6.5865546950386126E-12</v>
      </c>
      <c r="D439" s="15">
        <f t="shared" si="92"/>
        <v>151824443324.4075</v>
      </c>
      <c r="E439" s="15">
        <f t="shared" si="93"/>
        <v>-135706976642.06123</v>
      </c>
      <c r="F439" s="29">
        <f t="shared" si="94"/>
        <v>68075532178.876671</v>
      </c>
      <c r="G439" s="17">
        <f t="shared" si="95"/>
        <v>11.113396578444508</v>
      </c>
      <c r="H439" s="16">
        <f t="shared" si="96"/>
        <v>1.8466695451543764E-11</v>
      </c>
      <c r="I439" s="16">
        <f t="shared" si="97"/>
        <v>54151540140.139305</v>
      </c>
      <c r="J439" s="16">
        <f t="shared" si="98"/>
        <v>6365506867.3916864</v>
      </c>
      <c r="K439" s="18">
        <f t="shared" si="99"/>
        <v>-53776106421.628441</v>
      </c>
      <c r="L439" s="17">
        <f t="shared" si="100"/>
        <v>10.225720799827593</v>
      </c>
      <c r="M439" s="16">
        <f t="shared" si="101"/>
        <v>1.5450112242572303E-11</v>
      </c>
      <c r="N439" s="16">
        <f t="shared" si="102"/>
        <v>97086673316.637573</v>
      </c>
      <c r="O439" s="16">
        <f t="shared" si="104"/>
        <v>11412526479.023977</v>
      </c>
      <c r="P439" s="18">
        <f t="shared" si="103"/>
        <v>-96413569455.015427</v>
      </c>
    </row>
    <row r="440" spans="1:16" x14ac:dyDescent="0.4">
      <c r="A440" s="14">
        <v>0.42699999999999999</v>
      </c>
      <c r="B440" s="44">
        <f t="shared" si="105"/>
        <v>2.6829201261656834</v>
      </c>
      <c r="C440" s="40">
        <f t="shared" si="91"/>
        <v>6.5862418705519286E-12</v>
      </c>
      <c r="D440" s="15">
        <f t="shared" si="92"/>
        <v>151831654478.27682</v>
      </c>
      <c r="E440" s="15">
        <f t="shared" si="93"/>
        <v>-136138492088.21983</v>
      </c>
      <c r="F440" s="29">
        <f t="shared" si="94"/>
        <v>67224714752.511559</v>
      </c>
      <c r="G440" s="17">
        <f t="shared" si="95"/>
        <v>11.139484363839918</v>
      </c>
      <c r="H440" s="16">
        <f t="shared" si="96"/>
        <v>1.856259365363368E-11</v>
      </c>
      <c r="I440" s="16">
        <f t="shared" si="97"/>
        <v>53871782072.019188</v>
      </c>
      <c r="J440" s="16">
        <f t="shared" si="98"/>
        <v>7725960111.7256107</v>
      </c>
      <c r="K440" s="18">
        <f t="shared" si="99"/>
        <v>-53314898892.965675</v>
      </c>
      <c r="L440" s="17">
        <f t="shared" si="100"/>
        <v>10.249724839263809</v>
      </c>
      <c r="M440" s="16">
        <f t="shared" si="101"/>
        <v>1.5514754082369238E-11</v>
      </c>
      <c r="N440" s="16">
        <f t="shared" si="102"/>
        <v>96682164089.50885</v>
      </c>
      <c r="O440" s="16">
        <f t="shared" si="104"/>
        <v>13865562165.221657</v>
      </c>
      <c r="P440" s="18">
        <f t="shared" si="103"/>
        <v>-95682741593.62851</v>
      </c>
    </row>
    <row r="441" spans="1:16" x14ac:dyDescent="0.4">
      <c r="A441" s="14">
        <v>0.42799999999999999</v>
      </c>
      <c r="B441" s="44">
        <f t="shared" si="105"/>
        <v>2.6892033114728631</v>
      </c>
      <c r="C441" s="40">
        <f t="shared" si="91"/>
        <v>6.5859330013678495E-12</v>
      </c>
      <c r="D441" s="15">
        <f t="shared" si="92"/>
        <v>151838775127.57986</v>
      </c>
      <c r="E441" s="15">
        <f t="shared" si="93"/>
        <v>-136564591741.15062</v>
      </c>
      <c r="F441" s="29">
        <f t="shared" si="94"/>
        <v>66371122597.230675</v>
      </c>
      <c r="G441" s="17">
        <f t="shared" si="95"/>
        <v>11.165572149235327</v>
      </c>
      <c r="H441" s="16">
        <f t="shared" si="96"/>
        <v>1.865812998287402E-11</v>
      </c>
      <c r="I441" s="16">
        <f t="shared" si="97"/>
        <v>53595939192.07782</v>
      </c>
      <c r="J441" s="16">
        <f t="shared" si="98"/>
        <v>9067373939.2671204</v>
      </c>
      <c r="K441" s="18">
        <f t="shared" si="99"/>
        <v>-52823360625.07196</v>
      </c>
      <c r="L441" s="17">
        <f t="shared" si="100"/>
        <v>10.273728878700023</v>
      </c>
      <c r="M441" s="16">
        <f t="shared" si="101"/>
        <v>1.5580845608954637E-11</v>
      </c>
      <c r="N441" s="16">
        <f t="shared" si="102"/>
        <v>96272053369.036575</v>
      </c>
      <c r="O441" s="16">
        <f t="shared" si="104"/>
        <v>16287329244.659765</v>
      </c>
      <c r="P441" s="18">
        <f t="shared" si="103"/>
        <v>-94884304107.511261</v>
      </c>
    </row>
    <row r="442" spans="1:16" x14ac:dyDescent="0.4">
      <c r="A442" s="14">
        <v>0.42899999999999999</v>
      </c>
      <c r="B442" s="44">
        <f t="shared" si="105"/>
        <v>2.6954864967800423</v>
      </c>
      <c r="C442" s="40">
        <f t="shared" si="91"/>
        <v>6.5856280996800021E-12</v>
      </c>
      <c r="D442" s="15">
        <f t="shared" si="92"/>
        <v>151845804965.60236</v>
      </c>
      <c r="E442" s="15">
        <f t="shared" si="93"/>
        <v>-136985257247.07076</v>
      </c>
      <c r="F442" s="29">
        <f t="shared" si="94"/>
        <v>65514790563.700966</v>
      </c>
      <c r="G442" s="17">
        <f t="shared" si="95"/>
        <v>11.191659934630735</v>
      </c>
      <c r="H442" s="16">
        <f t="shared" si="96"/>
        <v>1.8753239423549314E-11</v>
      </c>
      <c r="I442" s="16">
        <f t="shared" si="97"/>
        <v>53324120564.698463</v>
      </c>
      <c r="J442" s="16">
        <f t="shared" si="98"/>
        <v>10389217973.913019</v>
      </c>
      <c r="K442" s="18">
        <f t="shared" si="99"/>
        <v>-52302256011.46685</v>
      </c>
      <c r="L442" s="17">
        <f t="shared" si="100"/>
        <v>10.297732918136237</v>
      </c>
      <c r="M442" s="16">
        <f t="shared" si="101"/>
        <v>1.5648348742621924E-11</v>
      </c>
      <c r="N442" s="16">
        <f t="shared" si="102"/>
        <v>95856759372.597595</v>
      </c>
      <c r="O442" s="16">
        <f t="shared" si="104"/>
        <v>18675915455.305882</v>
      </c>
      <c r="P442" s="18">
        <f t="shared" si="103"/>
        <v>-94019830351.486725</v>
      </c>
    </row>
    <row r="443" spans="1:16" x14ac:dyDescent="0.4">
      <c r="A443" s="14">
        <v>0.43</v>
      </c>
      <c r="B443" s="44">
        <f t="shared" si="105"/>
        <v>2.7017696820872219</v>
      </c>
      <c r="C443" s="40">
        <f t="shared" si="91"/>
        <v>6.5853271775253814E-12</v>
      </c>
      <c r="D443" s="15">
        <f t="shared" si="92"/>
        <v>151852743689.46048</v>
      </c>
      <c r="E443" s="15">
        <f t="shared" si="93"/>
        <v>-137400470481.41245</v>
      </c>
      <c r="F443" s="29">
        <f t="shared" si="94"/>
        <v>64655753630.311073</v>
      </c>
      <c r="G443" s="17">
        <f t="shared" si="95"/>
        <v>11.217747720026146</v>
      </c>
      <c r="H443" s="16">
        <f t="shared" si="96"/>
        <v>1.8847857250456297E-11</v>
      </c>
      <c r="I443" s="16">
        <f t="shared" si="97"/>
        <v>53056428999.417984</v>
      </c>
      <c r="J443" s="16">
        <f t="shared" si="98"/>
        <v>11690992256.64888</v>
      </c>
      <c r="K443" s="18">
        <f t="shared" si="99"/>
        <v>-51752346403.088409</v>
      </c>
      <c r="L443" s="17">
        <f t="shared" si="100"/>
        <v>10.321736957572455</v>
      </c>
      <c r="M443" s="16">
        <f t="shared" si="101"/>
        <v>1.5717224590344181E-11</v>
      </c>
      <c r="N443" s="16">
        <f t="shared" si="102"/>
        <v>95436696942.125488</v>
      </c>
      <c r="O443" s="16">
        <f t="shared" si="104"/>
        <v>21029490789.18927</v>
      </c>
      <c r="P443" s="18">
        <f t="shared" si="103"/>
        <v>-93090942848.219711</v>
      </c>
    </row>
    <row r="444" spans="1:16" x14ac:dyDescent="0.4">
      <c r="A444" s="14">
        <v>0.43099999999999999</v>
      </c>
      <c r="B444" s="44">
        <f t="shared" si="105"/>
        <v>2.7080528673944015</v>
      </c>
      <c r="C444" s="40">
        <f t="shared" si="91"/>
        <v>6.585030246783881E-12</v>
      </c>
      <c r="D444" s="15">
        <f t="shared" si="92"/>
        <v>151859591000.11703</v>
      </c>
      <c r="E444" s="15">
        <f t="shared" si="93"/>
        <v>-137810213549.79059</v>
      </c>
      <c r="F444" s="29">
        <f t="shared" si="94"/>
        <v>63794046901.603172</v>
      </c>
      <c r="G444" s="17">
        <f t="shared" si="95"/>
        <v>11.243835505421556</v>
      </c>
      <c r="H444" s="16">
        <f t="shared" si="96"/>
        <v>1.8941919072951505E-11</v>
      </c>
      <c r="I444" s="16">
        <f t="shared" si="97"/>
        <v>52792961270.115982</v>
      </c>
      <c r="J444" s="16">
        <f t="shared" si="98"/>
        <v>12972226179.640873</v>
      </c>
      <c r="K444" s="18">
        <f t="shared" si="99"/>
        <v>-51174389176.737671</v>
      </c>
      <c r="L444" s="17">
        <f t="shared" si="100"/>
        <v>10.345740997008669</v>
      </c>
      <c r="M444" s="16">
        <f t="shared" si="101"/>
        <v>1.5787433468182963E-11</v>
      </c>
      <c r="N444" s="16">
        <f t="shared" si="102"/>
        <v>95012276886.107498</v>
      </c>
      <c r="O444" s="16">
        <f t="shared" si="104"/>
        <v>23346308219.064281</v>
      </c>
      <c r="P444" s="18">
        <f t="shared" si="103"/>
        <v>-92099308638.136948</v>
      </c>
    </row>
    <row r="445" spans="1:16" x14ac:dyDescent="0.4">
      <c r="A445" s="14">
        <v>0.432</v>
      </c>
      <c r="B445" s="44">
        <f t="shared" si="105"/>
        <v>2.7143360527015812</v>
      </c>
      <c r="C445" s="40">
        <f t="shared" si="91"/>
        <v>6.5847373191778159E-12</v>
      </c>
      <c r="D445" s="15">
        <f t="shared" si="92"/>
        <v>151866346602.39752</v>
      </c>
      <c r="E445" s="15">
        <f t="shared" si="93"/>
        <v>-138214468788.95898</v>
      </c>
      <c r="F445" s="29">
        <f t="shared" si="94"/>
        <v>62929705606.695961</v>
      </c>
      <c r="G445" s="17">
        <f t="shared" si="95"/>
        <v>11.269923290816966</v>
      </c>
      <c r="H445" s="16">
        <f t="shared" si="96"/>
        <v>1.9035360878771392E-11</v>
      </c>
      <c r="I445" s="16">
        <f t="shared" si="97"/>
        <v>52533808335.371231</v>
      </c>
      <c r="J445" s="16">
        <f t="shared" si="98"/>
        <v>14232477414.650011</v>
      </c>
      <c r="K445" s="18">
        <f t="shared" si="99"/>
        <v>-50569136880.700241</v>
      </c>
      <c r="L445" s="17">
        <f t="shared" si="100"/>
        <v>10.369745036444884</v>
      </c>
      <c r="M445" s="16">
        <f t="shared" si="101"/>
        <v>1.5858934924152901E-11</v>
      </c>
      <c r="N445" s="16">
        <f t="shared" si="102"/>
        <v>94583905361.483276</v>
      </c>
      <c r="O445" s="16">
        <f t="shared" si="104"/>
        <v>25624704157.233685</v>
      </c>
      <c r="P445" s="18">
        <f t="shared" si="103"/>
        <v>-91046634700.488937</v>
      </c>
    </row>
    <row r="446" spans="1:16" x14ac:dyDescent="0.4">
      <c r="A446" s="14">
        <v>0.433</v>
      </c>
      <c r="B446" s="44">
        <f t="shared" si="105"/>
        <v>2.7206192380087608</v>
      </c>
      <c r="C446" s="40">
        <f t="shared" si="91"/>
        <v>6.5844484062714691E-12</v>
      </c>
      <c r="D446" s="15">
        <f t="shared" si="92"/>
        <v>151873010205.00565</v>
      </c>
      <c r="E446" s="15">
        <f t="shared" si="93"/>
        <v>-138613218767.75497</v>
      </c>
      <c r="F446" s="29">
        <f t="shared" si="94"/>
        <v>62062765097.699669</v>
      </c>
      <c r="G446" s="17">
        <f t="shared" si="95"/>
        <v>11.296011076212375</v>
      </c>
      <c r="H446" s="16">
        <f t="shared" si="96"/>
        <v>1.9128119077594798E-11</v>
      </c>
      <c r="I446" s="16">
        <f t="shared" si="97"/>
        <v>52279055559.170105</v>
      </c>
      <c r="J446" s="16">
        <f t="shared" si="98"/>
        <v>15471330839.735477</v>
      </c>
      <c r="K446" s="18">
        <f t="shared" si="99"/>
        <v>-49937336454.863556</v>
      </c>
      <c r="L446" s="17">
        <f t="shared" si="100"/>
        <v>10.393749075881098</v>
      </c>
      <c r="M446" s="16">
        <f t="shared" si="101"/>
        <v>1.593168776152872E-11</v>
      </c>
      <c r="N446" s="16">
        <f t="shared" si="102"/>
        <v>94151983295.966125</v>
      </c>
      <c r="O446" s="16">
        <f t="shared" si="104"/>
        <v>27863098657.94109</v>
      </c>
      <c r="P446" s="18">
        <f t="shared" si="103"/>
        <v>-89934663460.435135</v>
      </c>
    </row>
    <row r="447" spans="1:16" x14ac:dyDescent="0.4">
      <c r="A447" s="14">
        <v>0.434</v>
      </c>
      <c r="B447" s="44">
        <f t="shared" si="105"/>
        <v>2.7269024233159405</v>
      </c>
      <c r="C447" s="40">
        <f t="shared" si="91"/>
        <v>6.5841635194706249E-12</v>
      </c>
      <c r="D447" s="15">
        <f t="shared" si="92"/>
        <v>151879581520.53934</v>
      </c>
      <c r="E447" s="15">
        <f t="shared" si="93"/>
        <v>-139006446288.03265</v>
      </c>
      <c r="F447" s="29">
        <f t="shared" si="94"/>
        <v>61193260848.123184</v>
      </c>
      <c r="G447" s="17">
        <f t="shared" si="95"/>
        <v>11.322098861607785</v>
      </c>
      <c r="H447" s="16">
        <f t="shared" si="96"/>
        <v>1.9220130544318337E-11</v>
      </c>
      <c r="I447" s="16">
        <f t="shared" si="97"/>
        <v>52028782931.217392</v>
      </c>
      <c r="J447" s="16">
        <f t="shared" si="98"/>
        <v>16688397467.890882</v>
      </c>
      <c r="K447" s="18">
        <f t="shared" si="99"/>
        <v>-49279728522.56221</v>
      </c>
      <c r="L447" s="17">
        <f t="shared" si="100"/>
        <v>10.417753115317314</v>
      </c>
      <c r="M447" s="16">
        <f t="shared" si="101"/>
        <v>1.6005650062581442E-11</v>
      </c>
      <c r="N447" s="16">
        <f t="shared" si="102"/>
        <v>93716905851.062653</v>
      </c>
      <c r="O447" s="16">
        <f t="shared" si="104"/>
        <v>30059995375.46452</v>
      </c>
      <c r="P447" s="18">
        <f t="shared" si="103"/>
        <v>-88765168395.739517</v>
      </c>
    </row>
    <row r="448" spans="1:16" x14ac:dyDescent="0.4">
      <c r="A448" s="14">
        <v>0.435</v>
      </c>
      <c r="B448" s="44">
        <f t="shared" si="105"/>
        <v>2.7331856086231201</v>
      </c>
      <c r="C448" s="40">
        <f t="shared" si="91"/>
        <v>6.5838826700221276E-12</v>
      </c>
      <c r="D448" s="15">
        <f t="shared" si="92"/>
        <v>151886060265.5058</v>
      </c>
      <c r="E448" s="15">
        <f t="shared" si="93"/>
        <v>-139394134385.58386</v>
      </c>
      <c r="F448" s="29">
        <f t="shared" si="94"/>
        <v>60321228451.272797</v>
      </c>
      <c r="G448" s="17">
        <f t="shared" si="95"/>
        <v>11.348186647003194</v>
      </c>
      <c r="H448" s="16">
        <f t="shared" si="96"/>
        <v>1.9311332662015158E-11</v>
      </c>
      <c r="I448" s="16">
        <f t="shared" si="97"/>
        <v>51783065286.165962</v>
      </c>
      <c r="J448" s="16">
        <f t="shared" si="98"/>
        <v>17883313380.938942</v>
      </c>
      <c r="K448" s="18">
        <f t="shared" si="99"/>
        <v>-48597046751.324883</v>
      </c>
      <c r="L448" s="17">
        <f t="shared" si="100"/>
        <v>10.441757154753528</v>
      </c>
      <c r="M448" s="16">
        <f t="shared" si="101"/>
        <v>1.6080779212729914E-11</v>
      </c>
      <c r="N448" s="16">
        <f t="shared" si="102"/>
        <v>93279061925.840363</v>
      </c>
      <c r="O448" s="16">
        <f t="shared" si="104"/>
        <v>32213981290.625965</v>
      </c>
      <c r="P448" s="18">
        <f t="shared" si="103"/>
        <v>-87539949755.365753</v>
      </c>
    </row>
    <row r="449" spans="1:16" x14ac:dyDescent="0.4">
      <c r="A449" s="14">
        <v>0.436</v>
      </c>
      <c r="B449" s="44">
        <f t="shared" si="105"/>
        <v>2.7394687939302997</v>
      </c>
      <c r="C449" s="40">
        <f t="shared" si="91"/>
        <v>6.5836058690134319E-12</v>
      </c>
      <c r="D449" s="15">
        <f t="shared" si="92"/>
        <v>151892446160.33679</v>
      </c>
      <c r="E449" s="15">
        <f t="shared" si="93"/>
        <v>-139776266331.04773</v>
      </c>
      <c r="F449" s="29">
        <f t="shared" si="94"/>
        <v>59446703618.643349</v>
      </c>
      <c r="G449" s="17">
        <f t="shared" si="95"/>
        <v>11.374274432398606</v>
      </c>
      <c r="H449" s="16">
        <f t="shared" si="96"/>
        <v>1.9401663364547914E-11</v>
      </c>
      <c r="I449" s="16">
        <f t="shared" si="97"/>
        <v>51541972521.143234</v>
      </c>
      <c r="J449" s="16">
        <f t="shared" si="98"/>
        <v>19055738671.70755</v>
      </c>
      <c r="K449" s="18">
        <f t="shared" si="99"/>
        <v>-47890017279.657288</v>
      </c>
      <c r="L449" s="17">
        <f t="shared" si="100"/>
        <v>10.465761194189746</v>
      </c>
      <c r="M449" s="16">
        <f t="shared" si="101"/>
        <v>1.6157031925093966E-11</v>
      </c>
      <c r="N449" s="16">
        <f t="shared" si="102"/>
        <v>92838833701.275635</v>
      </c>
      <c r="O449" s="16">
        <f t="shared" si="104"/>
        <v>34323726218.896839</v>
      </c>
      <c r="P449" s="18">
        <f t="shared" si="103"/>
        <v>-86260830400.960815</v>
      </c>
    </row>
    <row r="450" spans="1:16" x14ac:dyDescent="0.4">
      <c r="A450" s="14">
        <v>0.437</v>
      </c>
      <c r="B450" s="44">
        <f t="shared" si="105"/>
        <v>2.7457519792374794</v>
      </c>
      <c r="C450" s="40">
        <f t="shared" si="91"/>
        <v>6.5833331273721688E-12</v>
      </c>
      <c r="D450" s="15">
        <f t="shared" si="92"/>
        <v>151898738929.40372</v>
      </c>
      <c r="E450" s="15">
        <f t="shared" si="93"/>
        <v>-140152825630.8082</v>
      </c>
      <c r="F450" s="29">
        <f t="shared" si="94"/>
        <v>58569722178.301468</v>
      </c>
      <c r="G450" s="17">
        <f t="shared" si="95"/>
        <v>11.400362217794015</v>
      </c>
      <c r="H450" s="16">
        <f t="shared" si="96"/>
        <v>1.9491061178806838E-11</v>
      </c>
      <c r="I450" s="16">
        <f t="shared" si="97"/>
        <v>51305569811.013023</v>
      </c>
      <c r="J450" s="16">
        <f t="shared" si="98"/>
        <v>20205356397.219913</v>
      </c>
      <c r="K450" s="18">
        <f t="shared" si="99"/>
        <v>-47159358206.977921</v>
      </c>
      <c r="L450" s="17">
        <f t="shared" si="100"/>
        <v>10.48976523362596</v>
      </c>
      <c r="M450" s="16">
        <f t="shared" si="101"/>
        <v>1.6234364265434763E-11</v>
      </c>
      <c r="N450" s="16">
        <f t="shared" si="102"/>
        <v>92396596224.818619</v>
      </c>
      <c r="O450" s="16">
        <f t="shared" si="104"/>
        <v>36387982113.625069</v>
      </c>
      <c r="P450" s="18">
        <f t="shared" si="103"/>
        <v>-84929651780.933792</v>
      </c>
    </row>
    <row r="451" spans="1:16" x14ac:dyDescent="0.4">
      <c r="A451" s="14">
        <v>0.438</v>
      </c>
      <c r="B451" s="44">
        <f t="shared" si="105"/>
        <v>2.7520351645446586</v>
      </c>
      <c r="C451" s="40">
        <f t="shared" si="91"/>
        <v>6.5830644558657104E-12</v>
      </c>
      <c r="D451" s="15">
        <f t="shared" si="92"/>
        <v>151904938301.03238</v>
      </c>
      <c r="E451" s="15">
        <f t="shared" si="93"/>
        <v>-140523796027.8797</v>
      </c>
      <c r="F451" s="29">
        <f t="shared" si="94"/>
        <v>57690320073.261124</v>
      </c>
      <c r="G451" s="17">
        <f t="shared" si="95"/>
        <v>11.426450003189423</v>
      </c>
      <c r="H451" s="16">
        <f t="shared" si="96"/>
        <v>1.9579465266544325E-11</v>
      </c>
      <c r="I451" s="16">
        <f t="shared" si="97"/>
        <v>51073917820.86676</v>
      </c>
      <c r="J451" s="16">
        <f t="shared" si="98"/>
        <v>21331871545.356979</v>
      </c>
      <c r="K451" s="18">
        <f t="shared" si="99"/>
        <v>-46405779143.820442</v>
      </c>
      <c r="L451" s="17">
        <f t="shared" si="100"/>
        <v>10.513769273062174</v>
      </c>
      <c r="M451" s="16">
        <f t="shared" si="101"/>
        <v>1.6312731677468301E-11</v>
      </c>
      <c r="N451" s="16">
        <f t="shared" si="102"/>
        <v>91952717034.624619</v>
      </c>
      <c r="O451" s="16">
        <f t="shared" si="104"/>
        <v>38405582178.145943</v>
      </c>
      <c r="P451" s="18">
        <f t="shared" si="103"/>
        <v>-83548270045.569611</v>
      </c>
    </row>
    <row r="452" spans="1:16" x14ac:dyDescent="0.4">
      <c r="A452" s="14">
        <v>0.439</v>
      </c>
      <c r="B452" s="44">
        <f t="shared" si="105"/>
        <v>2.7583183498518382</v>
      </c>
      <c r="C452" s="40">
        <f t="shared" si="91"/>
        <v>6.582799865100748E-12</v>
      </c>
      <c r="D452" s="15">
        <f t="shared" si="92"/>
        <v>151911044007.51749</v>
      </c>
      <c r="E452" s="15">
        <f t="shared" si="93"/>
        <v>-140889161502.78052</v>
      </c>
      <c r="F452" s="29">
        <f t="shared" si="94"/>
        <v>56808533359.851326</v>
      </c>
      <c r="G452" s="17">
        <f t="shared" si="95"/>
        <v>11.452537788584833</v>
      </c>
      <c r="H452" s="16">
        <f t="shared" si="96"/>
        <v>1.9666815465777404E-11</v>
      </c>
      <c r="I452" s="16">
        <f t="shared" si="97"/>
        <v>50847072915.293221</v>
      </c>
      <c r="J452" s="16">
        <f t="shared" si="98"/>
        <v>22435010017.187008</v>
      </c>
      <c r="K452" s="18">
        <f t="shared" si="99"/>
        <v>-45629980819.433441</v>
      </c>
      <c r="L452" s="17">
        <f t="shared" si="100"/>
        <v>10.537773312498388</v>
      </c>
      <c r="M452" s="16">
        <f t="shared" si="101"/>
        <v>1.6392089008537204E-11</v>
      </c>
      <c r="N452" s="16">
        <f t="shared" si="102"/>
        <v>91507555822.737503</v>
      </c>
      <c r="O452" s="16">
        <f t="shared" si="104"/>
        <v>40375439800.664406</v>
      </c>
      <c r="P452" s="18">
        <f t="shared" si="103"/>
        <v>-82118552310.390518</v>
      </c>
    </row>
    <row r="453" spans="1:16" x14ac:dyDescent="0.4">
      <c r="A453" s="14">
        <v>0.44</v>
      </c>
      <c r="B453" s="44">
        <f t="shared" si="105"/>
        <v>2.7646015351590179</v>
      </c>
      <c r="C453" s="40">
        <f t="shared" si="91"/>
        <v>6.5825393655228726E-12</v>
      </c>
      <c r="D453" s="15">
        <f t="shared" si="92"/>
        <v>151917055785.13721</v>
      </c>
      <c r="E453" s="15">
        <f t="shared" si="93"/>
        <v>-141248906274.39432</v>
      </c>
      <c r="F453" s="29">
        <f t="shared" si="94"/>
        <v>55924398206.076927</v>
      </c>
      <c r="G453" s="17">
        <f t="shared" si="95"/>
        <v>11.478625573980242</v>
      </c>
      <c r="H453" s="16">
        <f t="shared" si="96"/>
        <v>1.9753052331730003E-11</v>
      </c>
      <c r="I453" s="16">
        <f t="shared" si="97"/>
        <v>50625087364.025551</v>
      </c>
      <c r="J453" s="16">
        <f t="shared" si="98"/>
        <v>23514517626.910961</v>
      </c>
      <c r="K453" s="18">
        <f t="shared" si="99"/>
        <v>-44832654743.935402</v>
      </c>
      <c r="L453" s="17">
        <f t="shared" si="100"/>
        <v>10.561777351934603</v>
      </c>
      <c r="M453" s="16">
        <f t="shared" si="101"/>
        <v>1.6472390535626171E-11</v>
      </c>
      <c r="N453" s="16">
        <f t="shared" si="102"/>
        <v>91061464136.357666</v>
      </c>
      <c r="O453" s="16">
        <f t="shared" si="104"/>
        <v>42296547325.828369</v>
      </c>
      <c r="P453" s="18">
        <f t="shared" si="103"/>
        <v>-80642373073.782455</v>
      </c>
    </row>
    <row r="454" spans="1:16" x14ac:dyDescent="0.4">
      <c r="A454" s="14">
        <v>0.441</v>
      </c>
      <c r="B454" s="44">
        <f t="shared" si="105"/>
        <v>2.7708847204661975</v>
      </c>
      <c r="C454" s="40">
        <f t="shared" si="91"/>
        <v>6.5822829674161595E-12</v>
      </c>
      <c r="D454" s="15">
        <f t="shared" si="92"/>
        <v>151922973374.16727</v>
      </c>
      <c r="E454" s="15">
        <f t="shared" si="93"/>
        <v>-141603014800.81924</v>
      </c>
      <c r="F454" s="29">
        <f t="shared" si="94"/>
        <v>55037950889.971397</v>
      </c>
      <c r="G454" s="17">
        <f t="shared" si="95"/>
        <v>11.504713359375652</v>
      </c>
      <c r="H454" s="16">
        <f t="shared" si="96"/>
        <v>1.9838117177287141E-11</v>
      </c>
      <c r="I454" s="16">
        <f t="shared" si="97"/>
        <v>50408009543.612839</v>
      </c>
      <c r="J454" s="16">
        <f t="shared" si="98"/>
        <v>24570159121.141632</v>
      </c>
      <c r="K454" s="18">
        <f t="shared" si="99"/>
        <v>-44014482922.223953</v>
      </c>
      <c r="L454" s="17">
        <f t="shared" si="100"/>
        <v>10.585781391370817</v>
      </c>
      <c r="M454" s="16">
        <f t="shared" si="101"/>
        <v>1.6553589991706001E-11</v>
      </c>
      <c r="N454" s="16">
        <f t="shared" si="102"/>
        <v>90614785116.192856</v>
      </c>
      <c r="O454" s="16">
        <f t="shared" si="104"/>
        <v>44167974676.854164</v>
      </c>
      <c r="P454" s="18">
        <f t="shared" si="103"/>
        <v>-79121610793.755814</v>
      </c>
    </row>
    <row r="455" spans="1:16" x14ac:dyDescent="0.4">
      <c r="A455" s="14">
        <v>0.442</v>
      </c>
      <c r="B455" s="44">
        <f t="shared" si="105"/>
        <v>2.7771679057733771</v>
      </c>
      <c r="C455" s="40">
        <f t="shared" si="91"/>
        <v>6.5820306809027689E-12</v>
      </c>
      <c r="D455" s="15">
        <f t="shared" si="92"/>
        <v>151928796518.8949</v>
      </c>
      <c r="E455" s="15">
        <f t="shared" si="93"/>
        <v>-141951471780.20486</v>
      </c>
      <c r="F455" s="29">
        <f t="shared" si="94"/>
        <v>54149227797.942528</v>
      </c>
      <c r="G455" s="17">
        <f t="shared" si="95"/>
        <v>11.530801144771063</v>
      </c>
      <c r="H455" s="16">
        <f t="shared" si="96"/>
        <v>1.9921952112933521E-11</v>
      </c>
      <c r="I455" s="16">
        <f t="shared" si="97"/>
        <v>50195884134.807777</v>
      </c>
      <c r="J455" s="16">
        <f t="shared" si="98"/>
        <v>25601717219.014214</v>
      </c>
      <c r="K455" s="18">
        <f t="shared" si="99"/>
        <v>-43176137616.890633</v>
      </c>
      <c r="L455" s="17">
        <f t="shared" si="100"/>
        <v>10.609785430807035</v>
      </c>
      <c r="M455" s="16">
        <f t="shared" si="101"/>
        <v>1.6635640592391164E-11</v>
      </c>
      <c r="N455" s="16">
        <f t="shared" si="102"/>
        <v>90167853270.770493</v>
      </c>
      <c r="O455" s="16">
        <f t="shared" si="104"/>
        <v>45988867841.916573</v>
      </c>
      <c r="P455" s="18">
        <f t="shared" si="103"/>
        <v>-77558144627.614243</v>
      </c>
    </row>
    <row r="456" spans="1:16" x14ac:dyDescent="0.4">
      <c r="A456" s="14">
        <v>0.443</v>
      </c>
      <c r="B456" s="44">
        <f t="shared" si="105"/>
        <v>2.7834510910805568</v>
      </c>
      <c r="C456" s="40">
        <f t="shared" si="91"/>
        <v>6.5817825159425392E-12</v>
      </c>
      <c r="D456" s="15">
        <f t="shared" si="92"/>
        <v>151934524967.63269</v>
      </c>
      <c r="E456" s="15">
        <f t="shared" si="93"/>
        <v>-142294262151.57678</v>
      </c>
      <c r="F456" s="29">
        <f t="shared" si="94"/>
        <v>53258265423.110992</v>
      </c>
      <c r="G456" s="17">
        <f t="shared" si="95"/>
        <v>11.556888930166473</v>
      </c>
      <c r="H456" s="16">
        <f t="shared" si="96"/>
        <v>2.000450008614927E-11</v>
      </c>
      <c r="I456" s="16">
        <f t="shared" si="97"/>
        <v>49988752315.404312</v>
      </c>
      <c r="J456" s="16">
        <f t="shared" si="98"/>
        <v>26608991674.424175</v>
      </c>
      <c r="K456" s="18">
        <f t="shared" si="99"/>
        <v>-42318281157.453278</v>
      </c>
      <c r="L456" s="17">
        <f t="shared" si="100"/>
        <v>10.633789470243249</v>
      </c>
      <c r="M456" s="16">
        <f t="shared" si="101"/>
        <v>1.6718495062895278E-11</v>
      </c>
      <c r="N456" s="16">
        <f t="shared" si="102"/>
        <v>89720994285.4888</v>
      </c>
      <c r="O456" s="16">
        <f t="shared" si="104"/>
        <v>47758447238.298927</v>
      </c>
      <c r="P456" s="18">
        <f t="shared" si="103"/>
        <v>-75953851337.264862</v>
      </c>
    </row>
    <row r="457" spans="1:16" x14ac:dyDescent="0.4">
      <c r="A457" s="14">
        <v>0.44400000000000001</v>
      </c>
      <c r="B457" s="44">
        <f t="shared" si="105"/>
        <v>2.7897342763877364</v>
      </c>
      <c r="C457" s="40">
        <f t="shared" si="91"/>
        <v>6.5815384823325993E-12</v>
      </c>
      <c r="D457" s="15">
        <f t="shared" si="92"/>
        <v>151940158472.73212</v>
      </c>
      <c r="E457" s="15">
        <f t="shared" si="93"/>
        <v>-142631371095.64877</v>
      </c>
      <c r="F457" s="29">
        <f t="shared" si="94"/>
        <v>52365100363.641762</v>
      </c>
      <c r="G457" s="17">
        <f t="shared" si="95"/>
        <v>11.582976715561882</v>
      </c>
      <c r="H457" s="16">
        <f t="shared" si="96"/>
        <v>2.0085704920236163E-11</v>
      </c>
      <c r="I457" s="16">
        <f t="shared" si="97"/>
        <v>49786651948.297279</v>
      </c>
      <c r="J457" s="16">
        <f t="shared" si="98"/>
        <v>27591798361.499859</v>
      </c>
      <c r="K457" s="18">
        <f t="shared" si="99"/>
        <v>-41441565793.285698</v>
      </c>
      <c r="L457" s="17">
        <f t="shared" si="100"/>
        <v>10.657793509679465</v>
      </c>
      <c r="M457" s="16">
        <f t="shared" si="101"/>
        <v>1.6802105665269368E-11</v>
      </c>
      <c r="N457" s="16">
        <f t="shared" si="102"/>
        <v>89274524865.092392</v>
      </c>
      <c r="O457" s="16">
        <f t="shared" si="104"/>
        <v>49476005967.510704</v>
      </c>
      <c r="P457" s="18">
        <f t="shared" si="103"/>
        <v>-74310602361.916336</v>
      </c>
    </row>
    <row r="458" spans="1:16" x14ac:dyDescent="0.4">
      <c r="A458" s="14">
        <v>0.44500000000000001</v>
      </c>
      <c r="B458" s="44">
        <f t="shared" si="105"/>
        <v>2.7960174616949161</v>
      </c>
      <c r="C458" s="40">
        <f t="shared" si="91"/>
        <v>6.5812985897069771E-12</v>
      </c>
      <c r="D458" s="15">
        <f t="shared" si="92"/>
        <v>151945696790.59702</v>
      </c>
      <c r="E458" s="15">
        <f t="shared" si="93"/>
        <v>-142962784035.6225</v>
      </c>
      <c r="F458" s="29">
        <f t="shared" si="94"/>
        <v>51469769321.068466</v>
      </c>
      <c r="G458" s="17">
        <f t="shared" si="95"/>
        <v>11.609064500957292</v>
      </c>
      <c r="H458" s="16">
        <f t="shared" si="96"/>
        <v>2.0165511352547741E-11</v>
      </c>
      <c r="I458" s="16">
        <f t="shared" si="97"/>
        <v>49589617764.573006</v>
      </c>
      <c r="J458" s="16">
        <f t="shared" si="98"/>
        <v>28549968384.239944</v>
      </c>
      <c r="K458" s="18">
        <f t="shared" si="99"/>
        <v>-40546633587.701881</v>
      </c>
      <c r="L458" s="17">
        <f t="shared" si="100"/>
        <v>10.68179754911568</v>
      </c>
      <c r="M458" s="16">
        <f t="shared" si="101"/>
        <v>1.688642422590677E-11</v>
      </c>
      <c r="N458" s="16">
        <f t="shared" si="102"/>
        <v>88828752608.188889</v>
      </c>
      <c r="O458" s="16">
        <f t="shared" si="104"/>
        <v>51140907974.229904</v>
      </c>
      <c r="P458" s="18">
        <f t="shared" si="103"/>
        <v>-72630261058.997803</v>
      </c>
    </row>
    <row r="459" spans="1:16" x14ac:dyDescent="0.4">
      <c r="A459" s="14">
        <v>0.44600000000000001</v>
      </c>
      <c r="B459" s="44">
        <f t="shared" si="105"/>
        <v>2.8023006470020957</v>
      </c>
      <c r="C459" s="40">
        <f t="shared" si="91"/>
        <v>6.5810628475362234E-12</v>
      </c>
      <c r="D459" s="15">
        <f t="shared" si="92"/>
        <v>151951139681.6965</v>
      </c>
      <c r="E459" s="15">
        <f t="shared" si="93"/>
        <v>-143288486637.97449</v>
      </c>
      <c r="F459" s="29">
        <f t="shared" si="94"/>
        <v>50572309098.610931</v>
      </c>
      <c r="G459" s="17">
        <f t="shared" si="95"/>
        <v>11.635152286352701</v>
      </c>
      <c r="H459" s="16">
        <f t="shared" si="96"/>
        <v>2.0243865072097432E-11</v>
      </c>
      <c r="I459" s="16">
        <f t="shared" si="97"/>
        <v>49397681541.472145</v>
      </c>
      <c r="J459" s="16">
        <f t="shared" si="98"/>
        <v>29483347211.086296</v>
      </c>
      <c r="K459" s="18">
        <f t="shared" si="99"/>
        <v>-39634116350.730309</v>
      </c>
      <c r="L459" s="17">
        <f t="shared" si="100"/>
        <v>10.705801588551894</v>
      </c>
      <c r="M459" s="16">
        <f t="shared" si="101"/>
        <v>1.6971402163299162E-11</v>
      </c>
      <c r="N459" s="16">
        <f t="shared" si="102"/>
        <v>88383975912.359558</v>
      </c>
      <c r="O459" s="16">
        <f t="shared" si="104"/>
        <v>52752586121.529243</v>
      </c>
      <c r="P459" s="18">
        <f t="shared" si="103"/>
        <v>-70914680113.268478</v>
      </c>
    </row>
    <row r="460" spans="1:16" x14ac:dyDescent="0.4">
      <c r="A460" s="14">
        <v>0.44700000000000001</v>
      </c>
      <c r="B460" s="44">
        <f t="shared" si="105"/>
        <v>2.8085838323092749</v>
      </c>
      <c r="C460" s="40">
        <f t="shared" si="91"/>
        <v>6.5808312651270354E-12</v>
      </c>
      <c r="D460" s="15">
        <f t="shared" si="92"/>
        <v>151956486910.57819</v>
      </c>
      <c r="E460" s="15">
        <f t="shared" si="93"/>
        <v>-143608464813.23077</v>
      </c>
      <c r="F460" s="29">
        <f t="shared" si="94"/>
        <v>49672756599.486</v>
      </c>
      <c r="G460" s="17">
        <f t="shared" si="95"/>
        <v>11.661240071748109</v>
      </c>
      <c r="H460" s="16">
        <f t="shared" si="96"/>
        <v>2.0320712756519014E-11</v>
      </c>
      <c r="I460" s="16">
        <f t="shared" si="97"/>
        <v>49210872275.09742</v>
      </c>
      <c r="J460" s="16">
        <f t="shared" si="98"/>
        <v>30391793835.052837</v>
      </c>
      <c r="K460" s="18">
        <f t="shared" si="99"/>
        <v>-38704635608.200684</v>
      </c>
      <c r="L460" s="17">
        <f t="shared" si="100"/>
        <v>10.729805627988108</v>
      </c>
      <c r="M460" s="16">
        <f t="shared" si="101"/>
        <v>1.7056990516027611E-11</v>
      </c>
      <c r="N460" s="16">
        <f t="shared" si="102"/>
        <v>87940483908.373169</v>
      </c>
      <c r="O460" s="16">
        <f t="shared" si="104"/>
        <v>54310540194.397888</v>
      </c>
      <c r="P460" s="18">
        <f t="shared" si="103"/>
        <v>-69165699113.299881</v>
      </c>
    </row>
    <row r="461" spans="1:16" x14ac:dyDescent="0.4">
      <c r="A461" s="14">
        <v>0.44800000000000001</v>
      </c>
      <c r="B461" s="44">
        <f t="shared" si="105"/>
        <v>2.8148670176164545</v>
      </c>
      <c r="C461" s="40">
        <f t="shared" ref="C461:C524" si="106">((semiejeMayorTierra*(1-(excentricidadTierra^2)))^-1)*(1+excentricidadTierra*COS(Φ))</f>
        <v>6.580603851621889E-12</v>
      </c>
      <c r="D461" s="15">
        <f t="shared" ref="D461:D524" si="107">1/u0Tierra</f>
        <v>151961738245.88074</v>
      </c>
      <c r="E461" s="15">
        <f t="shared" ref="E461:E524" si="108">r0Tierra*COS(Φ)</f>
        <v>-143922704716.72864</v>
      </c>
      <c r="F461" s="29">
        <f t="shared" ref="F461:F524" si="109">r0Tierra*SIN(Φ)</f>
        <v>48771148825.211281</v>
      </c>
      <c r="G461" s="17">
        <f t="shared" ref="G461:G524" si="110">Φ*relaciónOrbitas</f>
        <v>11.68732785714352</v>
      </c>
      <c r="H461" s="16">
        <f t="shared" ref="H461:H524" si="111">((semiejeMayorMercurio*(1-(excentricidadMercurio^2)))^-1)*(1+excentricidadMercurio*COS(ΦMercurio))</f>
        <v>2.0396002108354309E-11</v>
      </c>
      <c r="I461" s="16">
        <f t="shared" ref="I461:I524" si="112">1/u0Mercurio</f>
        <v>49029216347.766251</v>
      </c>
      <c r="J461" s="16">
        <f t="shared" ref="J461:J524" si="113">r0Mercurio*COS(ΦMercurio)</f>
        <v>31275179959.895763</v>
      </c>
      <c r="K461" s="18">
        <f t="shared" ref="K461:K524" si="114">r0Mercurio*SIN(ΦMercurio)</f>
        <v>-37758802604.852341</v>
      </c>
      <c r="L461" s="17">
        <f t="shared" ref="L461:L524" si="115">ΦMercurio*(1-(simulaciónÁngulo*((3/2)*rsSol*((semiejeMayorMercurio*(1-(excentricidadMercurio^2)))^-1))))</f>
        <v>10.753809667424324</v>
      </c>
      <c r="M461" s="16">
        <f t="shared" ref="M461:M524" si="116">((semiejeMayorMercurio*(1-(excentricidadMercurio^2)))^-1)*(1+excentricidadMercurio*COS(ΦLPMercurio))</f>
        <v>1.7143139970972476E-11</v>
      </c>
      <c r="N461" s="16">
        <f t="shared" ref="N461:N524" si="117">1*simulaciónRadio/uMercurio</f>
        <v>87498556421.977905</v>
      </c>
      <c r="O461" s="16">
        <f t="shared" si="104"/>
        <v>55814334843.088455</v>
      </c>
      <c r="P461" s="18">
        <f t="shared" ref="P461:P524" si="118">rMercurio*SIN(ΦMercurio)</f>
        <v>-67385142293.785004</v>
      </c>
    </row>
    <row r="462" spans="1:16" x14ac:dyDescent="0.4">
      <c r="A462" s="14">
        <v>0.44900000000000001</v>
      </c>
      <c r="B462" s="44">
        <f t="shared" si="105"/>
        <v>2.8211502029236342</v>
      </c>
      <c r="C462" s="40">
        <f t="shared" si="106"/>
        <v>6.580380615998681E-12</v>
      </c>
      <c r="D462" s="15">
        <f t="shared" si="107"/>
        <v>151966893460.34637</v>
      </c>
      <c r="E462" s="15">
        <f t="shared" si="108"/>
        <v>-144231192749.36554</v>
      </c>
      <c r="F462" s="29">
        <f t="shared" si="109"/>
        <v>47867522873.903023</v>
      </c>
      <c r="G462" s="17">
        <f t="shared" si="110"/>
        <v>11.71341564253893</v>
      </c>
      <c r="H462" s="16">
        <f t="shared" si="111"/>
        <v>2.0469681890643348E-11</v>
      </c>
      <c r="I462" s="16">
        <f t="shared" si="112"/>
        <v>48852737689.934402</v>
      </c>
      <c r="J462" s="16">
        <f t="shared" si="113"/>
        <v>32133389212.684654</v>
      </c>
      <c r="K462" s="18">
        <f t="shared" si="114"/>
        <v>-36797218339.266602</v>
      </c>
      <c r="L462" s="17">
        <f t="shared" si="115"/>
        <v>10.77781370686054</v>
      </c>
      <c r="M462" s="16">
        <f t="shared" si="116"/>
        <v>1.7229800891725945E-11</v>
      </c>
      <c r="N462" s="16">
        <f t="shared" si="117"/>
        <v>87058463961.723816</v>
      </c>
      <c r="O462" s="16">
        <f t="shared" ref="O462:O525" si="119">rMercurio*COS(ΦMercurio)</f>
        <v>57263597477.300522</v>
      </c>
      <c r="P462" s="18">
        <f t="shared" si="118"/>
        <v>-65574816441.469849</v>
      </c>
    </row>
    <row r="463" spans="1:16" x14ac:dyDescent="0.4">
      <c r="A463" s="14">
        <v>0.45</v>
      </c>
      <c r="B463" s="44">
        <f t="shared" ref="B463:B526" si="120">A463*2*PI()</f>
        <v>2.8274333882308138</v>
      </c>
      <c r="C463" s="40">
        <f t="shared" si="106"/>
        <v>6.5801615670703722E-12</v>
      </c>
      <c r="D463" s="15">
        <f t="shared" si="107"/>
        <v>151971952330.83331</v>
      </c>
      <c r="E463" s="15">
        <f t="shared" si="108"/>
        <v>-144533915558.33548</v>
      </c>
      <c r="F463" s="29">
        <f t="shared" si="109"/>
        <v>46961915938.56691</v>
      </c>
      <c r="G463" s="17">
        <f t="shared" si="110"/>
        <v>11.73950342793434</v>
      </c>
      <c r="H463" s="16">
        <f t="shared" si="111"/>
        <v>2.0541701961792903E-11</v>
      </c>
      <c r="I463" s="16">
        <f t="shared" si="112"/>
        <v>48681457936.639191</v>
      </c>
      <c r="J463" s="16">
        <f t="shared" si="113"/>
        <v>32966316383.02499</v>
      </c>
      <c r="K463" s="18">
        <f t="shared" si="114"/>
        <v>-35820473628.51403</v>
      </c>
      <c r="L463" s="17">
        <f t="shared" si="115"/>
        <v>10.801817746296754</v>
      </c>
      <c r="M463" s="16">
        <f t="shared" si="116"/>
        <v>1.7316923347190863E-11</v>
      </c>
      <c r="N463" s="16">
        <f t="shared" si="117"/>
        <v>86620467731.257172</v>
      </c>
      <c r="O463" s="16">
        <f t="shared" si="119"/>
        <v>58658016121.679222</v>
      </c>
      <c r="P463" s="18">
        <f t="shared" si="118"/>
        <v>-63736508961.901772</v>
      </c>
    </row>
    <row r="464" spans="1:16" x14ac:dyDescent="0.4">
      <c r="A464" s="14">
        <v>0.45100000000000001</v>
      </c>
      <c r="B464" s="44">
        <f t="shared" si="120"/>
        <v>2.8337165735379934</v>
      </c>
      <c r="C464" s="40">
        <f t="shared" si="106"/>
        <v>6.5799467134846375E-12</v>
      </c>
      <c r="D464" s="15">
        <f t="shared" si="107"/>
        <v>151976914638.32776</v>
      </c>
      <c r="E464" s="15">
        <f t="shared" si="108"/>
        <v>-144830860037.85214</v>
      </c>
      <c r="F464" s="29">
        <f t="shared" si="109"/>
        <v>46054365305.382736</v>
      </c>
      <c r="G464" s="17">
        <f t="shared" si="110"/>
        <v>11.765591213329749</v>
      </c>
      <c r="H464" s="16">
        <f t="shared" si="111"/>
        <v>2.0612013309699506E-11</v>
      </c>
      <c r="I464" s="16">
        <f t="shared" si="112"/>
        <v>48515396578.432472</v>
      </c>
      <c r="J464" s="16">
        <f t="shared" si="113"/>
        <v>33773866689.076687</v>
      </c>
      <c r="K464" s="18">
        <f t="shared" si="114"/>
        <v>-34829149200.505219</v>
      </c>
      <c r="L464" s="17">
        <f t="shared" si="115"/>
        <v>10.82582178573297</v>
      </c>
      <c r="M464" s="16">
        <f t="shared" si="116"/>
        <v>1.7404457140349392E-11</v>
      </c>
      <c r="N464" s="16">
        <f t="shared" si="117"/>
        <v>86184819664.526901</v>
      </c>
      <c r="O464" s="16">
        <f t="shared" si="119"/>
        <v>59997337242.541283</v>
      </c>
      <c r="P464" s="18">
        <f t="shared" si="118"/>
        <v>-61871986103.662392</v>
      </c>
    </row>
    <row r="465" spans="1:16" x14ac:dyDescent="0.4">
      <c r="A465" s="14">
        <v>0.45200000000000001</v>
      </c>
      <c r="B465" s="44">
        <f t="shared" si="120"/>
        <v>2.8399997588451731</v>
      </c>
      <c r="C465" s="40">
        <f t="shared" si="106"/>
        <v>6.5797360637235307E-12</v>
      </c>
      <c r="D465" s="15">
        <f t="shared" si="107"/>
        <v>151981780167.95572</v>
      </c>
      <c r="E465" s="15">
        <f t="shared" si="108"/>
        <v>-145122013329.85941</v>
      </c>
      <c r="F465" s="29">
        <f t="shared" si="109"/>
        <v>45144908351.982803</v>
      </c>
      <c r="G465" s="17">
        <f t="shared" si="110"/>
        <v>11.791678998725159</v>
      </c>
      <c r="H465" s="16">
        <f t="shared" si="111"/>
        <v>2.0680568085103878E-11</v>
      </c>
      <c r="I465" s="16">
        <f t="shared" si="112"/>
        <v>48354571106.79158</v>
      </c>
      <c r="J465" s="16">
        <f t="shared" si="113"/>
        <v>34555955070.425713</v>
      </c>
      <c r="K465" s="18">
        <f t="shared" si="114"/>
        <v>-33823815812.123898</v>
      </c>
      <c r="L465" s="17">
        <f t="shared" si="115"/>
        <v>10.849825825169184</v>
      </c>
      <c r="M465" s="16">
        <f t="shared" si="116"/>
        <v>1.749235183718476E-11</v>
      </c>
      <c r="N465" s="16">
        <f t="shared" si="117"/>
        <v>85751762482.351929</v>
      </c>
      <c r="O465" s="16">
        <f t="shared" si="119"/>
        <v>61281363555.177376</v>
      </c>
      <c r="P465" s="18">
        <f t="shared" si="118"/>
        <v>-59982991336.27697</v>
      </c>
    </row>
    <row r="466" spans="1:16" x14ac:dyDescent="0.4">
      <c r="A466" s="14">
        <v>0.45300000000000001</v>
      </c>
      <c r="B466" s="44">
        <f t="shared" si="120"/>
        <v>2.8462829441523527</v>
      </c>
      <c r="C466" s="40">
        <f t="shared" si="106"/>
        <v>6.579529626103142E-12</v>
      </c>
      <c r="D466" s="15">
        <f t="shared" si="107"/>
        <v>151986548708.99487</v>
      </c>
      <c r="E466" s="15">
        <f t="shared" si="108"/>
        <v>-145407362824.72861</v>
      </c>
      <c r="F466" s="29">
        <f t="shared" si="109"/>
        <v>44233582545.724289</v>
      </c>
      <c r="G466" s="17">
        <f t="shared" si="110"/>
        <v>11.817766784120568</v>
      </c>
      <c r="H466" s="16">
        <f t="shared" si="111"/>
        <v>2.0747319634153961E-11</v>
      </c>
      <c r="I466" s="16">
        <f t="shared" si="112"/>
        <v>48198997154.013733</v>
      </c>
      <c r="J466" s="16">
        <f t="shared" si="113"/>
        <v>35312505507.78286</v>
      </c>
      <c r="K466" s="18">
        <f t="shared" si="114"/>
        <v>-32805034391.316055</v>
      </c>
      <c r="L466" s="17">
        <f t="shared" si="115"/>
        <v>10.873829864605399</v>
      </c>
      <c r="M466" s="16">
        <f t="shared" si="116"/>
        <v>1.758055679573971E-11</v>
      </c>
      <c r="N466" s="16">
        <f t="shared" si="117"/>
        <v>85321529768.812241</v>
      </c>
      <c r="O466" s="16">
        <f t="shared" si="119"/>
        <v>62509951820.496407</v>
      </c>
      <c r="P466" s="18">
        <f t="shared" si="118"/>
        <v>-58071243877.581375</v>
      </c>
    </row>
    <row r="467" spans="1:16" x14ac:dyDescent="0.4">
      <c r="A467" s="14">
        <v>0.45400000000000001</v>
      </c>
      <c r="B467" s="44">
        <f t="shared" si="120"/>
        <v>2.8525661294595324</v>
      </c>
      <c r="C467" s="40">
        <f t="shared" si="106"/>
        <v>6.5793274087732756E-12</v>
      </c>
      <c r="D467" s="15">
        <f t="shared" si="107"/>
        <v>151991220054.88571</v>
      </c>
      <c r="E467" s="15">
        <f t="shared" si="108"/>
        <v>-145686896161.94272</v>
      </c>
      <c r="F467" s="29">
        <f t="shared" si="109"/>
        <v>43320425441.95536</v>
      </c>
      <c r="G467" s="17">
        <f t="shared" si="110"/>
        <v>11.84385456951598</v>
      </c>
      <c r="H467" s="16">
        <f t="shared" si="111"/>
        <v>2.081222253015445E-11</v>
      </c>
      <c r="I467" s="16">
        <f t="shared" si="112"/>
        <v>48048688627.613808</v>
      </c>
      <c r="J467" s="16">
        <f t="shared" si="113"/>
        <v>36043450369.412453</v>
      </c>
      <c r="K467" s="18">
        <f t="shared" si="114"/>
        <v>-31773356201.400658</v>
      </c>
      <c r="L467" s="17">
        <f t="shared" si="115"/>
        <v>10.897833904041615</v>
      </c>
      <c r="M467" s="16">
        <f t="shared" si="116"/>
        <v>1.7669021195294637E-11</v>
      </c>
      <c r="N467" s="16">
        <f t="shared" si="117"/>
        <v>84894346065.952911</v>
      </c>
      <c r="O467" s="16">
        <f t="shared" si="119"/>
        <v>63683010639.199188</v>
      </c>
      <c r="P467" s="18">
        <f t="shared" si="118"/>
        <v>-56138437365.974281</v>
      </c>
    </row>
    <row r="468" spans="1:16" x14ac:dyDescent="0.4">
      <c r="A468" s="14">
        <v>0.45500000000000002</v>
      </c>
      <c r="B468" s="44">
        <f t="shared" si="120"/>
        <v>2.858849314766712</v>
      </c>
      <c r="C468" s="40">
        <f t="shared" si="106"/>
        <v>6.5791294197171259E-12</v>
      </c>
      <c r="D468" s="15">
        <f t="shared" si="107"/>
        <v>151995794003.24301</v>
      </c>
      <c r="E468" s="15">
        <f t="shared" si="108"/>
        <v>-145960601230.76764</v>
      </c>
      <c r="F468" s="29">
        <f t="shared" si="109"/>
        <v>42405474682.275597</v>
      </c>
      <c r="G468" s="17">
        <f t="shared" si="110"/>
        <v>11.869942354911389</v>
      </c>
      <c r="H468" s="16">
        <f t="shared" si="111"/>
        <v>2.087523260448119E-11</v>
      </c>
      <c r="I468" s="16">
        <f t="shared" si="112"/>
        <v>47903657839.258499</v>
      </c>
      <c r="J468" s="16">
        <f t="shared" si="113"/>
        <v>36748729784.13002</v>
      </c>
      <c r="K468" s="18">
        <f t="shared" si="114"/>
        <v>-30729323025.959213</v>
      </c>
      <c r="L468" s="17">
        <f t="shared" si="115"/>
        <v>10.921837943477831</v>
      </c>
      <c r="M468" s="16">
        <f t="shared" si="116"/>
        <v>1.7757694065648797E-11</v>
      </c>
      <c r="N468" s="16">
        <f t="shared" si="117"/>
        <v>84470426985.317917</v>
      </c>
      <c r="O468" s="16">
        <f t="shared" si="119"/>
        <v>64800498251.086838</v>
      </c>
      <c r="P468" s="18">
        <f t="shared" si="118"/>
        <v>-54186238672.68161</v>
      </c>
    </row>
    <row r="469" spans="1:16" x14ac:dyDescent="0.4">
      <c r="A469" s="14">
        <v>0.45600000000000002</v>
      </c>
      <c r="B469" s="44">
        <f t="shared" si="120"/>
        <v>2.8651325000738916</v>
      </c>
      <c r="C469" s="40">
        <f t="shared" si="106"/>
        <v>6.5789356667509601E-12</v>
      </c>
      <c r="D469" s="15">
        <f t="shared" si="107"/>
        <v>152000270355.8667</v>
      </c>
      <c r="E469" s="15">
        <f t="shared" si="108"/>
        <v>-146228466170.91</v>
      </c>
      <c r="F469" s="29">
        <f t="shared" si="109"/>
        <v>41488767992.790504</v>
      </c>
      <c r="G469" s="17">
        <f t="shared" si="110"/>
        <v>11.896030140306799</v>
      </c>
      <c r="H469" s="16">
        <f t="shared" si="111"/>
        <v>2.0936306976639445E-11</v>
      </c>
      <c r="I469" s="16">
        <f t="shared" si="112"/>
        <v>47763915628.281128</v>
      </c>
      <c r="J469" s="16">
        <f t="shared" si="113"/>
        <v>37428291040.654465</v>
      </c>
      <c r="K469" s="18">
        <f t="shared" si="114"/>
        <v>-29673467372.749397</v>
      </c>
      <c r="L469" s="17">
        <f t="shared" si="115"/>
        <v>10.945841982914045</v>
      </c>
      <c r="M469" s="16">
        <f t="shared" si="116"/>
        <v>1.7846524316487595E-11</v>
      </c>
      <c r="N469" s="16">
        <f t="shared" si="117"/>
        <v>84049979334.867905</v>
      </c>
      <c r="O469" s="16">
        <f t="shared" si="119"/>
        <v>65862420346.53804</v>
      </c>
      <c r="P469" s="18">
        <f t="shared" si="118"/>
        <v>-52216286848.910027</v>
      </c>
    </row>
    <row r="470" spans="1:16" x14ac:dyDescent="0.4">
      <c r="A470" s="14">
        <v>0.45700000000000002</v>
      </c>
      <c r="B470" s="44">
        <f t="shared" si="120"/>
        <v>2.8714156853810708</v>
      </c>
      <c r="C470" s="40">
        <f t="shared" si="106"/>
        <v>6.5787461575238166E-12</v>
      </c>
      <c r="D470" s="15">
        <f t="shared" si="107"/>
        <v>152004648918.75253</v>
      </c>
      <c r="E470" s="15">
        <f t="shared" si="108"/>
        <v>-146490479373.16174</v>
      </c>
      <c r="F470" s="29">
        <f t="shared" si="109"/>
        <v>40570343182.360352</v>
      </c>
      <c r="G470" s="17">
        <f t="shared" si="110"/>
        <v>11.922117925702207</v>
      </c>
      <c r="H470" s="16">
        <f t="shared" si="111"/>
        <v>2.0995404083445516E-11</v>
      </c>
      <c r="I470" s="16">
        <f t="shared" si="112"/>
        <v>47629471479.831215</v>
      </c>
      <c r="J470" s="16">
        <f t="shared" si="113"/>
        <v>38082088013.050858</v>
      </c>
      <c r="K470" s="18">
        <f t="shared" si="114"/>
        <v>-28606312695.178024</v>
      </c>
      <c r="L470" s="17">
        <f t="shared" si="115"/>
        <v>10.969846022350259</v>
      </c>
      <c r="M470" s="16">
        <f t="shared" si="116"/>
        <v>1.7935460766819138E-11</v>
      </c>
      <c r="N470" s="16">
        <f t="shared" si="117"/>
        <v>83633201259.876282</v>
      </c>
      <c r="O470" s="16">
        <f t="shared" si="119"/>
        <v>66868827896.62001</v>
      </c>
      <c r="P470" s="18">
        <f t="shared" si="118"/>
        <v>-50230192202.570618</v>
      </c>
    </row>
    <row r="471" spans="1:16" x14ac:dyDescent="0.4">
      <c r="A471" s="14">
        <v>0.45800000000000002</v>
      </c>
      <c r="B471" s="44">
        <f t="shared" si="120"/>
        <v>2.8776988706882505</v>
      </c>
      <c r="C471" s="40">
        <f t="shared" si="106"/>
        <v>6.5785608995171926E-12</v>
      </c>
      <c r="D471" s="15">
        <f t="shared" si="107"/>
        <v>152008929502.10297</v>
      </c>
      <c r="E471" s="15">
        <f t="shared" si="108"/>
        <v>-146746629480.03177</v>
      </c>
      <c r="F471" s="29">
        <f t="shared" si="109"/>
        <v>39650238140.843307</v>
      </c>
      <c r="G471" s="17">
        <f t="shared" si="110"/>
        <v>11.948205711097616</v>
      </c>
      <c r="H471" s="16">
        <f t="shared" si="111"/>
        <v>2.1052483707311915E-11</v>
      </c>
      <c r="I471" s="16">
        <f t="shared" si="112"/>
        <v>47500333637.720932</v>
      </c>
      <c r="J471" s="16">
        <f t="shared" si="113"/>
        <v>38710080611.962372</v>
      </c>
      <c r="K471" s="18">
        <f t="shared" si="114"/>
        <v>-27528373629.950932</v>
      </c>
      <c r="L471" s="17">
        <f t="shared" si="115"/>
        <v>10.993850061786475</v>
      </c>
      <c r="M471" s="16">
        <f t="shared" si="116"/>
        <v>1.8024452174462961E-11</v>
      </c>
      <c r="N471" s="16">
        <f t="shared" si="117"/>
        <v>83220282396.443619</v>
      </c>
      <c r="O471" s="16">
        <f t="shared" si="119"/>
        <v>67819815007.749306</v>
      </c>
      <c r="P471" s="18">
        <f t="shared" si="118"/>
        <v>-48229535499.095215</v>
      </c>
    </row>
    <row r="472" spans="1:16" x14ac:dyDescent="0.4">
      <c r="A472" s="14">
        <v>0.45900000000000002</v>
      </c>
      <c r="B472" s="44">
        <f t="shared" si="120"/>
        <v>2.8839820559954301</v>
      </c>
      <c r="C472" s="40">
        <f t="shared" si="106"/>
        <v>6.5783799000447574E-12</v>
      </c>
      <c r="D472" s="15">
        <f t="shared" si="107"/>
        <v>152013111920.33716</v>
      </c>
      <c r="E472" s="15">
        <f t="shared" si="108"/>
        <v>-146996905386.36359</v>
      </c>
      <c r="F472" s="29">
        <f t="shared" si="109"/>
        <v>38728490837.333504</v>
      </c>
      <c r="G472" s="17">
        <f t="shared" si="110"/>
        <v>11.974293496493026</v>
      </c>
      <c r="H472" s="16">
        <f t="shared" si="111"/>
        <v>2.1107507003616777E-11</v>
      </c>
      <c r="I472" s="16">
        <f t="shared" si="112"/>
        <v>47376509212.037674</v>
      </c>
      <c r="J472" s="16">
        <f t="shared" si="113"/>
        <v>39312234261.294228</v>
      </c>
      <c r="K472" s="18">
        <f t="shared" si="114"/>
        <v>-26440156249.602898</v>
      </c>
      <c r="L472" s="17">
        <f t="shared" si="115"/>
        <v>11.017854101222689</v>
      </c>
      <c r="M472" s="16">
        <f t="shared" si="116"/>
        <v>1.8113447265574034E-11</v>
      </c>
      <c r="N472" s="16">
        <f t="shared" si="117"/>
        <v>82811404036.318512</v>
      </c>
      <c r="O472" s="16">
        <f t="shared" si="119"/>
        <v>68715516806.275475</v>
      </c>
      <c r="P472" s="18">
        <f t="shared" si="118"/>
        <v>-46215867280.760437</v>
      </c>
    </row>
    <row r="473" spans="1:16" x14ac:dyDescent="0.4">
      <c r="A473" s="14">
        <v>0.46</v>
      </c>
      <c r="B473" s="44">
        <f t="shared" si="120"/>
        <v>2.8902652413026098</v>
      </c>
      <c r="C473" s="40">
        <f t="shared" si="106"/>
        <v>6.5782031662520616E-12</v>
      </c>
      <c r="D473" s="15">
        <f t="shared" si="107"/>
        <v>152017195992.10117</v>
      </c>
      <c r="E473" s="15">
        <f t="shared" si="108"/>
        <v>-147241296239.94</v>
      </c>
      <c r="F473" s="29">
        <f t="shared" si="109"/>
        <v>37805139318.393257</v>
      </c>
      <c r="G473" s="17">
        <f t="shared" si="110"/>
        <v>12.000381281888435</v>
      </c>
      <c r="H473" s="16">
        <f t="shared" si="111"/>
        <v>2.116043652713895E-11</v>
      </c>
      <c r="I473" s="16">
        <f t="shared" si="112"/>
        <v>47258004281.597282</v>
      </c>
      <c r="J473" s="16">
        <f t="shared" si="113"/>
        <v>39888519399.987633</v>
      </c>
      <c r="K473" s="18">
        <f t="shared" si="114"/>
        <v>-25342158328.687733</v>
      </c>
      <c r="L473" s="17">
        <f t="shared" si="115"/>
        <v>11.041858140658904</v>
      </c>
      <c r="M473" s="16">
        <f t="shared" si="116"/>
        <v>1.8202394764185065E-11</v>
      </c>
      <c r="N473" s="16">
        <f t="shared" si="117"/>
        <v>82406739301.764404</v>
      </c>
      <c r="O473" s="16">
        <f t="shared" si="119"/>
        <v>69556107357.842331</v>
      </c>
      <c r="P473" s="18">
        <f t="shared" si="118"/>
        <v>-44190707298.857231</v>
      </c>
    </row>
    <row r="474" spans="1:16" x14ac:dyDescent="0.4">
      <c r="A474" s="14">
        <v>0.46100000000000002</v>
      </c>
      <c r="B474" s="44">
        <f t="shared" si="120"/>
        <v>2.8965484266097894</v>
      </c>
      <c r="C474" s="40">
        <f t="shared" si="106"/>
        <v>6.5780307051162506E-12</v>
      </c>
      <c r="D474" s="15">
        <f t="shared" si="107"/>
        <v>152021181540.27792</v>
      </c>
      <c r="E474" s="15">
        <f t="shared" si="108"/>
        <v>-147479791442.07431</v>
      </c>
      <c r="F474" s="29">
        <f t="shared" si="109"/>
        <v>36880221706.280411</v>
      </c>
      <c r="G474" s="17">
        <f t="shared" si="110"/>
        <v>12.026469067283847</v>
      </c>
      <c r="H474" s="16">
        <f t="shared" si="111"/>
        <v>2.1211236257540754E-11</v>
      </c>
      <c r="I474" s="16">
        <f t="shared" si="112"/>
        <v>47144823991.316986</v>
      </c>
      <c r="J474" s="16">
        <f t="shared" si="113"/>
        <v>40438911008.498383</v>
      </c>
      <c r="K474" s="18">
        <f t="shared" si="114"/>
        <v>-24234869622.488297</v>
      </c>
      <c r="L474" s="17">
        <f t="shared" si="115"/>
        <v>11.06586218009512</v>
      </c>
      <c r="M474" s="16">
        <f t="shared" si="116"/>
        <v>1.8291243421749938E-11</v>
      </c>
      <c r="N474" s="16">
        <f t="shared" si="117"/>
        <v>82006453329.26709</v>
      </c>
      <c r="O474" s="16">
        <f t="shared" si="119"/>
        <v>70341797625.876938</v>
      </c>
      <c r="P474" s="18">
        <f t="shared" si="118"/>
        <v>-42155544053.011978</v>
      </c>
    </row>
    <row r="475" spans="1:16" x14ac:dyDescent="0.4">
      <c r="A475" s="14">
        <v>0.46200000000000002</v>
      </c>
      <c r="B475" s="44">
        <f t="shared" si="120"/>
        <v>2.902831611916969</v>
      </c>
      <c r="C475" s="40">
        <f t="shared" si="106"/>
        <v>6.5778625234457982E-12</v>
      </c>
      <c r="D475" s="15">
        <f t="shared" si="107"/>
        <v>152025068391.9968</v>
      </c>
      <c r="E475" s="15">
        <f t="shared" si="108"/>
        <v>-147712380648.18768</v>
      </c>
      <c r="F475" s="29">
        <f t="shared" si="109"/>
        <v>35953776197.17038</v>
      </c>
      <c r="G475" s="17">
        <f t="shared" si="110"/>
        <v>12.052556852679256</v>
      </c>
      <c r="H475" s="16">
        <f t="shared" si="111"/>
        <v>2.1259871623881024E-11</v>
      </c>
      <c r="I475" s="16">
        <f t="shared" si="112"/>
        <v>47036972644.590614</v>
      </c>
      <c r="J475" s="16">
        <f t="shared" si="113"/>
        <v>40963388159.57972</v>
      </c>
      <c r="K475" s="18">
        <f t="shared" si="114"/>
        <v>-23118772157.179321</v>
      </c>
      <c r="L475" s="17">
        <f t="shared" si="115"/>
        <v>11.089866219531336</v>
      </c>
      <c r="M475" s="16">
        <f t="shared" si="116"/>
        <v>1.8379942046671405E-11</v>
      </c>
      <c r="N475" s="16">
        <f t="shared" si="117"/>
        <v>81610703460.931152</v>
      </c>
      <c r="O475" s="16">
        <f t="shared" si="119"/>
        <v>71072833473.072998</v>
      </c>
      <c r="P475" s="18">
        <f t="shared" si="118"/>
        <v>-40111834431.958778</v>
      </c>
    </row>
    <row r="476" spans="1:16" x14ac:dyDescent="0.4">
      <c r="A476" s="14">
        <v>0.46300000000000002</v>
      </c>
      <c r="B476" s="44">
        <f t="shared" si="120"/>
        <v>2.9091147972241487</v>
      </c>
      <c r="C476" s="40">
        <f t="shared" si="106"/>
        <v>6.5776986278802245E-12</v>
      </c>
      <c r="D476" s="15">
        <f t="shared" si="107"/>
        <v>152028856378.64304</v>
      </c>
      <c r="E476" s="15">
        <f t="shared" si="108"/>
        <v>-147939053768.37311</v>
      </c>
      <c r="F476" s="29">
        <f t="shared" si="109"/>
        <v>35025841059.373283</v>
      </c>
      <c r="G476" s="17">
        <f t="shared" si="110"/>
        <v>12.078644638074666</v>
      </c>
      <c r="H476" s="16">
        <f t="shared" si="111"/>
        <v>2.1306309528141819E-11</v>
      </c>
      <c r="I476" s="16">
        <f t="shared" si="112"/>
        <v>46934453790.750534</v>
      </c>
      <c r="J476" s="16">
        <f t="shared" si="113"/>
        <v>41461933592.958427</v>
      </c>
      <c r="K476" s="18">
        <f t="shared" si="114"/>
        <v>-21994340530.445618</v>
      </c>
      <c r="L476" s="17">
        <f t="shared" si="115"/>
        <v>11.11387025896755</v>
      </c>
      <c r="M476" s="16">
        <f t="shared" si="116"/>
        <v>1.8468439533795972E-11</v>
      </c>
      <c r="N476" s="16">
        <f t="shared" si="117"/>
        <v>81219639442.471756</v>
      </c>
      <c r="O476" s="16">
        <f t="shared" si="119"/>
        <v>71749493709.276642</v>
      </c>
      <c r="P476" s="18">
        <f t="shared" si="118"/>
        <v>-38061003450.087662</v>
      </c>
    </row>
    <row r="477" spans="1:16" x14ac:dyDescent="0.4">
      <c r="A477" s="14">
        <v>0.46400000000000002</v>
      </c>
      <c r="B477" s="44">
        <f t="shared" si="120"/>
        <v>2.9153979825313283</v>
      </c>
      <c r="C477" s="40">
        <f t="shared" si="106"/>
        <v>6.5775390248898486E-12</v>
      </c>
      <c r="D477" s="15">
        <f t="shared" si="107"/>
        <v>152032545335.86694</v>
      </c>
      <c r="E477" s="15">
        <f t="shared" si="108"/>
        <v>-148159800967.94595</v>
      </c>
      <c r="F477" s="29">
        <f t="shared" si="109"/>
        <v>34096454631.546146</v>
      </c>
      <c r="G477" s="17">
        <f t="shared" si="110"/>
        <v>12.104732423470075</v>
      </c>
      <c r="H477" s="16">
        <f t="shared" si="111"/>
        <v>2.135051836775275E-11</v>
      </c>
      <c r="I477" s="16">
        <f t="shared" si="112"/>
        <v>46837270307.70237</v>
      </c>
      <c r="J477" s="16">
        <f t="shared" si="113"/>
        <v>41934533313.484688</v>
      </c>
      <c r="K477" s="18">
        <f t="shared" si="114"/>
        <v>-20862042221.628754</v>
      </c>
      <c r="L477" s="17">
        <f t="shared" si="115"/>
        <v>11.137874298403766</v>
      </c>
      <c r="M477" s="16">
        <f t="shared" si="116"/>
        <v>1.855668489385896E-11</v>
      </c>
      <c r="N477" s="16">
        <f t="shared" si="117"/>
        <v>80833403626.76532</v>
      </c>
      <c r="O477" s="16">
        <f t="shared" si="119"/>
        <v>72372088188.74118</v>
      </c>
      <c r="P477" s="18">
        <f t="shared" si="118"/>
        <v>-36004444074.150436</v>
      </c>
    </row>
    <row r="478" spans="1:16" x14ac:dyDescent="0.4">
      <c r="A478" s="14">
        <v>0.46500000000000002</v>
      </c>
      <c r="B478" s="44">
        <f t="shared" si="120"/>
        <v>2.921681167838508</v>
      </c>
      <c r="C478" s="40">
        <f t="shared" si="106"/>
        <v>6.5773837207755225E-12</v>
      </c>
      <c r="D478" s="15">
        <f t="shared" si="107"/>
        <v>152036135103.59293</v>
      </c>
      <c r="E478" s="15">
        <f t="shared" si="108"/>
        <v>-148374612667.98035</v>
      </c>
      <c r="F478" s="29">
        <f t="shared" si="109"/>
        <v>33165655320.900391</v>
      </c>
      <c r="G478" s="17">
        <f t="shared" si="110"/>
        <v>12.130820208865485</v>
      </c>
      <c r="H478" s="16">
        <f t="shared" si="111"/>
        <v>2.1392468057097595E-11</v>
      </c>
      <c r="I478" s="16">
        <f t="shared" si="112"/>
        <v>46745424479.819191</v>
      </c>
      <c r="J478" s="16">
        <f t="shared" si="113"/>
        <v>42381176212.335976</v>
      </c>
      <c r="K478" s="18">
        <f t="shared" si="114"/>
        <v>-19722337910.537037</v>
      </c>
      <c r="L478" s="17">
        <f t="shared" si="115"/>
        <v>11.16187833783998</v>
      </c>
      <c r="M478" s="16">
        <f t="shared" si="116"/>
        <v>1.8644627282862775E-11</v>
      </c>
      <c r="N478" s="16">
        <f t="shared" si="117"/>
        <v>80452131181.980042</v>
      </c>
      <c r="O478" s="16">
        <f t="shared" si="119"/>
        <v>72940955959.304062</v>
      </c>
      <c r="P478" s="18">
        <f t="shared" si="118"/>
        <v>-33943517134.577988</v>
      </c>
    </row>
    <row r="479" spans="1:16" x14ac:dyDescent="0.4">
      <c r="A479" s="14">
        <v>0.46600000000000003</v>
      </c>
      <c r="B479" s="44">
        <f t="shared" si="120"/>
        <v>2.9279643531456871</v>
      </c>
      <c r="C479" s="40">
        <f t="shared" si="106"/>
        <v>6.5772327216683865E-12</v>
      </c>
      <c r="D479" s="15">
        <f t="shared" si="107"/>
        <v>152039625526.02808</v>
      </c>
      <c r="E479" s="15">
        <f t="shared" si="108"/>
        <v>-148583479545.83228</v>
      </c>
      <c r="F479" s="29">
        <f t="shared" si="109"/>
        <v>32233481601.404682</v>
      </c>
      <c r="G479" s="17">
        <f t="shared" si="110"/>
        <v>12.156907994260893</v>
      </c>
      <c r="H479" s="16">
        <f t="shared" si="111"/>
        <v>2.1432130047988582E-11</v>
      </c>
      <c r="I479" s="16">
        <f t="shared" si="112"/>
        <v>46658918071.181198</v>
      </c>
      <c r="J479" s="16">
        <f t="shared" si="113"/>
        <v>42801853710.854805</v>
      </c>
      <c r="K479" s="18">
        <f t="shared" si="114"/>
        <v>-18575681804.116486</v>
      </c>
      <c r="L479" s="17">
        <f t="shared" si="115"/>
        <v>11.185882377276194</v>
      </c>
      <c r="M479" s="16">
        <f t="shared" si="116"/>
        <v>1.8732216031371535E-11</v>
      </c>
      <c r="N479" s="16">
        <f t="shared" si="117"/>
        <v>80075950303.364777</v>
      </c>
      <c r="O479" s="16">
        <f t="shared" si="119"/>
        <v>73456463465.646149</v>
      </c>
      <c r="P479" s="18">
        <f t="shared" si="118"/>
        <v>-31879551315.963314</v>
      </c>
    </row>
    <row r="480" spans="1:16" x14ac:dyDescent="0.4">
      <c r="A480" s="14">
        <v>0.46700000000000003</v>
      </c>
      <c r="B480" s="44">
        <f t="shared" si="120"/>
        <v>2.9342475384528668</v>
      </c>
      <c r="C480" s="40">
        <f t="shared" si="106"/>
        <v>6.5770860335296275E-12</v>
      </c>
      <c r="D480" s="15">
        <f t="shared" si="107"/>
        <v>152043016451.6709</v>
      </c>
      <c r="E480" s="15">
        <f t="shared" si="108"/>
        <v>-148786392535.64874</v>
      </c>
      <c r="F480" s="29">
        <f t="shared" si="109"/>
        <v>31299972011.982967</v>
      </c>
      <c r="G480" s="17">
        <f t="shared" si="110"/>
        <v>12.182995779656304</v>
      </c>
      <c r="H480" s="16">
        <f t="shared" si="111"/>
        <v>2.1469477349094413E-11</v>
      </c>
      <c r="I480" s="16">
        <f t="shared" si="112"/>
        <v>46577752394.246346</v>
      </c>
      <c r="J480" s="16">
        <f t="shared" si="113"/>
        <v>43196559426.606201</v>
      </c>
      <c r="K480" s="18">
        <f t="shared" si="114"/>
        <v>-17422521970.237251</v>
      </c>
      <c r="L480" s="17">
        <f t="shared" si="115"/>
        <v>11.209886416712409</v>
      </c>
      <c r="M480" s="16">
        <f t="shared" si="116"/>
        <v>1.8819400673705071E-11</v>
      </c>
      <c r="N480" s="16">
        <f t="shared" si="117"/>
        <v>79704982427.832397</v>
      </c>
      <c r="O480" s="16">
        <f t="shared" si="119"/>
        <v>73919002808.42598</v>
      </c>
      <c r="P480" s="18">
        <f t="shared" si="118"/>
        <v>-29813843221.37928</v>
      </c>
    </row>
    <row r="481" spans="1:16" x14ac:dyDescent="0.4">
      <c r="A481" s="14">
        <v>0.46800000000000003</v>
      </c>
      <c r="B481" s="44">
        <f t="shared" si="120"/>
        <v>2.9405307237600464</v>
      </c>
      <c r="C481" s="40">
        <f t="shared" si="106"/>
        <v>6.5769436621502409E-12</v>
      </c>
      <c r="D481" s="15">
        <f t="shared" si="107"/>
        <v>152046307733.31937</v>
      </c>
      <c r="E481" s="15">
        <f t="shared" si="108"/>
        <v>-148983342828.86298</v>
      </c>
      <c r="F481" s="29">
        <f t="shared" si="109"/>
        <v>30365165154.708748</v>
      </c>
      <c r="G481" s="17">
        <f t="shared" si="110"/>
        <v>12.209083565051714</v>
      </c>
      <c r="H481" s="16">
        <f t="shared" si="111"/>
        <v>2.1504484544308761E-11</v>
      </c>
      <c r="I481" s="16">
        <f t="shared" si="112"/>
        <v>46501928374.03553</v>
      </c>
      <c r="J481" s="16">
        <f t="shared" si="113"/>
        <v>43565288861.247414</v>
      </c>
      <c r="K481" s="18">
        <f t="shared" si="114"/>
        <v>-16263300677.906759</v>
      </c>
      <c r="L481" s="17">
        <f t="shared" si="115"/>
        <v>11.233890456148625</v>
      </c>
      <c r="M481" s="16">
        <f t="shared" si="116"/>
        <v>1.8906130977015551E-11</v>
      </c>
      <c r="N481" s="16">
        <f t="shared" si="117"/>
        <v>79339342450.529465</v>
      </c>
      <c r="O481" s="16">
        <f t="shared" si="119"/>
        <v>74328990060.736023</v>
      </c>
      <c r="P481" s="18">
        <f t="shared" si="118"/>
        <v>-27747657505.335316</v>
      </c>
    </row>
    <row r="482" spans="1:16" x14ac:dyDescent="0.4">
      <c r="A482" s="14">
        <v>0.46899999999999997</v>
      </c>
      <c r="B482" s="44">
        <f t="shared" si="120"/>
        <v>2.9468139090672256</v>
      </c>
      <c r="C482" s="40">
        <f t="shared" si="106"/>
        <v>6.5768056131508066E-12</v>
      </c>
      <c r="D482" s="15">
        <f t="shared" si="107"/>
        <v>152049499228.07913</v>
      </c>
      <c r="E482" s="15">
        <f t="shared" si="108"/>
        <v>-149174321874.67596</v>
      </c>
      <c r="F482" s="29">
        <f t="shared" si="109"/>
        <v>29429099692.994469</v>
      </c>
      <c r="G482" s="17">
        <f t="shared" si="110"/>
        <v>12.235171350447121</v>
      </c>
      <c r="H482" s="16">
        <f t="shared" si="111"/>
        <v>2.1537127810046804E-11</v>
      </c>
      <c r="I482" s="16">
        <f t="shared" si="112"/>
        <v>46431446607.913635</v>
      </c>
      <c r="J482" s="16">
        <f t="shared" si="113"/>
        <v>43908039109.814857</v>
      </c>
      <c r="K482" s="18">
        <f t="shared" si="114"/>
        <v>-15098454743.267721</v>
      </c>
      <c r="L482" s="17">
        <f t="shared" si="115"/>
        <v>11.257894495584837</v>
      </c>
      <c r="M482" s="16">
        <f t="shared" si="116"/>
        <v>1.8992356970229919E-11</v>
      </c>
      <c r="N482" s="16">
        <f t="shared" si="117"/>
        <v>78979138942.639679</v>
      </c>
      <c r="O482" s="16">
        <f t="shared" si="119"/>
        <v>74686863643.009567</v>
      </c>
      <c r="P482" s="18">
        <f t="shared" si="118"/>
        <v>-25682227070.316151</v>
      </c>
    </row>
    <row r="483" spans="1:16" x14ac:dyDescent="0.4">
      <c r="A483" s="14">
        <v>0.47</v>
      </c>
      <c r="B483" s="44">
        <f t="shared" si="120"/>
        <v>2.9530970943744053</v>
      </c>
      <c r="C483" s="40">
        <f t="shared" si="106"/>
        <v>6.5766718919812606E-12</v>
      </c>
      <c r="D483" s="15">
        <f t="shared" si="107"/>
        <v>152052590797.37125</v>
      </c>
      <c r="E483" s="15">
        <f t="shared" si="108"/>
        <v>-149359321380.52411</v>
      </c>
      <c r="F483" s="29">
        <f t="shared" si="109"/>
        <v>28491814349.776737</v>
      </c>
      <c r="G483" s="17">
        <f t="shared" si="110"/>
        <v>12.261259135842531</v>
      </c>
      <c r="H483" s="16">
        <f t="shared" si="111"/>
        <v>2.1567384931457991E-11</v>
      </c>
      <c r="I483" s="16">
        <f t="shared" si="112"/>
        <v>46366307421.045242</v>
      </c>
      <c r="J483" s="16">
        <f t="shared" si="113"/>
        <v>44224808591.045052</v>
      </c>
      <c r="K483" s="18">
        <f t="shared" si="114"/>
        <v>-13928415880.792131</v>
      </c>
      <c r="L483" s="17">
        <f t="shared" si="115"/>
        <v>11.281898535021053</v>
      </c>
      <c r="M483" s="16">
        <f t="shared" si="116"/>
        <v>1.9078028972841641E-11</v>
      </c>
      <c r="N483" s="16">
        <f t="shared" si="117"/>
        <v>78624474369.721924</v>
      </c>
      <c r="O483" s="16">
        <f t="shared" si="119"/>
        <v>74993082757.205551</v>
      </c>
      <c r="P483" s="18">
        <f t="shared" si="118"/>
        <v>-23618753322.010422</v>
      </c>
    </row>
    <row r="484" spans="1:16" x14ac:dyDescent="0.4">
      <c r="A484" s="14">
        <v>0.47099999999999997</v>
      </c>
      <c r="B484" s="44">
        <f t="shared" si="120"/>
        <v>2.9593802796815849</v>
      </c>
      <c r="C484" s="40">
        <f t="shared" si="106"/>
        <v>6.5765425039206883E-12</v>
      </c>
      <c r="D484" s="15">
        <f t="shared" si="107"/>
        <v>152055582306.93976</v>
      </c>
      <c r="E484" s="15">
        <f t="shared" si="108"/>
        <v>-149538333312.53259</v>
      </c>
      <c r="F484" s="29">
        <f t="shared" si="109"/>
        <v>27553347905.698101</v>
      </c>
      <c r="G484" s="17">
        <f t="shared" si="110"/>
        <v>12.28734692123794</v>
      </c>
      <c r="H484" s="16">
        <f t="shared" si="111"/>
        <v>2.1595235317543991E-11</v>
      </c>
      <c r="I484" s="16">
        <f t="shared" si="112"/>
        <v>46306510917.600372</v>
      </c>
      <c r="J484" s="16">
        <f t="shared" si="113"/>
        <v>44515596798.363022</v>
      </c>
      <c r="K484" s="18">
        <f t="shared" si="114"/>
        <v>-12753611059.124189</v>
      </c>
      <c r="L484" s="17">
        <f t="shared" si="115"/>
        <v>11.305902574457267</v>
      </c>
      <c r="M484" s="16">
        <f t="shared" si="116"/>
        <v>1.9163097623534803E-11</v>
      </c>
      <c r="N484" s="16">
        <f t="shared" si="117"/>
        <v>78275445309.937927</v>
      </c>
      <c r="O484" s="16">
        <f t="shared" si="119"/>
        <v>75248125880.827637</v>
      </c>
      <c r="P484" s="18">
        <f t="shared" si="118"/>
        <v>-21558406478.499313</v>
      </c>
    </row>
    <row r="485" spans="1:16" x14ac:dyDescent="0.4">
      <c r="A485" s="14">
        <v>0.47199999999999998</v>
      </c>
      <c r="B485" s="44">
        <f t="shared" si="120"/>
        <v>2.9656634649887645</v>
      </c>
      <c r="C485" s="40">
        <f t="shared" si="106"/>
        <v>6.5764174540771067E-12</v>
      </c>
      <c r="D485" s="15">
        <f t="shared" si="107"/>
        <v>152058473626.85916</v>
      </c>
      <c r="E485" s="15">
        <f t="shared" si="108"/>
        <v>-149711349895.95532</v>
      </c>
      <c r="F485" s="29">
        <f t="shared" si="109"/>
        <v>26613739197.284267</v>
      </c>
      <c r="G485" s="17">
        <f t="shared" si="110"/>
        <v>12.31343470663335</v>
      </c>
      <c r="H485" s="16">
        <f t="shared" si="111"/>
        <v>2.1620660015171557E-11</v>
      </c>
      <c r="I485" s="16">
        <f t="shared" si="112"/>
        <v>46252057027.78196</v>
      </c>
      <c r="J485" s="16">
        <f t="shared" si="113"/>
        <v>44780404071.18943</v>
      </c>
      <c r="K485" s="18">
        <f t="shared" si="114"/>
        <v>-11574462861.065973</v>
      </c>
      <c r="L485" s="17">
        <f t="shared" si="115"/>
        <v>11.329906613893483</v>
      </c>
      <c r="M485" s="16">
        <f t="shared" si="116"/>
        <v>1.9247513908624538E-11</v>
      </c>
      <c r="N485" s="16">
        <f t="shared" si="117"/>
        <v>77932142671.572311</v>
      </c>
      <c r="O485" s="16">
        <f t="shared" si="119"/>
        <v>75452489321.077637</v>
      </c>
      <c r="P485" s="18">
        <f t="shared" si="118"/>
        <v>-19502325928.846703</v>
      </c>
    </row>
    <row r="486" spans="1:16" x14ac:dyDescent="0.4">
      <c r="A486" s="14">
        <v>0.47299999999999998</v>
      </c>
      <c r="B486" s="44">
        <f t="shared" si="120"/>
        <v>2.9719466502959442</v>
      </c>
      <c r="C486" s="40">
        <f t="shared" si="106"/>
        <v>6.5762967473872696E-12</v>
      </c>
      <c r="D486" s="15">
        <f t="shared" si="107"/>
        <v>152061264631.54132</v>
      </c>
      <c r="E486" s="15">
        <f t="shared" si="108"/>
        <v>-149878363615.60019</v>
      </c>
      <c r="F486" s="29">
        <f t="shared" si="109"/>
        <v>25673027115.11776</v>
      </c>
      <c r="G486" s="17">
        <f t="shared" si="110"/>
        <v>12.339522492028761</v>
      </c>
      <c r="H486" s="16">
        <f t="shared" si="111"/>
        <v>2.164364172197081E-11</v>
      </c>
      <c r="I486" s="16">
        <f t="shared" si="112"/>
        <v>46202945550.742683</v>
      </c>
      <c r="J486" s="16">
        <f t="shared" si="113"/>
        <v>45019231386.237289</v>
      </c>
      <c r="K486" s="18">
        <f t="shared" si="114"/>
        <v>-10391389847.239908</v>
      </c>
      <c r="L486" s="17">
        <f t="shared" si="115"/>
        <v>11.353910653329699</v>
      </c>
      <c r="M486" s="16">
        <f t="shared" si="116"/>
        <v>1.9331229190296995E-11</v>
      </c>
      <c r="N486" s="16">
        <f t="shared" si="117"/>
        <v>77594651909.300278</v>
      </c>
      <c r="O486" s="16">
        <f t="shared" si="119"/>
        <v>75606685829.214981</v>
      </c>
      <c r="P486" s="18">
        <f t="shared" si="118"/>
        <v>-17451620636.716236</v>
      </c>
    </row>
    <row r="487" spans="1:16" x14ac:dyDescent="0.4">
      <c r="A487" s="14">
        <v>0.47399999999999998</v>
      </c>
      <c r="B487" s="44">
        <f t="shared" si="120"/>
        <v>2.9782298356031238</v>
      </c>
      <c r="C487" s="40">
        <f t="shared" si="106"/>
        <v>6.5761803886164715E-12</v>
      </c>
      <c r="D487" s="15">
        <f t="shared" si="107"/>
        <v>152063955199.74246</v>
      </c>
      <c r="E487" s="15">
        <f t="shared" si="108"/>
        <v>-150039367216.24084</v>
      </c>
      <c r="F487" s="29">
        <f t="shared" si="109"/>
        <v>24731250602.007919</v>
      </c>
      <c r="G487" s="17">
        <f t="shared" si="110"/>
        <v>12.365610277424171</v>
      </c>
      <c r="H487" s="16">
        <f t="shared" si="111"/>
        <v>2.1664164798110047E-11</v>
      </c>
      <c r="I487" s="16">
        <f t="shared" si="112"/>
        <v>46159176193.454674</v>
      </c>
      <c r="J487" s="16">
        <f t="shared" si="113"/>
        <v>45232080168.490562</v>
      </c>
      <c r="K487" s="18">
        <f t="shared" si="114"/>
        <v>-9204806922.996048</v>
      </c>
      <c r="L487" s="17">
        <f t="shared" si="115"/>
        <v>11.377914692765914</v>
      </c>
      <c r="M487" s="16">
        <f t="shared" si="116"/>
        <v>1.9414195234632836E-11</v>
      </c>
      <c r="N487" s="16">
        <f t="shared" si="117"/>
        <v>77263053238.702438</v>
      </c>
      <c r="O487" s="16">
        <f t="shared" si="119"/>
        <v>75711243274.980667</v>
      </c>
      <c r="P487" s="18">
        <f t="shared" si="118"/>
        <v>-15407369584.820854</v>
      </c>
    </row>
    <row r="488" spans="1:16" x14ac:dyDescent="0.4">
      <c r="A488" s="14">
        <v>0.47499999999999998</v>
      </c>
      <c r="B488" s="44">
        <f t="shared" si="120"/>
        <v>2.9845130209103035</v>
      </c>
      <c r="C488" s="40">
        <f t="shared" si="106"/>
        <v>6.5760683823583573E-12</v>
      </c>
      <c r="D488" s="15">
        <f t="shared" si="107"/>
        <v>152066545214.56979</v>
      </c>
      <c r="E488" s="15">
        <f t="shared" si="108"/>
        <v>-150194353703.01392</v>
      </c>
      <c r="F488" s="29">
        <f t="shared" si="109"/>
        <v>23788448651.157322</v>
      </c>
      <c r="G488" s="17">
        <f t="shared" si="110"/>
        <v>12.391698062819581</v>
      </c>
      <c r="H488" s="16">
        <f t="shared" si="111"/>
        <v>2.1682215276939215E-11</v>
      </c>
      <c r="I488" s="16">
        <f t="shared" si="112"/>
        <v>46120748605.590164</v>
      </c>
      <c r="J488" s="16">
        <f t="shared" si="113"/>
        <v>45418952121.580193</v>
      </c>
      <c r="K488" s="18">
        <f t="shared" si="114"/>
        <v>-8015125708.1628599</v>
      </c>
      <c r="L488" s="17">
        <f t="shared" si="115"/>
        <v>11.40191873220213</v>
      </c>
      <c r="M488" s="16">
        <f t="shared" si="116"/>
        <v>1.9496364239397994E-11</v>
      </c>
      <c r="N488" s="16">
        <f t="shared" si="117"/>
        <v>76937421848.573181</v>
      </c>
      <c r="O488" s="16">
        <f t="shared" si="119"/>
        <v>75766703380.755951</v>
      </c>
      <c r="P488" s="18">
        <f t="shared" si="118"/>
        <v>-13370622256.194815</v>
      </c>
    </row>
    <row r="489" spans="1:16" x14ac:dyDescent="0.4">
      <c r="A489" s="14">
        <v>0.47599999999999998</v>
      </c>
      <c r="B489" s="44">
        <f t="shared" si="120"/>
        <v>2.9907962062174831</v>
      </c>
      <c r="C489" s="40">
        <f t="shared" si="106"/>
        <v>6.5759607330347407E-12</v>
      </c>
      <c r="D489" s="15">
        <f t="shared" si="107"/>
        <v>152069034563.48801</v>
      </c>
      <c r="E489" s="15">
        <f t="shared" si="108"/>
        <v>-150343316341.80255</v>
      </c>
      <c r="F489" s="29">
        <f t="shared" si="109"/>
        <v>22844660304.32476</v>
      </c>
      <c r="G489" s="17">
        <f t="shared" si="110"/>
        <v>12.41778584821499</v>
      </c>
      <c r="H489" s="16">
        <f t="shared" si="111"/>
        <v>2.169778087449466E-11</v>
      </c>
      <c r="I489" s="16">
        <f t="shared" si="112"/>
        <v>46087662410.467125</v>
      </c>
      <c r="J489" s="16">
        <f t="shared" si="113"/>
        <v>45579849077.297234</v>
      </c>
      <c r="K489" s="18">
        <f t="shared" si="114"/>
        <v>-6822754909.2717228</v>
      </c>
      <c r="L489" s="17">
        <f t="shared" si="115"/>
        <v>11.425922771638344</v>
      </c>
      <c r="M489" s="16">
        <f t="shared" si="116"/>
        <v>1.957768886158567E-11</v>
      </c>
      <c r="N489" s="16">
        <f t="shared" si="117"/>
        <v>76617828110.611282</v>
      </c>
      <c r="O489" s="16">
        <f t="shared" si="119"/>
        <v>75773620514.952209</v>
      </c>
      <c r="P489" s="18">
        <f t="shared" si="118"/>
        <v>-11342399148.469023</v>
      </c>
    </row>
    <row r="490" spans="1:16" x14ac:dyDescent="0.4">
      <c r="A490" s="14">
        <v>0.47699999999999998</v>
      </c>
      <c r="B490" s="44">
        <f t="shared" si="120"/>
        <v>2.9970793915246623</v>
      </c>
      <c r="C490" s="40">
        <f t="shared" si="106"/>
        <v>6.5758574448954357E-12</v>
      </c>
      <c r="D490" s="15">
        <f t="shared" si="107"/>
        <v>152071423138.32523</v>
      </c>
      <c r="E490" s="15">
        <f t="shared" si="108"/>
        <v>-150486248659.60522</v>
      </c>
      <c r="F490" s="29">
        <f t="shared" si="109"/>
        <v>21899924649.984951</v>
      </c>
      <c r="G490" s="17">
        <f t="shared" si="110"/>
        <v>12.443873633610398</v>
      </c>
      <c r="H490" s="16">
        <f t="shared" si="111"/>
        <v>2.1710850997858803E-11</v>
      </c>
      <c r="I490" s="16">
        <f t="shared" si="112"/>
        <v>46059917232.107735</v>
      </c>
      <c r="J490" s="16">
        <f t="shared" si="113"/>
        <v>45714772864.008041</v>
      </c>
      <c r="K490" s="18">
        <f t="shared" si="114"/>
        <v>-5628100693.9081373</v>
      </c>
      <c r="L490" s="17">
        <f t="shared" si="115"/>
        <v>11.449926811074558</v>
      </c>
      <c r="M490" s="16">
        <f t="shared" si="116"/>
        <v>1.9658122244693837E-11</v>
      </c>
      <c r="N490" s="16">
        <f t="shared" si="117"/>
        <v>76304337786.122131</v>
      </c>
      <c r="O490" s="16">
        <f t="shared" si="119"/>
        <v>75732560543.975922</v>
      </c>
      <c r="P490" s="18">
        <f t="shared" si="118"/>
        <v>-9323692317.5127258</v>
      </c>
    </row>
    <row r="491" spans="1:16" x14ac:dyDescent="0.4">
      <c r="A491" s="14">
        <v>0.47799999999999998</v>
      </c>
      <c r="B491" s="44">
        <f t="shared" si="120"/>
        <v>3.0033625768318419</v>
      </c>
      <c r="C491" s="40">
        <f t="shared" si="106"/>
        <v>6.5757585220180783E-12</v>
      </c>
      <c r="D491" s="15">
        <f t="shared" si="107"/>
        <v>152073710835.27917</v>
      </c>
      <c r="E491" s="15">
        <f t="shared" si="108"/>
        <v>-150623144444.89087</v>
      </c>
      <c r="F491" s="29">
        <f t="shared" si="109"/>
        <v>20954280821.484772</v>
      </c>
      <c r="G491" s="17">
        <f t="shared" si="110"/>
        <v>12.469961419005807</v>
      </c>
      <c r="H491" s="16">
        <f t="shared" si="111"/>
        <v>2.172141675236898E-11</v>
      </c>
      <c r="I491" s="16">
        <f t="shared" si="112"/>
        <v>46037512718.452774</v>
      </c>
      <c r="J491" s="16">
        <f t="shared" si="113"/>
        <v>45823725193.763603</v>
      </c>
      <c r="K491" s="18">
        <f t="shared" si="114"/>
        <v>-4431567066.8665361</v>
      </c>
      <c r="L491" s="17">
        <f t="shared" si="115"/>
        <v>11.473930850510772</v>
      </c>
      <c r="M491" s="16">
        <f t="shared" si="116"/>
        <v>1.9737618045722314E-11</v>
      </c>
      <c r="N491" s="16">
        <f t="shared" si="117"/>
        <v>75997012229.400772</v>
      </c>
      <c r="O491" s="16">
        <f t="shared" si="119"/>
        <v>75644099741.976486</v>
      </c>
      <c r="P491" s="18">
        <f t="shared" si="118"/>
        <v>-7315465946.9922924</v>
      </c>
    </row>
    <row r="492" spans="1:16" x14ac:dyDescent="0.4">
      <c r="A492" s="14">
        <v>0.47899999999999998</v>
      </c>
      <c r="B492" s="44">
        <f t="shared" si="120"/>
        <v>3.0096457621390216</v>
      </c>
      <c r="C492" s="40">
        <f t="shared" si="106"/>
        <v>6.5756639683079757E-12</v>
      </c>
      <c r="D492" s="15">
        <f t="shared" si="107"/>
        <v>152075897554.92267</v>
      </c>
      <c r="E492" s="15">
        <f t="shared" si="108"/>
        <v>-150753997747.93933</v>
      </c>
      <c r="F492" s="29">
        <f t="shared" si="109"/>
        <v>20007767995.197063</v>
      </c>
      <c r="G492" s="17">
        <f t="shared" si="110"/>
        <v>12.496049204401219</v>
      </c>
      <c r="H492" s="16">
        <f t="shared" si="111"/>
        <v>2.1729470947670535E-11</v>
      </c>
      <c r="I492" s="16">
        <f t="shared" si="112"/>
        <v>46020448560.769173</v>
      </c>
      <c r="J492" s="16">
        <f t="shared" si="113"/>
        <v>45906707567.921661</v>
      </c>
      <c r="K492" s="18">
        <f t="shared" si="114"/>
        <v>-3233556247.806066</v>
      </c>
      <c r="L492" s="17">
        <f t="shared" si="115"/>
        <v>11.49793488994699</v>
      </c>
      <c r="M492" s="16">
        <f t="shared" si="116"/>
        <v>1.9816130461874097E-11</v>
      </c>
      <c r="N492" s="16">
        <f t="shared" si="117"/>
        <v>75695908587.500214</v>
      </c>
      <c r="O492" s="16">
        <f t="shared" si="119"/>
        <v>75508823757.462799</v>
      </c>
      <c r="P492" s="18">
        <f t="shared" si="118"/>
        <v>-5318656940.5827885</v>
      </c>
    </row>
    <row r="493" spans="1:16" x14ac:dyDescent="0.4">
      <c r="A493" s="14">
        <v>0.48</v>
      </c>
      <c r="B493" s="44">
        <f t="shared" si="120"/>
        <v>3.0159289474462012</v>
      </c>
      <c r="C493" s="40">
        <f t="shared" si="106"/>
        <v>6.5755737874979452E-12</v>
      </c>
      <c r="D493" s="15">
        <f t="shared" si="107"/>
        <v>152077983202.20926</v>
      </c>
      <c r="E493" s="15">
        <f t="shared" si="108"/>
        <v>-150878802881.168</v>
      </c>
      <c r="F493" s="29">
        <f t="shared" si="109"/>
        <v>19060425388.670876</v>
      </c>
      <c r="G493" s="17">
        <f t="shared" si="110"/>
        <v>12.522136989796628</v>
      </c>
      <c r="H493" s="16">
        <f t="shared" si="111"/>
        <v>2.1735008102610134E-11</v>
      </c>
      <c r="I493" s="16">
        <f t="shared" si="112"/>
        <v>46008724509.281921</v>
      </c>
      <c r="J493" s="16">
        <f t="shared" si="113"/>
        <v>45963721201.128899</v>
      </c>
      <c r="K493" s="18">
        <f t="shared" si="114"/>
        <v>-2034469050.1192219</v>
      </c>
      <c r="L493" s="17">
        <f t="shared" si="115"/>
        <v>11.521938929383204</v>
      </c>
      <c r="M493" s="16">
        <f t="shared" si="116"/>
        <v>1.9893614256945305E-11</v>
      </c>
      <c r="N493" s="16">
        <f t="shared" si="117"/>
        <v>75401079996.125717</v>
      </c>
      <c r="O493" s="16">
        <f t="shared" si="119"/>
        <v>75327326635.772247</v>
      </c>
      <c r="P493" s="18">
        <f t="shared" si="118"/>
        <v>-3334175533.7454271</v>
      </c>
    </row>
    <row r="494" spans="1:16" x14ac:dyDescent="0.4">
      <c r="A494" s="14">
        <v>0.48099999999999998</v>
      </c>
      <c r="B494" s="44">
        <f t="shared" si="120"/>
        <v>3.0222121327533809</v>
      </c>
      <c r="C494" s="40">
        <f t="shared" si="106"/>
        <v>6.5754879831481728E-12</v>
      </c>
      <c r="D494" s="15">
        <f t="shared" si="107"/>
        <v>152079967686.47821</v>
      </c>
      <c r="E494" s="15">
        <f t="shared" si="108"/>
        <v>-150997554419.44357</v>
      </c>
      <c r="F494" s="29">
        <f t="shared" si="109"/>
        <v>18112292258.779148</v>
      </c>
      <c r="G494" s="17">
        <f t="shared" si="110"/>
        <v>12.548224775192038</v>
      </c>
      <c r="H494" s="16">
        <f t="shared" si="111"/>
        <v>2.1738024448965855E-11</v>
      </c>
      <c r="I494" s="16">
        <f t="shared" si="112"/>
        <v>46002340385.056152</v>
      </c>
      <c r="J494" s="16">
        <f t="shared" si="113"/>
        <v>45994766963.539032</v>
      </c>
      <c r="K494" s="18">
        <f t="shared" si="114"/>
        <v>-834705260.73997474</v>
      </c>
      <c r="L494" s="17">
        <f t="shared" si="115"/>
        <v>11.54594296881942</v>
      </c>
      <c r="M494" s="16">
        <f t="shared" si="116"/>
        <v>1.9970024787388835E-11</v>
      </c>
      <c r="N494" s="16">
        <f t="shared" si="117"/>
        <v>75112575771.426041</v>
      </c>
      <c r="O494" s="16">
        <f t="shared" si="119"/>
        <v>75100209896.281601</v>
      </c>
      <c r="P494" s="18">
        <f t="shared" si="118"/>
        <v>-1362905922.1627414</v>
      </c>
    </row>
    <row r="495" spans="1:16" x14ac:dyDescent="0.4">
      <c r="A495" s="14">
        <v>0.48199999999999998</v>
      </c>
      <c r="B495" s="44">
        <f t="shared" si="120"/>
        <v>3.0284953180605605</v>
      </c>
      <c r="C495" s="40">
        <f t="shared" si="106"/>
        <v>6.5754065586460659E-12</v>
      </c>
      <c r="D495" s="15">
        <f t="shared" si="107"/>
        <v>152081850921.45981</v>
      </c>
      <c r="E495" s="15">
        <f t="shared" si="108"/>
        <v>-151110247200.38022</v>
      </c>
      <c r="F495" s="29">
        <f t="shared" si="109"/>
        <v>17163407899.863762</v>
      </c>
      <c r="G495" s="17">
        <f t="shared" si="110"/>
        <v>12.574312560587448</v>
      </c>
      <c r="H495" s="16">
        <f t="shared" si="111"/>
        <v>2.17385179340116E-11</v>
      </c>
      <c r="I495" s="16">
        <f t="shared" si="112"/>
        <v>46001296088.148781</v>
      </c>
      <c r="J495" s="16">
        <f t="shared" si="113"/>
        <v>45999845341.171638</v>
      </c>
      <c r="K495" s="18">
        <f t="shared" si="114"/>
        <v>365335979.37011164</v>
      </c>
      <c r="L495" s="17">
        <f t="shared" si="115"/>
        <v>11.569947008255633</v>
      </c>
      <c r="M495" s="16">
        <f t="shared" si="116"/>
        <v>2.0045318028036421E-11</v>
      </c>
      <c r="N495" s="16">
        <f t="shared" si="117"/>
        <v>74830441597.485367</v>
      </c>
      <c r="O495" s="16">
        <f t="shared" si="119"/>
        <v>74828081663.175308</v>
      </c>
      <c r="P495" s="18">
        <f t="shared" si="118"/>
        <v>594293095.90166867</v>
      </c>
    </row>
    <row r="496" spans="1:16" x14ac:dyDescent="0.4">
      <c r="A496" s="14">
        <v>0.48299999999999998</v>
      </c>
      <c r="B496" s="44">
        <f t="shared" si="120"/>
        <v>3.0347785033677401</v>
      </c>
      <c r="C496" s="40">
        <f t="shared" si="106"/>
        <v>6.5753295172061251E-12</v>
      </c>
      <c r="D496" s="15">
        <f t="shared" si="107"/>
        <v>152083632825.27969</v>
      </c>
      <c r="E496" s="15">
        <f t="shared" si="108"/>
        <v>-151216876324.62256</v>
      </c>
      <c r="F496" s="29">
        <f t="shared" si="109"/>
        <v>16213811641.877897</v>
      </c>
      <c r="G496" s="17">
        <f t="shared" si="110"/>
        <v>12.600400345982857</v>
      </c>
      <c r="H496" s="16">
        <f t="shared" si="111"/>
        <v>2.1736488221914043E-11</v>
      </c>
      <c r="I496" s="16">
        <f t="shared" si="112"/>
        <v>46005591602.043221</v>
      </c>
      <c r="J496" s="16">
        <f t="shared" si="113"/>
        <v>45978956414.346298</v>
      </c>
      <c r="K496" s="18">
        <f t="shared" si="114"/>
        <v>1565255794.3137498</v>
      </c>
      <c r="L496" s="17">
        <f t="shared" si="115"/>
        <v>11.593951047691849</v>
      </c>
      <c r="M496" s="16">
        <f t="shared" si="116"/>
        <v>2.0119450597464465E-11</v>
      </c>
      <c r="N496" s="16">
        <f t="shared" si="117"/>
        <v>74554719709.346146</v>
      </c>
      <c r="O496" s="16">
        <f t="shared" si="119"/>
        <v>74511555848.519684</v>
      </c>
      <c r="P496" s="18">
        <f t="shared" si="118"/>
        <v>2536587465.8877068</v>
      </c>
    </row>
    <row r="497" spans="1:16" x14ac:dyDescent="0.4">
      <c r="A497" s="14">
        <v>0.48399999999999999</v>
      </c>
      <c r="B497" s="44">
        <f t="shared" si="120"/>
        <v>3.0410616886749198</v>
      </c>
      <c r="C497" s="40">
        <f t="shared" si="106"/>
        <v>6.5752568618698142E-12</v>
      </c>
      <c r="D497" s="15">
        <f t="shared" si="107"/>
        <v>152085313320.46378</v>
      </c>
      <c r="E497" s="15">
        <f t="shared" si="108"/>
        <v>-151317437156.11511</v>
      </c>
      <c r="F497" s="29">
        <f t="shared" si="109"/>
        <v>15263542848.526072</v>
      </c>
      <c r="G497" s="17">
        <f t="shared" si="110"/>
        <v>12.626488131378267</v>
      </c>
      <c r="H497" s="16">
        <f t="shared" si="111"/>
        <v>2.1731936693961177E-11</v>
      </c>
      <c r="I497" s="16">
        <f t="shared" si="112"/>
        <v>46015226994.374496</v>
      </c>
      <c r="J497" s="16">
        <f t="shared" si="113"/>
        <v>45932099854.156227</v>
      </c>
      <c r="K497" s="18">
        <f t="shared" si="114"/>
        <v>2764655192.1772256</v>
      </c>
      <c r="L497" s="17">
        <f t="shared" si="115"/>
        <v>11.617955087128063</v>
      </c>
      <c r="M497" s="16">
        <f t="shared" si="116"/>
        <v>2.0192379782988941E-11</v>
      </c>
      <c r="N497" s="16">
        <f t="shared" si="117"/>
        <v>74285449071.420212</v>
      </c>
      <c r="O497" s="16">
        <f t="shared" si="119"/>
        <v>74151251386.338882</v>
      </c>
      <c r="P497" s="18">
        <f t="shared" si="118"/>
        <v>4463167214.2707529</v>
      </c>
    </row>
    <row r="498" spans="1:16" x14ac:dyDescent="0.4">
      <c r="A498" s="14">
        <v>0.48499999999999999</v>
      </c>
      <c r="B498" s="44">
        <f t="shared" si="120"/>
        <v>3.0473448739820994</v>
      </c>
      <c r="C498" s="40">
        <f t="shared" si="106"/>
        <v>6.575188595505441E-12</v>
      </c>
      <c r="D498" s="15">
        <f t="shared" si="107"/>
        <v>152086892333.94211</v>
      </c>
      <c r="E498" s="15">
        <f t="shared" si="108"/>
        <v>-151411925322.35651</v>
      </c>
      <c r="F498" s="29">
        <f t="shared" si="109"/>
        <v>14312640915.401783</v>
      </c>
      <c r="G498" s="17">
        <f t="shared" si="110"/>
        <v>12.652575916773678</v>
      </c>
      <c r="H498" s="16">
        <f t="shared" si="111"/>
        <v>2.1724866447622289E-11</v>
      </c>
      <c r="I498" s="16">
        <f t="shared" si="112"/>
        <v>46030202413.946098</v>
      </c>
      <c r="J498" s="16">
        <f t="shared" si="113"/>
        <v>45859274936.975677</v>
      </c>
      <c r="K498" s="18">
        <f t="shared" si="114"/>
        <v>3963134684.0252199</v>
      </c>
      <c r="L498" s="17">
        <f t="shared" si="115"/>
        <v>11.641959126564281</v>
      </c>
      <c r="M498" s="16">
        <f t="shared" si="116"/>
        <v>2.0264063565275019E-11</v>
      </c>
      <c r="N498" s="16">
        <f t="shared" si="117"/>
        <v>74022665551.169891</v>
      </c>
      <c r="O498" s="16">
        <f t="shared" si="119"/>
        <v>73747791516.345901</v>
      </c>
      <c r="P498" s="18">
        <f t="shared" si="118"/>
        <v>6373245779.1877604</v>
      </c>
    </row>
    <row r="499" spans="1:16" x14ac:dyDescent="0.4">
      <c r="A499" s="14">
        <v>0.48599999999999999</v>
      </c>
      <c r="B499" s="44">
        <f t="shared" si="120"/>
        <v>3.0536280592892791</v>
      </c>
      <c r="C499" s="40">
        <f t="shared" si="106"/>
        <v>6.5751247208080448E-12</v>
      </c>
      <c r="D499" s="15">
        <f t="shared" si="107"/>
        <v>152088369797.05319</v>
      </c>
      <c r="E499" s="15">
        <f t="shared" si="108"/>
        <v>-151500336714.64008</v>
      </c>
      <c r="F499" s="29">
        <f t="shared" si="109"/>
        <v>13361145268.123028</v>
      </c>
      <c r="G499" s="17">
        <f t="shared" si="110"/>
        <v>12.678663702169088</v>
      </c>
      <c r="H499" s="16">
        <f t="shared" si="111"/>
        <v>2.1715282294440048E-11</v>
      </c>
      <c r="I499" s="16">
        <f t="shared" si="112"/>
        <v>46050518084.033318</v>
      </c>
      <c r="J499" s="16">
        <f t="shared" si="113"/>
        <v>45760480577.024933</v>
      </c>
      <c r="K499" s="18">
        <f t="shared" si="114"/>
        <v>5160293903.219449</v>
      </c>
      <c r="L499" s="17">
        <f t="shared" si="115"/>
        <v>11.665963166000495</v>
      </c>
      <c r="M499" s="16">
        <f t="shared" si="116"/>
        <v>2.0334460642547145E-11</v>
      </c>
      <c r="N499" s="16">
        <f t="shared" si="117"/>
        <v>73766402087.96344</v>
      </c>
      <c r="O499" s="16">
        <f t="shared" si="119"/>
        <v>73301803115.949066</v>
      </c>
      <c r="P499" s="18">
        <f t="shared" si="118"/>
        <v>8266059336.451499</v>
      </c>
    </row>
    <row r="500" spans="1:16" x14ac:dyDescent="0.4">
      <c r="A500" s="14">
        <v>0.48699999999999999</v>
      </c>
      <c r="B500" s="44">
        <f t="shared" si="120"/>
        <v>3.0599112445964582</v>
      </c>
      <c r="C500" s="40">
        <f t="shared" si="106"/>
        <v>6.5750652402992905E-12</v>
      </c>
      <c r="D500" s="15">
        <f t="shared" si="107"/>
        <v>152089745645.54755</v>
      </c>
      <c r="E500" s="15">
        <f t="shared" si="108"/>
        <v>-151582667488.27921</v>
      </c>
      <c r="F500" s="29">
        <f t="shared" si="109"/>
        <v>12409095360.465807</v>
      </c>
      <c r="G500" s="17">
        <f t="shared" si="110"/>
        <v>12.704751487564495</v>
      </c>
      <c r="H500" s="16">
        <f t="shared" si="111"/>
        <v>2.1703190756756071E-11</v>
      </c>
      <c r="I500" s="16">
        <f t="shared" si="112"/>
        <v>46076174291.962395</v>
      </c>
      <c r="J500" s="16">
        <f t="shared" si="113"/>
        <v>45635715377.047112</v>
      </c>
      <c r="K500" s="18">
        <f t="shared" si="114"/>
        <v>6355731225.3148727</v>
      </c>
      <c r="L500" s="17">
        <f t="shared" si="115"/>
        <v>11.689967205436709</v>
      </c>
      <c r="M500" s="16">
        <f t="shared" si="116"/>
        <v>2.0403530454385782E-11</v>
      </c>
      <c r="N500" s="16">
        <f t="shared" si="117"/>
        <v>73516688857.029236</v>
      </c>
      <c r="O500" s="16">
        <f t="shared" si="119"/>
        <v>72813916079.130005</v>
      </c>
      <c r="P500" s="18">
        <f t="shared" si="118"/>
        <v>10140866122.903936</v>
      </c>
    </row>
    <row r="501" spans="1:16" x14ac:dyDescent="0.4">
      <c r="A501" s="14">
        <v>0.48799999999999999</v>
      </c>
      <c r="B501" s="44">
        <f t="shared" si="120"/>
        <v>3.0661944299036379</v>
      </c>
      <c r="C501" s="40">
        <f t="shared" si="106"/>
        <v>6.5750101563273654E-12</v>
      </c>
      <c r="D501" s="15">
        <f t="shared" si="107"/>
        <v>152091019819.5914</v>
      </c>
      <c r="E501" s="15">
        <f t="shared" si="108"/>
        <v>-151658914062.819</v>
      </c>
      <c r="F501" s="29">
        <f t="shared" si="109"/>
        <v>11456530672.495371</v>
      </c>
      <c r="G501" s="17">
        <f t="shared" si="110"/>
        <v>12.730839272959905</v>
      </c>
      <c r="H501" s="16">
        <f t="shared" si="111"/>
        <v>2.1688600063272251E-11</v>
      </c>
      <c r="I501" s="16">
        <f t="shared" si="112"/>
        <v>46107171374.947922</v>
      </c>
      <c r="J501" s="16">
        <f t="shared" si="113"/>
        <v>45484977697.179977</v>
      </c>
      <c r="K501" s="18">
        <f t="shared" si="114"/>
        <v>7549043388.791522</v>
      </c>
      <c r="L501" s="17">
        <f t="shared" si="115"/>
        <v>11.713971244872925</v>
      </c>
      <c r="M501" s="16">
        <f t="shared" si="116"/>
        <v>2.0471233205096941E-11</v>
      </c>
      <c r="N501" s="16">
        <f t="shared" si="117"/>
        <v>73273553428.4534</v>
      </c>
      <c r="O501" s="16">
        <f t="shared" si="119"/>
        <v>72284762740.774246</v>
      </c>
      <c r="P501" s="18">
        <f t="shared" si="118"/>
        <v>11996945758.916735</v>
      </c>
    </row>
    <row r="502" spans="1:16" x14ac:dyDescent="0.4">
      <c r="A502" s="14">
        <v>0.48899999999999999</v>
      </c>
      <c r="B502" s="44">
        <f t="shared" si="120"/>
        <v>3.0724776152108175</v>
      </c>
      <c r="C502" s="40">
        <f t="shared" si="106"/>
        <v>6.5749594710668909E-12</v>
      </c>
      <c r="D502" s="15">
        <f t="shared" si="107"/>
        <v>152092192263.76984</v>
      </c>
      <c r="E502" s="15">
        <f t="shared" si="108"/>
        <v>-151729073122.23279</v>
      </c>
      <c r="F502" s="29">
        <f t="shared" si="109"/>
        <v>10503490708.696335</v>
      </c>
      <c r="G502" s="17">
        <f t="shared" si="110"/>
        <v>12.756927058355314</v>
      </c>
      <c r="H502" s="16">
        <f t="shared" si="111"/>
        <v>2.1671520143450857E-11</v>
      </c>
      <c r="I502" s="16">
        <f t="shared" si="112"/>
        <v>46143509702.165512</v>
      </c>
      <c r="J502" s="16">
        <f t="shared" si="113"/>
        <v>45308265742.135918</v>
      </c>
      <c r="K502" s="18">
        <f t="shared" si="114"/>
        <v>8739825116.8908138</v>
      </c>
      <c r="L502" s="17">
        <f t="shared" si="115"/>
        <v>11.737975284309139</v>
      </c>
      <c r="M502" s="16">
        <f t="shared" si="116"/>
        <v>2.0537529886641072E-11</v>
      </c>
      <c r="N502" s="16">
        <f t="shared" si="117"/>
        <v>73037020921.181778</v>
      </c>
      <c r="O502" s="16">
        <f t="shared" si="119"/>
        <v>71714977345.027252</v>
      </c>
      <c r="P502" s="18">
        <f t="shared" si="118"/>
        <v>13833598571.715654</v>
      </c>
    </row>
    <row r="503" spans="1:16" x14ac:dyDescent="0.4">
      <c r="A503" s="14">
        <v>0.49</v>
      </c>
      <c r="B503" s="44">
        <f t="shared" si="120"/>
        <v>3.0787608005179972</v>
      </c>
      <c r="C503" s="40">
        <f t="shared" si="106"/>
        <v>6.5749131865188339E-12</v>
      </c>
      <c r="D503" s="15">
        <f t="shared" si="107"/>
        <v>152093262927.08997</v>
      </c>
      <c r="E503" s="15">
        <f t="shared" si="108"/>
        <v>-151793141615.10452</v>
      </c>
      <c r="F503" s="29">
        <f t="shared" si="109"/>
        <v>9550014996.1004677</v>
      </c>
      <c r="G503" s="17">
        <f t="shared" si="110"/>
        <v>12.783014843750724</v>
      </c>
      <c r="H503" s="16">
        <f t="shared" si="111"/>
        <v>2.165196262075717E-11</v>
      </c>
      <c r="I503" s="16">
        <f t="shared" si="112"/>
        <v>46185189653.030632</v>
      </c>
      <c r="J503" s="16">
        <f t="shared" si="113"/>
        <v>45105577666.831627</v>
      </c>
      <c r="K503" s="18">
        <f t="shared" si="114"/>
        <v>9927668740.838789</v>
      </c>
      <c r="L503" s="17">
        <f t="shared" si="115"/>
        <v>11.761979323745354</v>
      </c>
      <c r="M503" s="16">
        <f t="shared" si="116"/>
        <v>2.0602382301108251E-11</v>
      </c>
      <c r="N503" s="16">
        <f t="shared" si="117"/>
        <v>72807114152.00325</v>
      </c>
      <c r="O503" s="16">
        <f t="shared" si="119"/>
        <v>71105195556.24614</v>
      </c>
      <c r="P503" s="18">
        <f t="shared" si="118"/>
        <v>15650144921.080652</v>
      </c>
    </row>
    <row r="504" spans="1:16" x14ac:dyDescent="0.4">
      <c r="A504" s="14">
        <v>0.49099999999999999</v>
      </c>
      <c r="B504" s="44">
        <f t="shared" si="120"/>
        <v>3.0850439858251768</v>
      </c>
      <c r="C504" s="40">
        <f t="shared" si="106"/>
        <v>6.5748713045104307E-12</v>
      </c>
      <c r="D504" s="15">
        <f t="shared" si="107"/>
        <v>152094231762.98364</v>
      </c>
      <c r="E504" s="15">
        <f t="shared" si="108"/>
        <v>-151851116754.79657</v>
      </c>
      <c r="F504" s="29">
        <f t="shared" si="109"/>
        <v>8596143082.4132442</v>
      </c>
      <c r="G504" s="17">
        <f t="shared" si="110"/>
        <v>12.809102629146134</v>
      </c>
      <c r="H504" s="16">
        <f t="shared" si="111"/>
        <v>2.162994080474936E-11</v>
      </c>
      <c r="I504" s="16">
        <f t="shared" si="112"/>
        <v>46232211591.648308</v>
      </c>
      <c r="J504" s="16">
        <f t="shared" si="113"/>
        <v>44876911700.637512</v>
      </c>
      <c r="K504" s="18">
        <f t="shared" si="114"/>
        <v>11112163824.751875</v>
      </c>
      <c r="L504" s="17">
        <f t="shared" si="115"/>
        <v>11.785983363181568</v>
      </c>
      <c r="M504" s="16">
        <f t="shared" si="116"/>
        <v>2.0665753082726468E-11</v>
      </c>
      <c r="N504" s="16">
        <f t="shared" si="117"/>
        <v>72583853779.506317</v>
      </c>
      <c r="O504" s="16">
        <f t="shared" si="119"/>
        <v>70456054011.124069</v>
      </c>
      <c r="P504" s="18">
        <f t="shared" si="118"/>
        <v>17445924528.849766</v>
      </c>
    </row>
    <row r="505" spans="1:16" x14ac:dyDescent="0.4">
      <c r="A505" s="14">
        <v>0.49199999999999999</v>
      </c>
      <c r="B505" s="44">
        <f t="shared" si="120"/>
        <v>3.0913271711323564</v>
      </c>
      <c r="C505" s="40">
        <f t="shared" si="106"/>
        <v>6.5748338266951087E-12</v>
      </c>
      <c r="D505" s="15">
        <f t="shared" si="107"/>
        <v>152095098729.31006</v>
      </c>
      <c r="E505" s="15">
        <f t="shared" si="108"/>
        <v>-151902996019.60287</v>
      </c>
      <c r="F505" s="29">
        <f t="shared" si="109"/>
        <v>7641914534.1389351</v>
      </c>
      <c r="G505" s="17">
        <f t="shared" si="110"/>
        <v>12.835190414541545</v>
      </c>
      <c r="H505" s="16">
        <f t="shared" si="111"/>
        <v>2.1605469682020844E-11</v>
      </c>
      <c r="I505" s="16">
        <f t="shared" si="112"/>
        <v>46284575837.393509</v>
      </c>
      <c r="J505" s="16">
        <f t="shared" si="113"/>
        <v>44622266290.444801</v>
      </c>
      <c r="K505" s="18">
        <f t="shared" si="114"/>
        <v>12292896792.540985</v>
      </c>
      <c r="L505" s="17">
        <f t="shared" si="115"/>
        <v>11.809987402617786</v>
      </c>
      <c r="M505" s="16">
        <f t="shared" si="116"/>
        <v>2.0727605719390555E-11</v>
      </c>
      <c r="N505" s="16">
        <f t="shared" si="117"/>
        <v>72367258443.012482</v>
      </c>
      <c r="O505" s="16">
        <f t="shared" si="119"/>
        <v>69768189910.572006</v>
      </c>
      <c r="P505" s="18">
        <f t="shared" si="118"/>
        <v>19220295813.543533</v>
      </c>
    </row>
    <row r="506" spans="1:16" x14ac:dyDescent="0.4">
      <c r="A506" s="14">
        <v>0.49299999999999999</v>
      </c>
      <c r="B506" s="44">
        <f t="shared" si="120"/>
        <v>3.0976103564395361</v>
      </c>
      <c r="C506" s="40">
        <f t="shared" si="106"/>
        <v>6.5748007545524299E-12</v>
      </c>
      <c r="D506" s="15">
        <f t="shared" si="107"/>
        <v>152095863788.35803</v>
      </c>
      <c r="E506" s="15">
        <f t="shared" si="108"/>
        <v>-151948777152.88763</v>
      </c>
      <c r="F506" s="29">
        <f t="shared" si="109"/>
        <v>6687368934.7043982</v>
      </c>
      <c r="G506" s="17">
        <f t="shared" si="110"/>
        <v>12.861278199936955</v>
      </c>
      <c r="H506" s="16">
        <f t="shared" si="111"/>
        <v>2.1578565906001422E-11</v>
      </c>
      <c r="I506" s="16">
        <f t="shared" si="112"/>
        <v>46342282631.575638</v>
      </c>
      <c r="J506" s="16">
        <f t="shared" si="113"/>
        <v>44341640262.774788</v>
      </c>
      <c r="K506" s="18">
        <f t="shared" si="114"/>
        <v>13469450557.149944</v>
      </c>
      <c r="L506" s="17">
        <f t="shared" si="115"/>
        <v>11.833991442054</v>
      </c>
      <c r="M506" s="16">
        <f t="shared" si="116"/>
        <v>2.0787904573699207E-11</v>
      </c>
      <c r="N506" s="16">
        <f t="shared" si="117"/>
        <v>72157344896.502716</v>
      </c>
      <c r="O506" s="16">
        <f t="shared" si="119"/>
        <v>69042240649.959671</v>
      </c>
      <c r="P506" s="18">
        <f t="shared" si="118"/>
        <v>20972635231.317566</v>
      </c>
    </row>
    <row r="507" spans="1:16" x14ac:dyDescent="0.4">
      <c r="A507" s="14">
        <v>0.49399999999999999</v>
      </c>
      <c r="B507" s="44">
        <f t="shared" si="120"/>
        <v>3.1038935417467157</v>
      </c>
      <c r="C507" s="40">
        <f t="shared" si="106"/>
        <v>6.5747720893880247E-12</v>
      </c>
      <c r="D507" s="15">
        <f t="shared" si="107"/>
        <v>152096526906.84818</v>
      </c>
      <c r="E507" s="15">
        <f t="shared" si="108"/>
        <v>-151988458163.2095</v>
      </c>
      <c r="F507" s="29">
        <f t="shared" si="109"/>
        <v>5732545882.5817204</v>
      </c>
      <c r="G507" s="17">
        <f t="shared" si="110"/>
        <v>12.887365985332364</v>
      </c>
      <c r="H507" s="16">
        <f t="shared" si="111"/>
        <v>2.1549247785624045E-11</v>
      </c>
      <c r="I507" s="16">
        <f t="shared" si="112"/>
        <v>46405332100.135811</v>
      </c>
      <c r="J507" s="16">
        <f t="shared" si="113"/>
        <v>44035033005.180428</v>
      </c>
      <c r="K507" s="18">
        <f t="shared" si="114"/>
        <v>14641404152.490488</v>
      </c>
      <c r="L507" s="17">
        <f t="shared" si="115"/>
        <v>11.857995481490216</v>
      </c>
      <c r="M507" s="16">
        <f t="shared" si="116"/>
        <v>2.0846614903488074E-11</v>
      </c>
      <c r="N507" s="16">
        <f t="shared" si="117"/>
        <v>71954128137.562454</v>
      </c>
      <c r="O507" s="16">
        <f t="shared" si="119"/>
        <v>68278843486.334435</v>
      </c>
      <c r="P507" s="18">
        <f t="shared" si="118"/>
        <v>22702336624.352192</v>
      </c>
    </row>
    <row r="508" spans="1:16" x14ac:dyDescent="0.4">
      <c r="A508" s="14">
        <v>0.495</v>
      </c>
      <c r="B508" s="44">
        <f t="shared" si="120"/>
        <v>3.1101767270538954</v>
      </c>
      <c r="C508" s="40">
        <f t="shared" si="106"/>
        <v>6.5747478323335454E-12</v>
      </c>
      <c r="D508" s="15">
        <f t="shared" si="107"/>
        <v>152097088055.93454</v>
      </c>
      <c r="E508" s="15">
        <f t="shared" si="108"/>
        <v>-152022037324.43094</v>
      </c>
      <c r="F508" s="29">
        <f t="shared" si="109"/>
        <v>4777484989.4098158</v>
      </c>
      <c r="G508" s="17">
        <f t="shared" si="110"/>
        <v>12.913453770727774</v>
      </c>
      <c r="H508" s="16">
        <f t="shared" si="111"/>
        <v>2.1517535272864963E-11</v>
      </c>
      <c r="I508" s="16">
        <f t="shared" si="112"/>
        <v>46473724212.320274</v>
      </c>
      <c r="J508" s="16">
        <f t="shared" si="113"/>
        <v>43702444667.216019</v>
      </c>
      <c r="K508" s="18">
        <f t="shared" si="114"/>
        <v>15808332368.460823</v>
      </c>
      <c r="L508" s="17">
        <f t="shared" si="115"/>
        <v>11.88199952092643</v>
      </c>
      <c r="M508" s="16">
        <f t="shared" si="116"/>
        <v>2.0903702881847006E-11</v>
      </c>
      <c r="N508" s="16">
        <f t="shared" si="117"/>
        <v>71757621531.380249</v>
      </c>
      <c r="O508" s="16">
        <f t="shared" si="119"/>
        <v>67478635241.262169</v>
      </c>
      <c r="P508" s="18">
        <f t="shared" si="118"/>
        <v>24408810577.688896</v>
      </c>
    </row>
    <row r="509" spans="1:16" x14ac:dyDescent="0.4">
      <c r="A509" s="14">
        <v>0.496</v>
      </c>
      <c r="B509" s="44">
        <f t="shared" si="120"/>
        <v>3.1164599123610746</v>
      </c>
      <c r="C509" s="40">
        <f t="shared" si="106"/>
        <v>6.5747279843466185E-12</v>
      </c>
      <c r="D509" s="15">
        <f t="shared" si="107"/>
        <v>152097547211.20645</v>
      </c>
      <c r="E509" s="15">
        <f t="shared" si="108"/>
        <v>-152049513175.81335</v>
      </c>
      <c r="F509" s="29">
        <f t="shared" si="109"/>
        <v>3822225878.1151972</v>
      </c>
      <c r="G509" s="17">
        <f t="shared" si="110"/>
        <v>12.939541556123181</v>
      </c>
      <c r="H509" s="16">
        <f t="shared" si="111"/>
        <v>2.1483449949165733E-11</v>
      </c>
      <c r="I509" s="16">
        <f t="shared" si="112"/>
        <v>46547458735.268585</v>
      </c>
      <c r="J509" s="16">
        <f t="shared" si="113"/>
        <v>43343876381.273438</v>
      </c>
      <c r="K509" s="18">
        <f t="shared" si="114"/>
        <v>16969805389.468044</v>
      </c>
      <c r="L509" s="17">
        <f t="shared" si="115"/>
        <v>11.906003560362644</v>
      </c>
      <c r="M509" s="16">
        <f t="shared" si="116"/>
        <v>2.095913561660998E-11</v>
      </c>
      <c r="N509" s="16">
        <f t="shared" si="117"/>
        <v>71567836929.842636</v>
      </c>
      <c r="O509" s="16">
        <f t="shared" si="119"/>
        <v>66642252037.958344</v>
      </c>
      <c r="P509" s="18">
        <f t="shared" si="118"/>
        <v>26091483785.438194</v>
      </c>
    </row>
    <row r="510" spans="1:16" x14ac:dyDescent="0.4">
      <c r="A510" s="14">
        <v>0.497</v>
      </c>
      <c r="B510" s="44">
        <f t="shared" si="120"/>
        <v>3.1227430976682542</v>
      </c>
      <c r="C510" s="40">
        <f t="shared" si="106"/>
        <v>6.5747125462108094E-12</v>
      </c>
      <c r="D510" s="15">
        <f t="shared" si="107"/>
        <v>152097904352.68961</v>
      </c>
      <c r="E510" s="15">
        <f t="shared" si="108"/>
        <v>-152070884522.09741</v>
      </c>
      <c r="F510" s="29">
        <f t="shared" si="109"/>
        <v>2866808181.0316319</v>
      </c>
      <c r="G510" s="17">
        <f t="shared" si="110"/>
        <v>12.965629341518591</v>
      </c>
      <c r="H510" s="16">
        <f t="shared" si="111"/>
        <v>2.1447015010746307E-11</v>
      </c>
      <c r="I510" s="16">
        <f t="shared" si="112"/>
        <v>46626535184.45047</v>
      </c>
      <c r="J510" s="16">
        <f t="shared" si="113"/>
        <v>42959330503.605682</v>
      </c>
      <c r="K510" s="18">
        <f t="shared" si="114"/>
        <v>18125388436.907269</v>
      </c>
      <c r="L510" s="17">
        <f t="shared" si="115"/>
        <v>11.930007599798857</v>
      </c>
      <c r="M510" s="16">
        <f t="shared" si="116"/>
        <v>2.1012881169306464E-11</v>
      </c>
      <c r="N510" s="16">
        <f t="shared" si="117"/>
        <v>71384784785.774704</v>
      </c>
      <c r="O510" s="16">
        <f t="shared" si="119"/>
        <v>65770329071.407303</v>
      </c>
      <c r="P510" s="18">
        <f t="shared" si="118"/>
        <v>27749798427.198833</v>
      </c>
    </row>
    <row r="511" spans="1:16" x14ac:dyDescent="0.4">
      <c r="A511" s="14">
        <v>0.498</v>
      </c>
      <c r="B511" s="44">
        <f t="shared" si="120"/>
        <v>3.1290262829754338</v>
      </c>
      <c r="C511" s="40">
        <f t="shared" si="106"/>
        <v>6.5747015185355887E-12</v>
      </c>
      <c r="D511" s="15">
        <f t="shared" si="107"/>
        <v>152098159464.84735</v>
      </c>
      <c r="E511" s="15">
        <f t="shared" si="108"/>
        <v>-152086150433.5687</v>
      </c>
      <c r="F511" s="29">
        <f t="shared" si="109"/>
        <v>1911271538.0198314</v>
      </c>
      <c r="G511" s="17">
        <f t="shared" si="110"/>
        <v>12.991717126914002</v>
      </c>
      <c r="H511" s="16">
        <f t="shared" si="111"/>
        <v>2.1408255252819231E-11</v>
      </c>
      <c r="I511" s="16">
        <f t="shared" si="112"/>
        <v>46710952769.881187</v>
      </c>
      <c r="J511" s="16">
        <f t="shared" si="113"/>
        <v>42548810875.879478</v>
      </c>
      <c r="K511" s="18">
        <f t="shared" si="114"/>
        <v>19274641416.086357</v>
      </c>
      <c r="L511" s="17">
        <f t="shared" si="115"/>
        <v>11.954011639235075</v>
      </c>
      <c r="M511" s="16">
        <f t="shared" si="116"/>
        <v>2.1064908573563281E-11</v>
      </c>
      <c r="N511" s="16">
        <f t="shared" si="117"/>
        <v>71208474262.381485</v>
      </c>
      <c r="O511" s="16">
        <f t="shared" si="119"/>
        <v>64863500410.19957</v>
      </c>
      <c r="P511" s="18">
        <f t="shared" si="118"/>
        <v>29383211555.449261</v>
      </c>
    </row>
    <row r="512" spans="1:16" x14ac:dyDescent="0.4">
      <c r="A512" s="14">
        <v>0.499</v>
      </c>
      <c r="B512" s="44">
        <f t="shared" si="120"/>
        <v>3.1353094682826135</v>
      </c>
      <c r="C512" s="40">
        <f t="shared" si="106"/>
        <v>6.5746949017563093E-12</v>
      </c>
      <c r="D512" s="15">
        <f t="shared" si="107"/>
        <v>152098312536.58148</v>
      </c>
      <c r="E512" s="15">
        <f t="shared" si="108"/>
        <v>-152095310246.10901</v>
      </c>
      <c r="F512" s="29">
        <f t="shared" si="109"/>
        <v>955655594.58594811</v>
      </c>
      <c r="G512" s="17">
        <f t="shared" si="110"/>
        <v>13.017804912309412</v>
      </c>
      <c r="H512" s="16">
        <f t="shared" si="111"/>
        <v>2.1367197052715642E-11</v>
      </c>
      <c r="I512" s="16">
        <f t="shared" si="112"/>
        <v>46800710338.041557</v>
      </c>
      <c r="J512" s="16">
        <f t="shared" si="113"/>
        <v>42112323107.616608</v>
      </c>
      <c r="K512" s="18">
        <f t="shared" si="114"/>
        <v>20417118568.127342</v>
      </c>
      <c r="L512" s="17">
        <f t="shared" si="115"/>
        <v>11.978015678671289</v>
      </c>
      <c r="M512" s="16">
        <f t="shared" si="116"/>
        <v>2.1115187852946356E-11</v>
      </c>
      <c r="N512" s="16">
        <f t="shared" si="117"/>
        <v>71038913337.950439</v>
      </c>
      <c r="O512" s="16">
        <f t="shared" si="119"/>
        <v>63922398828.849319</v>
      </c>
      <c r="P512" s="18">
        <f t="shared" si="118"/>
        <v>30991194494.603722</v>
      </c>
    </row>
    <row r="513" spans="1:16" x14ac:dyDescent="0.4">
      <c r="A513" s="14">
        <v>0.5</v>
      </c>
      <c r="B513" s="44">
        <f t="shared" si="120"/>
        <v>3.1415926535897931</v>
      </c>
      <c r="C513" s="40">
        <f t="shared" si="106"/>
        <v>6.5746926961341925E-12</v>
      </c>
      <c r="D513" s="15">
        <f t="shared" si="107"/>
        <v>152098363561.23276</v>
      </c>
      <c r="E513" s="15">
        <f t="shared" si="108"/>
        <v>-152098363561.23276</v>
      </c>
      <c r="F513" s="29">
        <f t="shared" si="109"/>
        <v>1.8634307511117388E-5</v>
      </c>
      <c r="G513" s="17">
        <f t="shared" si="110"/>
        <v>13.043892697704822</v>
      </c>
      <c r="H513" s="16">
        <f t="shared" si="111"/>
        <v>2.1323868351934619E-11</v>
      </c>
      <c r="I513" s="16">
        <f t="shared" si="112"/>
        <v>46895806309.424828</v>
      </c>
      <c r="J513" s="16">
        <f t="shared" si="113"/>
        <v>41649874879.900383</v>
      </c>
      <c r="K513" s="18">
        <f t="shared" si="114"/>
        <v>21552368127.417755</v>
      </c>
      <c r="L513" s="17">
        <f t="shared" si="115"/>
        <v>12.002019718107505</v>
      </c>
      <c r="M513" s="16">
        <f t="shared" si="116"/>
        <v>2.1163690038232203E-11</v>
      </c>
      <c r="N513" s="16">
        <f t="shared" si="117"/>
        <v>70876108905.878433</v>
      </c>
      <c r="O513" s="16">
        <f t="shared" si="119"/>
        <v>62947655669.388908</v>
      </c>
      <c r="P513" s="18">
        <f t="shared" si="118"/>
        <v>32573232252.357006</v>
      </c>
    </row>
    <row r="514" spans="1:16" x14ac:dyDescent="0.4">
      <c r="A514" s="14">
        <v>0.501</v>
      </c>
      <c r="B514" s="44">
        <f t="shared" si="120"/>
        <v>3.1478758388969728</v>
      </c>
      <c r="C514" s="40">
        <f t="shared" si="106"/>
        <v>6.5746949017563093E-12</v>
      </c>
      <c r="D514" s="15">
        <f t="shared" si="107"/>
        <v>152098312536.58148</v>
      </c>
      <c r="E514" s="15">
        <f t="shared" si="108"/>
        <v>-152095310246.10901</v>
      </c>
      <c r="F514" s="29">
        <f t="shared" si="109"/>
        <v>-955655594.5859108</v>
      </c>
      <c r="G514" s="17">
        <f t="shared" si="110"/>
        <v>13.069980483100231</v>
      </c>
      <c r="H514" s="16">
        <f t="shared" si="111"/>
        <v>2.1278298637128028E-11</v>
      </c>
      <c r="I514" s="16">
        <f t="shared" si="112"/>
        <v>46996238611.630463</v>
      </c>
      <c r="J514" s="16">
        <f t="shared" si="113"/>
        <v>41161476270.738907</v>
      </c>
      <c r="K514" s="18">
        <f t="shared" si="114"/>
        <v>22679931985.230988</v>
      </c>
      <c r="L514" s="17">
        <f t="shared" si="115"/>
        <v>12.026023757543719</v>
      </c>
      <c r="M514" s="16">
        <f t="shared" si="116"/>
        <v>2.1210387184098914E-11</v>
      </c>
      <c r="N514" s="16">
        <f t="shared" si="117"/>
        <v>70720066870.091171</v>
      </c>
      <c r="O514" s="16">
        <f t="shared" si="119"/>
        <v>61939900731.075462</v>
      </c>
      <c r="P514" s="18">
        <f t="shared" si="118"/>
        <v>34128822943.87962</v>
      </c>
    </row>
    <row r="515" spans="1:16" x14ac:dyDescent="0.4">
      <c r="A515" s="14">
        <v>0.502</v>
      </c>
      <c r="B515" s="44">
        <f t="shared" si="120"/>
        <v>3.1541590242041524</v>
      </c>
      <c r="C515" s="40">
        <f t="shared" si="106"/>
        <v>6.5747015185355887E-12</v>
      </c>
      <c r="D515" s="15">
        <f t="shared" si="107"/>
        <v>152098159464.84735</v>
      </c>
      <c r="E515" s="15">
        <f t="shared" si="108"/>
        <v>-152086150433.5687</v>
      </c>
      <c r="F515" s="29">
        <f t="shared" si="109"/>
        <v>-1911271538.0197942</v>
      </c>
      <c r="G515" s="17">
        <f t="shared" si="110"/>
        <v>13.096068268495641</v>
      </c>
      <c r="H515" s="16">
        <f t="shared" si="111"/>
        <v>2.1230518920033865E-11</v>
      </c>
      <c r="I515" s="16">
        <f t="shared" si="112"/>
        <v>47102004607.921516</v>
      </c>
      <c r="J515" s="16">
        <f t="shared" si="113"/>
        <v>40647140102.487267</v>
      </c>
      <c r="K515" s="18">
        <f t="shared" si="114"/>
        <v>23799345360.186516</v>
      </c>
      <c r="L515" s="17">
        <f t="shared" si="115"/>
        <v>12.050027796979935</v>
      </c>
      <c r="M515" s="16">
        <f t="shared" si="116"/>
        <v>2.1255252385227416E-11</v>
      </c>
      <c r="N515" s="16">
        <f t="shared" si="117"/>
        <v>70570792235.923431</v>
      </c>
      <c r="O515" s="16">
        <f t="shared" si="119"/>
        <v>60899762187.07859</v>
      </c>
      <c r="P515" s="18">
        <f t="shared" si="118"/>
        <v>35657477229.371452</v>
      </c>
    </row>
    <row r="516" spans="1:16" x14ac:dyDescent="0.4">
      <c r="A516" s="14">
        <v>0.503</v>
      </c>
      <c r="B516" s="44">
        <f t="shared" si="120"/>
        <v>3.160442209511332</v>
      </c>
      <c r="C516" s="40">
        <f t="shared" si="106"/>
        <v>6.5747125462108094E-12</v>
      </c>
      <c r="D516" s="15">
        <f t="shared" si="107"/>
        <v>152097904352.68961</v>
      </c>
      <c r="E516" s="15">
        <f t="shared" si="108"/>
        <v>-152070884522.09741</v>
      </c>
      <c r="F516" s="29">
        <f t="shared" si="109"/>
        <v>-2866808181.0315948</v>
      </c>
      <c r="G516" s="17">
        <f t="shared" si="110"/>
        <v>13.12215605389105</v>
      </c>
      <c r="H516" s="16">
        <f t="shared" si="111"/>
        <v>2.11805617163717E-11</v>
      </c>
      <c r="I516" s="16">
        <f t="shared" si="112"/>
        <v>47213101021.161362</v>
      </c>
      <c r="J516" s="16">
        <f t="shared" si="113"/>
        <v>40106882311.741043</v>
      </c>
      <c r="K516" s="18">
        <f t="shared" si="114"/>
        <v>24910136476.272896</v>
      </c>
      <c r="L516" s="17">
        <f t="shared" si="115"/>
        <v>12.07403183641615</v>
      </c>
      <c r="M516" s="16">
        <f t="shared" si="116"/>
        <v>2.1298259791803306E-11</v>
      </c>
      <c r="N516" s="16">
        <f t="shared" si="117"/>
        <v>70428289196.532349</v>
      </c>
      <c r="O516" s="16">
        <f t="shared" si="119"/>
        <v>59827866527.058807</v>
      </c>
      <c r="P516" s="18">
        <f t="shared" si="118"/>
        <v>37158717765.429298</v>
      </c>
    </row>
    <row r="517" spans="1:16" x14ac:dyDescent="0.4">
      <c r="A517" s="14">
        <v>0.504</v>
      </c>
      <c r="B517" s="44">
        <f t="shared" si="120"/>
        <v>3.1667253948185117</v>
      </c>
      <c r="C517" s="40">
        <f t="shared" si="106"/>
        <v>6.5747279843466185E-12</v>
      </c>
      <c r="D517" s="15">
        <f t="shared" si="107"/>
        <v>152097547211.20645</v>
      </c>
      <c r="E517" s="15">
        <f t="shared" si="108"/>
        <v>-152049513175.81335</v>
      </c>
      <c r="F517" s="29">
        <f t="shared" si="109"/>
        <v>-3822225878.11516</v>
      </c>
      <c r="G517" s="17">
        <f t="shared" si="110"/>
        <v>13.148243839286462</v>
      </c>
      <c r="H517" s="16">
        <f t="shared" si="111"/>
        <v>2.112846102371465E-11</v>
      </c>
      <c r="I517" s="16">
        <f t="shared" si="112"/>
        <v>47329523853.043388</v>
      </c>
      <c r="J517" s="16">
        <f t="shared" si="113"/>
        <v>39540722342.118896</v>
      </c>
      <c r="K517" s="18">
        <f t="shared" si="114"/>
        <v>26011826249.213314</v>
      </c>
      <c r="L517" s="17">
        <f t="shared" si="115"/>
        <v>12.098035875852366</v>
      </c>
      <c r="M517" s="16">
        <f t="shared" si="116"/>
        <v>2.1339384624410721E-11</v>
      </c>
      <c r="N517" s="16">
        <f t="shared" si="117"/>
        <v>70292561214.914688</v>
      </c>
      <c r="O517" s="16">
        <f t="shared" si="119"/>
        <v>58724838524.58226</v>
      </c>
      <c r="P517" s="18">
        <f t="shared" si="118"/>
        <v>38632078670.636772</v>
      </c>
    </row>
    <row r="518" spans="1:16" x14ac:dyDescent="0.4">
      <c r="A518" s="14">
        <v>0.505</v>
      </c>
      <c r="B518" s="44">
        <f t="shared" si="120"/>
        <v>3.1730085801256909</v>
      </c>
      <c r="C518" s="40">
        <f t="shared" si="106"/>
        <v>6.5747478323335454E-12</v>
      </c>
      <c r="D518" s="15">
        <f t="shared" si="107"/>
        <v>152097088055.93454</v>
      </c>
      <c r="E518" s="15">
        <f t="shared" si="108"/>
        <v>-152022037324.43094</v>
      </c>
      <c r="F518" s="29">
        <f t="shared" si="109"/>
        <v>-4777484989.4097786</v>
      </c>
      <c r="G518" s="17">
        <f t="shared" si="110"/>
        <v>13.174331624681869</v>
      </c>
      <c r="H518" s="16">
        <f t="shared" si="111"/>
        <v>2.1074252298352864E-11</v>
      </c>
      <c r="I518" s="16">
        <f t="shared" si="112"/>
        <v>47451268298.527428</v>
      </c>
      <c r="J518" s="16">
        <f t="shared" si="113"/>
        <v>38948683560.35524</v>
      </c>
      <c r="K518" s="18">
        <f t="shared" si="114"/>
        <v>27103927982.013</v>
      </c>
      <c r="L518" s="17">
        <f t="shared" si="115"/>
        <v>12.12203991528858</v>
      </c>
      <c r="M518" s="16">
        <f t="shared" si="116"/>
        <v>2.1378603188309343E-11</v>
      </c>
      <c r="N518" s="16">
        <f t="shared" si="117"/>
        <v>70163611101.601746</v>
      </c>
      <c r="O518" s="16">
        <f t="shared" si="119"/>
        <v>57591301228.357719</v>
      </c>
      <c r="P518" s="18">
        <f t="shared" si="118"/>
        <v>40077105005.743286</v>
      </c>
    </row>
    <row r="519" spans="1:16" x14ac:dyDescent="0.4">
      <c r="A519" s="14">
        <v>0.50600000000000001</v>
      </c>
      <c r="B519" s="44">
        <f t="shared" si="120"/>
        <v>3.1792917654328705</v>
      </c>
      <c r="C519" s="40">
        <f t="shared" si="106"/>
        <v>6.5747720893880247E-12</v>
      </c>
      <c r="D519" s="15">
        <f t="shared" si="107"/>
        <v>152096526906.84818</v>
      </c>
      <c r="E519" s="15">
        <f t="shared" si="108"/>
        <v>-151988458163.2095</v>
      </c>
      <c r="F519" s="29">
        <f t="shared" si="109"/>
        <v>-5732545882.5816841</v>
      </c>
      <c r="G519" s="17">
        <f t="shared" si="110"/>
        <v>13.200419410077279</v>
      </c>
      <c r="H519" s="16">
        <f t="shared" si="111"/>
        <v>2.1017972431164302E-11</v>
      </c>
      <c r="I519" s="16">
        <f t="shared" si="112"/>
        <v>47578328655.396584</v>
      </c>
      <c r="J519" s="16">
        <f t="shared" si="113"/>
        <v>38330793696.122063</v>
      </c>
      <c r="K519" s="18">
        <f t="shared" si="114"/>
        <v>28185947070.592838</v>
      </c>
      <c r="L519" s="17">
        <f t="shared" si="115"/>
        <v>12.146043954724794</v>
      </c>
      <c r="M519" s="16">
        <f t="shared" si="116"/>
        <v>2.1415892887086557E-11</v>
      </c>
      <c r="N519" s="16">
        <f t="shared" si="117"/>
        <v>70041441088.103134</v>
      </c>
      <c r="O519" s="16">
        <f t="shared" si="119"/>
        <v>56427875976.317017</v>
      </c>
      <c r="P519" s="18">
        <f t="shared" si="118"/>
        <v>41493352268.762367</v>
      </c>
    </row>
    <row r="520" spans="1:16" x14ac:dyDescent="0.4">
      <c r="A520" s="14">
        <v>0.50700000000000001</v>
      </c>
      <c r="B520" s="44">
        <f t="shared" si="120"/>
        <v>3.1855749507400501</v>
      </c>
      <c r="C520" s="40">
        <f t="shared" si="106"/>
        <v>6.5748007545524299E-12</v>
      </c>
      <c r="D520" s="15">
        <f t="shared" si="107"/>
        <v>152095863788.35803</v>
      </c>
      <c r="E520" s="15">
        <f t="shared" si="108"/>
        <v>-151948777152.88763</v>
      </c>
      <c r="F520" s="29">
        <f t="shared" si="109"/>
        <v>-6687368934.70436</v>
      </c>
      <c r="G520" s="17">
        <f t="shared" si="110"/>
        <v>13.226507195472688</v>
      </c>
      <c r="H520" s="16">
        <f t="shared" si="111"/>
        <v>2.095965972250926E-11</v>
      </c>
      <c r="I520" s="16">
        <f t="shared" si="112"/>
        <v>47710698228.848984</v>
      </c>
      <c r="J520" s="16">
        <f t="shared" si="113"/>
        <v>37687085305.995857</v>
      </c>
      <c r="K520" s="18">
        <f t="shared" si="114"/>
        <v>29257380720.476063</v>
      </c>
      <c r="L520" s="17">
        <f t="shared" si="115"/>
        <v>12.17004799416101</v>
      </c>
      <c r="M520" s="16">
        <f t="shared" si="116"/>
        <v>2.1451232235676708E-11</v>
      </c>
      <c r="N520" s="16">
        <f t="shared" si="117"/>
        <v>69926052896.172028</v>
      </c>
      <c r="O520" s="16">
        <f t="shared" si="119"/>
        <v>55235182431.602623</v>
      </c>
      <c r="P520" s="18">
        <f t="shared" si="118"/>
        <v>42880385905.281036</v>
      </c>
    </row>
    <row r="521" spans="1:16" x14ac:dyDescent="0.4">
      <c r="A521" s="14">
        <v>0.50800000000000001</v>
      </c>
      <c r="B521" s="44">
        <f t="shared" si="120"/>
        <v>3.1918581360472298</v>
      </c>
      <c r="C521" s="40">
        <f t="shared" si="106"/>
        <v>6.5748338266951087E-12</v>
      </c>
      <c r="D521" s="15">
        <f t="shared" si="107"/>
        <v>152095098729.31006</v>
      </c>
      <c r="E521" s="15">
        <f t="shared" si="108"/>
        <v>-151902996019.60287</v>
      </c>
      <c r="F521" s="29">
        <f t="shared" si="109"/>
        <v>-7641914534.1388979</v>
      </c>
      <c r="G521" s="17">
        <f t="shared" si="110"/>
        <v>13.252594980868098</v>
      </c>
      <c r="H521" s="16">
        <f t="shared" si="111"/>
        <v>2.0899353856165659E-11</v>
      </c>
      <c r="I521" s="16">
        <f t="shared" si="112"/>
        <v>47848369231.041237</v>
      </c>
      <c r="J521" s="16">
        <f t="shared" si="113"/>
        <v>37017596261.973969</v>
      </c>
      <c r="K521" s="18">
        <f t="shared" si="114"/>
        <v>30317717675.569588</v>
      </c>
      <c r="L521" s="17">
        <f t="shared" si="115"/>
        <v>12.194052033597224</v>
      </c>
      <c r="M521" s="16">
        <f t="shared" si="116"/>
        <v>2.1484600872740085E-11</v>
      </c>
      <c r="N521" s="16">
        <f t="shared" si="117"/>
        <v>69817447802.961868</v>
      </c>
      <c r="O521" s="16">
        <f t="shared" si="119"/>
        <v>54013838639.55864</v>
      </c>
      <c r="P521" s="18">
        <f t="shared" si="118"/>
        <v>44237780834.248764</v>
      </c>
    </row>
    <row r="522" spans="1:16" x14ac:dyDescent="0.4">
      <c r="A522" s="14">
        <v>0.50900000000000001</v>
      </c>
      <c r="B522" s="44">
        <f t="shared" si="120"/>
        <v>3.1981413213544094</v>
      </c>
      <c r="C522" s="40">
        <f t="shared" si="106"/>
        <v>6.5748713045104307E-12</v>
      </c>
      <c r="D522" s="15">
        <f t="shared" si="107"/>
        <v>152094231762.98364</v>
      </c>
      <c r="E522" s="15">
        <f t="shared" si="108"/>
        <v>-151851116754.79657</v>
      </c>
      <c r="F522" s="29">
        <f t="shared" si="109"/>
        <v>-8596143082.413208</v>
      </c>
      <c r="G522" s="17">
        <f t="shared" si="110"/>
        <v>13.278682766263508</v>
      </c>
      <c r="H522" s="16">
        <f t="shared" si="111"/>
        <v>2.0837095872322902E-11</v>
      </c>
      <c r="I522" s="16">
        <f t="shared" si="112"/>
        <v>47991332675.503059</v>
      </c>
      <c r="J522" s="16">
        <f t="shared" si="113"/>
        <v>36322370264.932381</v>
      </c>
      <c r="K522" s="18">
        <f t="shared" si="114"/>
        <v>31366437960.150394</v>
      </c>
      <c r="L522" s="17">
        <f t="shared" si="115"/>
        <v>12.21805607303344</v>
      </c>
      <c r="M522" s="16">
        <f t="shared" si="116"/>
        <v>2.151597957239443E-11</v>
      </c>
      <c r="N522" s="16">
        <f t="shared" si="117"/>
        <v>69715626702.143723</v>
      </c>
      <c r="O522" s="16">
        <f t="shared" si="119"/>
        <v>52764461104.861946</v>
      </c>
      <c r="P522" s="18">
        <f t="shared" si="118"/>
        <v>45565120989.482368</v>
      </c>
    </row>
    <row r="523" spans="1:16" x14ac:dyDescent="0.4">
      <c r="A523" s="14">
        <v>0.51</v>
      </c>
      <c r="B523" s="44">
        <f t="shared" si="120"/>
        <v>3.2044245066615891</v>
      </c>
      <c r="C523" s="40">
        <f t="shared" si="106"/>
        <v>6.5749131865188339E-12</v>
      </c>
      <c r="D523" s="15">
        <f t="shared" si="107"/>
        <v>152093262927.08997</v>
      </c>
      <c r="E523" s="15">
        <f t="shared" si="108"/>
        <v>-151793141615.10452</v>
      </c>
      <c r="F523" s="29">
        <f t="shared" si="109"/>
        <v>-9550014996.1004314</v>
      </c>
      <c r="G523" s="17">
        <f t="shared" si="110"/>
        <v>13.304770551658919</v>
      </c>
      <c r="H523" s="16">
        <f t="shared" si="111"/>
        <v>2.0772928139652609E-11</v>
      </c>
      <c r="I523" s="16">
        <f t="shared" si="112"/>
        <v>48139578266.346581</v>
      </c>
      <c r="J523" s="16">
        <f t="shared" si="113"/>
        <v>35601457383.396965</v>
      </c>
      <c r="K523" s="18">
        <f t="shared" si="114"/>
        <v>32403012635.245476</v>
      </c>
      <c r="L523" s="17">
        <f t="shared" si="115"/>
        <v>12.242060112469655</v>
      </c>
      <c r="M523" s="16">
        <f t="shared" si="116"/>
        <v>2.1545350255292252E-11</v>
      </c>
      <c r="N523" s="16">
        <f t="shared" si="117"/>
        <v>69620590161.051117</v>
      </c>
      <c r="O523" s="16">
        <f t="shared" si="119"/>
        <v>51487664887.964821</v>
      </c>
      <c r="P523" s="18">
        <f t="shared" si="118"/>
        <v>46861998877.103844</v>
      </c>
    </row>
    <row r="524" spans="1:16" x14ac:dyDescent="0.4">
      <c r="A524" s="14">
        <v>0.51100000000000001</v>
      </c>
      <c r="B524" s="44">
        <f t="shared" si="120"/>
        <v>3.2107076919687687</v>
      </c>
      <c r="C524" s="40">
        <f t="shared" si="106"/>
        <v>6.5749594710668909E-12</v>
      </c>
      <c r="D524" s="15">
        <f t="shared" si="107"/>
        <v>152092192263.76984</v>
      </c>
      <c r="E524" s="15">
        <f t="shared" si="108"/>
        <v>-151729073122.23279</v>
      </c>
      <c r="F524" s="29">
        <f t="shared" si="109"/>
        <v>-10503490708.696297</v>
      </c>
      <c r="G524" s="17">
        <f t="shared" si="110"/>
        <v>13.330858337054329</v>
      </c>
      <c r="H524" s="16">
        <f t="shared" si="111"/>
        <v>2.0706894326475333E-11</v>
      </c>
      <c r="I524" s="16">
        <f t="shared" si="112"/>
        <v>48293094282.198769</v>
      </c>
      <c r="J524" s="16">
        <f t="shared" si="113"/>
        <v>34854914617.97567</v>
      </c>
      <c r="K524" s="18">
        <f t="shared" si="114"/>
        <v>33426903570.671421</v>
      </c>
      <c r="L524" s="17">
        <f t="shared" si="115"/>
        <v>12.266064151905871</v>
      </c>
      <c r="M524" s="16">
        <f t="shared" si="116"/>
        <v>2.1572695999037516E-11</v>
      </c>
      <c r="N524" s="16">
        <f t="shared" si="117"/>
        <v>69532338473.917389</v>
      </c>
      <c r="O524" s="16">
        <f t="shared" si="119"/>
        <v>50184063720.056824</v>
      </c>
      <c r="P524" s="18">
        <f t="shared" si="118"/>
        <v>48128015149.10717</v>
      </c>
    </row>
    <row r="525" spans="1:16" x14ac:dyDescent="0.4">
      <c r="A525" s="14">
        <v>0.51200000000000001</v>
      </c>
      <c r="B525" s="44">
        <f t="shared" si="120"/>
        <v>3.2169908772759483</v>
      </c>
      <c r="C525" s="40">
        <f t="shared" ref="C525:C588" si="121">((semiejeMayorTierra*(1-(excentricidadTierra^2)))^-1)*(1+excentricidadTierra*COS(Φ))</f>
        <v>6.5750101563273654E-12</v>
      </c>
      <c r="D525" s="15">
        <f t="shared" ref="D525:D588" si="122">1/u0Tierra</f>
        <v>152091019819.5914</v>
      </c>
      <c r="E525" s="15">
        <f t="shared" ref="E525:E588" si="123">r0Tierra*COS(Φ)</f>
        <v>-151658914062.819</v>
      </c>
      <c r="F525" s="29">
        <f t="shared" ref="F525:F588" si="124">r0Tierra*SIN(Φ)</f>
        <v>-11456530672.495333</v>
      </c>
      <c r="G525" s="17">
        <f t="shared" ref="G525:G588" si="125">Φ*relaciónOrbitas</f>
        <v>13.356946122449738</v>
      </c>
      <c r="H525" s="16">
        <f t="shared" ref="H525:H588" si="126">((semiejeMayorMercurio*(1-(excentricidadMercurio^2)))^-1)*(1+excentricidadMercurio*COS(ΦMercurio))</f>
        <v>2.0639039371042756E-11</v>
      </c>
      <c r="I525" s="16">
        <f t="shared" ref="I525:I588" si="127">1/u0Mercurio</f>
        <v>48451867454.79213</v>
      </c>
      <c r="J525" s="16">
        <f t="shared" ref="J525:J588" si="128">r0Mercurio*COS(ΦMercurio)</f>
        <v>34082806491.767506</v>
      </c>
      <c r="K525" s="18">
        <f t="shared" ref="K525:K588" si="129">r0Mercurio*SIN(ΦMercurio)</f>
        <v>34437563234.083153</v>
      </c>
      <c r="L525" s="17">
        <f t="shared" ref="L525:L588" si="130">ΦMercurio*(1-(simulaciónÁngulo*((3/2)*rsSol*((semiejeMayorMercurio*(1-(excentricidadMercurio^2)))^-1))))</f>
        <v>12.290068191342085</v>
      </c>
      <c r="M525" s="16">
        <f t="shared" ref="M525:M588" si="131">((semiejeMayorMercurio*(1-(excentricidadMercurio^2)))^-1)*(1+excentricidadMercurio*COS(ΦLPMercurio))</f>
        <v>2.1598001047935787E-11</v>
      </c>
      <c r="N525" s="16">
        <f t="shared" ref="N525:N588" si="132">1*simulaciónRadio/uMercurio</f>
        <v>69450871711.267075</v>
      </c>
      <c r="O525" s="16">
        <f t="shared" si="119"/>
        <v>48854270135.785439</v>
      </c>
      <c r="P525" s="18">
        <f t="shared" ref="P525:P588" si="133">rMercurio*SIN(ΦMercurio)</f>
        <v>49362778193.235641</v>
      </c>
    </row>
    <row r="526" spans="1:16" x14ac:dyDescent="0.4">
      <c r="A526" s="14">
        <v>0.51300000000000001</v>
      </c>
      <c r="B526" s="44">
        <f t="shared" si="120"/>
        <v>3.223274062583128</v>
      </c>
      <c r="C526" s="40">
        <f t="shared" si="121"/>
        <v>6.5750652402992905E-12</v>
      </c>
      <c r="D526" s="15">
        <f t="shared" si="122"/>
        <v>152089745645.54755</v>
      </c>
      <c r="E526" s="15">
        <f t="shared" si="123"/>
        <v>-151582667488.27921</v>
      </c>
      <c r="F526" s="29">
        <f t="shared" si="124"/>
        <v>-12409095360.465771</v>
      </c>
      <c r="G526" s="17">
        <f t="shared" si="125"/>
        <v>13.383033907845148</v>
      </c>
      <c r="H526" s="16">
        <f t="shared" si="126"/>
        <v>2.0569409450955684E-11</v>
      </c>
      <c r="I526" s="16">
        <f t="shared" si="127"/>
        <v>48615882842.156105</v>
      </c>
      <c r="J526" s="16">
        <f t="shared" si="128"/>
        <v>33285205667.028496</v>
      </c>
      <c r="K526" s="18">
        <f t="shared" si="129"/>
        <v>35434434498.462967</v>
      </c>
      <c r="L526" s="17">
        <f t="shared" si="130"/>
        <v>12.314072230778301</v>
      </c>
      <c r="M526" s="16">
        <f t="shared" si="131"/>
        <v>2.162125082207211E-11</v>
      </c>
      <c r="N526" s="16">
        <f t="shared" si="132"/>
        <v>69376189765.52092</v>
      </c>
      <c r="O526" s="16">
        <f t="shared" ref="O526:O589" si="134">rMercurio*COS(ΦMercurio)</f>
        <v>47498895623.012169</v>
      </c>
      <c r="P526" s="18">
        <f t="shared" si="133"/>
        <v>50565903739.335701</v>
      </c>
    </row>
    <row r="527" spans="1:16" x14ac:dyDescent="0.4">
      <c r="A527" s="14">
        <v>0.51400000000000001</v>
      </c>
      <c r="B527" s="44">
        <f t="shared" ref="B527:B590" si="135">A527*2*PI()</f>
        <v>3.2295572478903072</v>
      </c>
      <c r="C527" s="40">
        <f t="shared" si="121"/>
        <v>6.5751247208080448E-12</v>
      </c>
      <c r="D527" s="15">
        <f t="shared" si="122"/>
        <v>152088369797.05319</v>
      </c>
      <c r="E527" s="15">
        <f t="shared" si="123"/>
        <v>-151500336714.64008</v>
      </c>
      <c r="F527" s="29">
        <f t="shared" si="124"/>
        <v>-13361145268.12299</v>
      </c>
      <c r="G527" s="17">
        <f t="shared" si="125"/>
        <v>13.409121693240555</v>
      </c>
      <c r="H527" s="16">
        <f t="shared" si="126"/>
        <v>2.0498051951738635E-11</v>
      </c>
      <c r="I527" s="16">
        <f t="shared" si="127"/>
        <v>48785123696.36084</v>
      </c>
      <c r="J527" s="16">
        <f t="shared" si="128"/>
        <v>32462193588.328392</v>
      </c>
      <c r="K527" s="18">
        <f t="shared" si="129"/>
        <v>36416950469.570061</v>
      </c>
      <c r="L527" s="17">
        <f t="shared" si="130"/>
        <v>12.338076270214513</v>
      </c>
      <c r="M527" s="16">
        <f t="shared" si="131"/>
        <v>2.1642431925711462E-11</v>
      </c>
      <c r="N527" s="16">
        <f t="shared" si="132"/>
        <v>69308292392.870255</v>
      </c>
      <c r="O527" s="16">
        <f t="shared" si="134"/>
        <v>46118550788.908936</v>
      </c>
      <c r="P527" s="18">
        <f t="shared" si="133"/>
        <v>51737014482.345459</v>
      </c>
    </row>
    <row r="528" spans="1:16" x14ac:dyDescent="0.4">
      <c r="A528" s="14">
        <v>0.51500000000000001</v>
      </c>
      <c r="B528" s="44">
        <f t="shared" si="135"/>
        <v>3.2358404331974868</v>
      </c>
      <c r="C528" s="40">
        <f t="shared" si="121"/>
        <v>6.575188595505441E-12</v>
      </c>
      <c r="D528" s="15">
        <f t="shared" si="122"/>
        <v>152086892333.94211</v>
      </c>
      <c r="E528" s="15">
        <f t="shared" si="123"/>
        <v>-151411925322.35651</v>
      </c>
      <c r="F528" s="29">
        <f t="shared" si="124"/>
        <v>-14312640915.401745</v>
      </c>
      <c r="G528" s="17">
        <f t="shared" si="125"/>
        <v>13.435209478635965</v>
      </c>
      <c r="H528" s="16">
        <f t="shared" si="126"/>
        <v>2.0425015434592372E-11</v>
      </c>
      <c r="I528" s="16">
        <f t="shared" si="127"/>
        <v>48959571325.775955</v>
      </c>
      <c r="J528" s="16">
        <f t="shared" si="128"/>
        <v>31613861152.381443</v>
      </c>
      <c r="K528" s="18">
        <f t="shared" si="129"/>
        <v>37384534334.958496</v>
      </c>
      <c r="L528" s="17">
        <f t="shared" si="130"/>
        <v>12.362080309650729</v>
      </c>
      <c r="M528" s="16">
        <f t="shared" si="131"/>
        <v>2.1661532155016941E-11</v>
      </c>
      <c r="N528" s="16">
        <f t="shared" si="132"/>
        <v>69247179251.472794</v>
      </c>
      <c r="O528" s="16">
        <f t="shared" si="134"/>
        <v>44713845541.731445</v>
      </c>
      <c r="P528" s="18">
        <f t="shared" si="133"/>
        <v>52875739722.067123</v>
      </c>
    </row>
    <row r="529" spans="1:16" x14ac:dyDescent="0.4">
      <c r="A529" s="14">
        <v>0.51600000000000001</v>
      </c>
      <c r="B529" s="44">
        <f t="shared" si="135"/>
        <v>3.2421236185046665</v>
      </c>
      <c r="C529" s="40">
        <f t="shared" si="121"/>
        <v>6.5752568618698142E-12</v>
      </c>
      <c r="D529" s="15">
        <f t="shared" si="122"/>
        <v>152085313320.46378</v>
      </c>
      <c r="E529" s="15">
        <f t="shared" si="123"/>
        <v>-151317437156.11511</v>
      </c>
      <c r="F529" s="29">
        <f t="shared" si="124"/>
        <v>-15263542848.526035</v>
      </c>
      <c r="G529" s="17">
        <f t="shared" si="125"/>
        <v>13.461297264031376</v>
      </c>
      <c r="H529" s="16">
        <f t="shared" si="126"/>
        <v>2.0350349603346363E-11</v>
      </c>
      <c r="I529" s="16">
        <f t="shared" si="127"/>
        <v>49139204951.818733</v>
      </c>
      <c r="J529" s="16">
        <f t="shared" si="128"/>
        <v>30740309404.674793</v>
      </c>
      <c r="K529" s="18">
        <f t="shared" si="129"/>
        <v>38336599236.261284</v>
      </c>
      <c r="L529" s="17">
        <f t="shared" si="130"/>
        <v>12.386084349086945</v>
      </c>
      <c r="M529" s="16">
        <f t="shared" si="131"/>
        <v>2.1678540505081177E-11</v>
      </c>
      <c r="N529" s="16">
        <f t="shared" si="132"/>
        <v>69192849936.019394</v>
      </c>
      <c r="O529" s="16">
        <f t="shared" si="134"/>
        <v>43285389287.637306</v>
      </c>
      <c r="P529" s="18">
        <f t="shared" si="133"/>
        <v>53981715019.867538</v>
      </c>
    </row>
    <row r="530" spans="1:16" x14ac:dyDescent="0.4">
      <c r="A530" s="14">
        <v>0.51700000000000002</v>
      </c>
      <c r="B530" s="44">
        <f t="shared" si="135"/>
        <v>3.2484068038118461</v>
      </c>
      <c r="C530" s="40">
        <f t="shared" si="121"/>
        <v>6.5753295172061251E-12</v>
      </c>
      <c r="D530" s="15">
        <f t="shared" si="122"/>
        <v>152083632825.27969</v>
      </c>
      <c r="E530" s="15">
        <f t="shared" si="123"/>
        <v>-151216876324.62256</v>
      </c>
      <c r="F530" s="29">
        <f t="shared" si="124"/>
        <v>-16213811641.877859</v>
      </c>
      <c r="G530" s="17">
        <f t="shared" si="125"/>
        <v>13.487385049426786</v>
      </c>
      <c r="H530" s="16">
        <f t="shared" si="126"/>
        <v>2.027410527063364E-11</v>
      </c>
      <c r="I530" s="16">
        <f t="shared" si="127"/>
        <v>49324001560.180626</v>
      </c>
      <c r="J530" s="16">
        <f t="shared" si="128"/>
        <v>29841650262.94849</v>
      </c>
      <c r="K530" s="18">
        <f t="shared" si="129"/>
        <v>39272548166.531883</v>
      </c>
      <c r="L530" s="17">
        <f t="shared" si="130"/>
        <v>12.41008838852316</v>
      </c>
      <c r="M530" s="16">
        <f t="shared" si="131"/>
        <v>2.1693447176267016E-11</v>
      </c>
      <c r="N530" s="16">
        <f t="shared" si="132"/>
        <v>69145304008.71579</v>
      </c>
      <c r="O530" s="16">
        <f t="shared" si="134"/>
        <v>41833791141.940567</v>
      </c>
      <c r="P530" s="18">
        <f t="shared" si="133"/>
        <v>55054581872.449303</v>
      </c>
    </row>
    <row r="531" spans="1:16" x14ac:dyDescent="0.4">
      <c r="A531" s="14">
        <v>0.51800000000000002</v>
      </c>
      <c r="B531" s="44">
        <f t="shared" si="135"/>
        <v>3.2546899891190257</v>
      </c>
      <c r="C531" s="40">
        <f t="shared" si="121"/>
        <v>6.5754065586460659E-12</v>
      </c>
      <c r="D531" s="15">
        <f t="shared" si="122"/>
        <v>152081850921.45981</v>
      </c>
      <c r="E531" s="15">
        <f t="shared" si="123"/>
        <v>-151110247200.38022</v>
      </c>
      <c r="F531" s="29">
        <f t="shared" si="124"/>
        <v>-17163407899.863726</v>
      </c>
      <c r="G531" s="17">
        <f t="shared" si="125"/>
        <v>13.513472834822196</v>
      </c>
      <c r="H531" s="16">
        <f t="shared" si="126"/>
        <v>2.0196334323311073E-11</v>
      </c>
      <c r="I531" s="16">
        <f t="shared" si="127"/>
        <v>49513935746.536789</v>
      </c>
      <c r="J531" s="16">
        <f t="shared" si="128"/>
        <v>28918007267.504238</v>
      </c>
      <c r="K531" s="18">
        <f t="shared" si="129"/>
        <v>40191773894.526543</v>
      </c>
      <c r="L531" s="17">
        <f t="shared" si="130"/>
        <v>12.434092427959374</v>
      </c>
      <c r="M531" s="16">
        <f t="shared" si="131"/>
        <v>2.1706243579853717E-11</v>
      </c>
      <c r="N531" s="16">
        <f t="shared" si="132"/>
        <v>69104541026.720978</v>
      </c>
      <c r="O531" s="16">
        <f t="shared" si="134"/>
        <v>40359660154.223068</v>
      </c>
      <c r="P531" s="18">
        <f t="shared" si="133"/>
        <v>56093987402.834724</v>
      </c>
    </row>
    <row r="532" spans="1:16" x14ac:dyDescent="0.4">
      <c r="A532" s="14">
        <v>0.51900000000000002</v>
      </c>
      <c r="B532" s="44">
        <f t="shared" si="135"/>
        <v>3.2609731744262054</v>
      </c>
      <c r="C532" s="40">
        <f t="shared" si="121"/>
        <v>6.5754879831481728E-12</v>
      </c>
      <c r="D532" s="15">
        <f t="shared" si="122"/>
        <v>152079967686.47821</v>
      </c>
      <c r="E532" s="15">
        <f t="shared" si="123"/>
        <v>-150997554419.4436</v>
      </c>
      <c r="F532" s="29">
        <f t="shared" si="124"/>
        <v>-18112292258.77911</v>
      </c>
      <c r="G532" s="17">
        <f t="shared" si="125"/>
        <v>13.539560620217605</v>
      </c>
      <c r="H532" s="16">
        <f t="shared" si="126"/>
        <v>2.0117089687148587E-11</v>
      </c>
      <c r="I532" s="16">
        <f t="shared" si="127"/>
        <v>49708979556.761169</v>
      </c>
      <c r="J532" s="16">
        <f t="shared" si="128"/>
        <v>27969516358.233784</v>
      </c>
      <c r="K532" s="18">
        <f t="shared" si="129"/>
        <v>41093658917.903534</v>
      </c>
      <c r="L532" s="17">
        <f t="shared" si="130"/>
        <v>12.45809646739559</v>
      </c>
      <c r="M532" s="16">
        <f t="shared" si="131"/>
        <v>2.1716922342985504E-11</v>
      </c>
      <c r="N532" s="16">
        <f t="shared" si="132"/>
        <v>69070560566.078323</v>
      </c>
      <c r="O532" s="16">
        <f t="shared" si="134"/>
        <v>38863605546.747574</v>
      </c>
      <c r="P532" s="18">
        <f t="shared" si="133"/>
        <v>57099584068.704956</v>
      </c>
    </row>
    <row r="533" spans="1:16" x14ac:dyDescent="0.4">
      <c r="A533" s="14">
        <v>0.52</v>
      </c>
      <c r="B533" s="44">
        <f t="shared" si="135"/>
        <v>3.267256359733385</v>
      </c>
      <c r="C533" s="40">
        <f t="shared" si="121"/>
        <v>6.5755737874979452E-12</v>
      </c>
      <c r="D533" s="15">
        <f t="shared" si="122"/>
        <v>152077983202.20926</v>
      </c>
      <c r="E533" s="15">
        <f t="shared" si="123"/>
        <v>-150878802881.16803</v>
      </c>
      <c r="F533" s="29">
        <f t="shared" si="124"/>
        <v>-19060425388.670837</v>
      </c>
      <c r="G533" s="17">
        <f t="shared" si="125"/>
        <v>13.565648405613015</v>
      </c>
      <c r="H533" s="16">
        <f t="shared" si="126"/>
        <v>2.003642529081141E-11</v>
      </c>
      <c r="I533" s="16">
        <f t="shared" si="127"/>
        <v>49909102321.689804</v>
      </c>
      <c r="J533" s="16">
        <f t="shared" si="128"/>
        <v>26996326678.158726</v>
      </c>
      <c r="K533" s="18">
        <f t="shared" si="129"/>
        <v>41977575447.410469</v>
      </c>
      <c r="L533" s="17">
        <f t="shared" si="130"/>
        <v>12.482100506831806</v>
      </c>
      <c r="M533" s="16">
        <f t="shared" si="131"/>
        <v>2.1725477312919542E-11</v>
      </c>
      <c r="N533" s="16">
        <f t="shared" si="132"/>
        <v>69043362242.172302</v>
      </c>
      <c r="O533" s="16">
        <f t="shared" si="134"/>
        <v>37346236965.638634</v>
      </c>
      <c r="P533" s="18">
        <f t="shared" si="133"/>
        <v>58071029388.243065</v>
      </c>
    </row>
    <row r="534" spans="1:16" x14ac:dyDescent="0.4">
      <c r="A534" s="14">
        <v>0.52100000000000002</v>
      </c>
      <c r="B534" s="44">
        <f t="shared" si="135"/>
        <v>3.2735395450405647</v>
      </c>
      <c r="C534" s="40">
        <f t="shared" si="121"/>
        <v>6.5756639683079757E-12</v>
      </c>
      <c r="D534" s="15">
        <f t="shared" si="122"/>
        <v>152075897554.92267</v>
      </c>
      <c r="E534" s="15">
        <f t="shared" si="123"/>
        <v>-150753997747.93936</v>
      </c>
      <c r="F534" s="29">
        <f t="shared" si="124"/>
        <v>-20007767995.197029</v>
      </c>
      <c r="G534" s="17">
        <f t="shared" si="125"/>
        <v>13.591736191008424</v>
      </c>
      <c r="H534" s="16">
        <f t="shared" si="126"/>
        <v>1.9954396029159759E-11</v>
      </c>
      <c r="I534" s="16">
        <f t="shared" si="127"/>
        <v>50114270486.497307</v>
      </c>
      <c r="J534" s="16">
        <f t="shared" si="128"/>
        <v>25998601403.166615</v>
      </c>
      <c r="K534" s="18">
        <f t="shared" si="129"/>
        <v>42842885424.222748</v>
      </c>
      <c r="L534" s="17">
        <f t="shared" si="130"/>
        <v>12.50610454626802</v>
      </c>
      <c r="M534" s="16">
        <f t="shared" si="131"/>
        <v>2.1731903560570942E-11</v>
      </c>
      <c r="N534" s="16">
        <f t="shared" si="132"/>
        <v>69022945726.738342</v>
      </c>
      <c r="O534" s="16">
        <f t="shared" si="134"/>
        <v>35808164744.319267</v>
      </c>
      <c r="P534" s="18">
        <f t="shared" si="133"/>
        <v>59007985683.634018</v>
      </c>
    </row>
    <row r="535" spans="1:16" x14ac:dyDescent="0.4">
      <c r="A535" s="14">
        <v>0.52200000000000002</v>
      </c>
      <c r="B535" s="44">
        <f t="shared" si="135"/>
        <v>3.2798227303477443</v>
      </c>
      <c r="C535" s="40">
        <f t="shared" si="121"/>
        <v>6.5757585220180783E-12</v>
      </c>
      <c r="D535" s="15">
        <f t="shared" si="122"/>
        <v>152073710835.27917</v>
      </c>
      <c r="E535" s="15">
        <f t="shared" si="123"/>
        <v>-150623144444.89087</v>
      </c>
      <c r="F535" s="29">
        <f t="shared" si="124"/>
        <v>-20954280821.484734</v>
      </c>
      <c r="G535" s="17">
        <f t="shared" si="125"/>
        <v>13.617823976403836</v>
      </c>
      <c r="H535" s="16">
        <f t="shared" si="126"/>
        <v>1.9871057725891036E-11</v>
      </c>
      <c r="I535" s="16">
        <f t="shared" si="127"/>
        <v>50324447434.775848</v>
      </c>
      <c r="J535" s="16">
        <f t="shared" si="128"/>
        <v>24976518597.508327</v>
      </c>
      <c r="K535" s="18">
        <f t="shared" si="129"/>
        <v>43688940572.687706</v>
      </c>
      <c r="L535" s="17">
        <f t="shared" si="130"/>
        <v>12.530108585704237</v>
      </c>
      <c r="M535" s="16">
        <f t="shared" si="131"/>
        <v>2.1736197383352731E-11</v>
      </c>
      <c r="N535" s="16">
        <f t="shared" si="132"/>
        <v>69009310761.449768</v>
      </c>
      <c r="O535" s="16">
        <f t="shared" si="134"/>
        <v>34250000178.710533</v>
      </c>
      <c r="P535" s="18">
        <f t="shared" si="133"/>
        <v>59910119842.382851</v>
      </c>
    </row>
    <row r="536" spans="1:16" x14ac:dyDescent="0.4">
      <c r="A536" s="14">
        <v>0.52300000000000002</v>
      </c>
      <c r="B536" s="44">
        <f t="shared" si="135"/>
        <v>3.2861059156549239</v>
      </c>
      <c r="C536" s="40">
        <f t="shared" si="121"/>
        <v>6.5758574448954357E-12</v>
      </c>
      <c r="D536" s="15">
        <f t="shared" si="122"/>
        <v>152071423138.32523</v>
      </c>
      <c r="E536" s="15">
        <f t="shared" si="123"/>
        <v>-150486248659.60522</v>
      </c>
      <c r="F536" s="29">
        <f t="shared" si="124"/>
        <v>-21899924649.984913</v>
      </c>
      <c r="G536" s="17">
        <f t="shared" si="125"/>
        <v>13.643911761799245</v>
      </c>
      <c r="H536" s="16">
        <f t="shared" si="126"/>
        <v>1.978646709554991E-11</v>
      </c>
      <c r="I536" s="16">
        <f t="shared" si="127"/>
        <v>50539593307.433128</v>
      </c>
      <c r="J536" s="16">
        <f t="shared" si="128"/>
        <v>23930272094.490723</v>
      </c>
      <c r="K536" s="18">
        <f t="shared" si="129"/>
        <v>44515082490.818527</v>
      </c>
      <c r="L536" s="17">
        <f t="shared" si="130"/>
        <v>12.554112625140451</v>
      </c>
      <c r="M536" s="16">
        <f t="shared" si="131"/>
        <v>2.1738356307309176E-11</v>
      </c>
      <c r="N536" s="16">
        <f t="shared" si="132"/>
        <v>69002457168.100098</v>
      </c>
      <c r="O536" s="16">
        <f t="shared" si="134"/>
        <v>32672355813.718414</v>
      </c>
      <c r="P536" s="18">
        <f t="shared" si="133"/>
        <v>60777103096.620758</v>
      </c>
    </row>
    <row r="537" spans="1:16" x14ac:dyDescent="0.4">
      <c r="A537" s="14">
        <v>0.52400000000000002</v>
      </c>
      <c r="B537" s="44">
        <f t="shared" si="135"/>
        <v>3.2923891009621031</v>
      </c>
      <c r="C537" s="40">
        <f t="shared" si="121"/>
        <v>6.5759607330347407E-12</v>
      </c>
      <c r="D537" s="15">
        <f t="shared" si="122"/>
        <v>152069034563.48801</v>
      </c>
      <c r="E537" s="15">
        <f t="shared" si="123"/>
        <v>-150343316341.80258</v>
      </c>
      <c r="F537" s="29">
        <f t="shared" si="124"/>
        <v>-22844660304.324726</v>
      </c>
      <c r="G537" s="17">
        <f t="shared" si="125"/>
        <v>13.669999547194653</v>
      </c>
      <c r="H537" s="16">
        <f t="shared" si="126"/>
        <v>1.9700681704932135E-11</v>
      </c>
      <c r="I537" s="16">
        <f t="shared" si="127"/>
        <v>50759664816.555382</v>
      </c>
      <c r="J537" s="16">
        <f t="shared" si="128"/>
        <v>22860072401.653759</v>
      </c>
      <c r="K537" s="18">
        <f t="shared" si="129"/>
        <v>45320642780.969009</v>
      </c>
      <c r="L537" s="17">
        <f t="shared" si="130"/>
        <v>12.578116664576665</v>
      </c>
      <c r="M537" s="16">
        <f t="shared" si="131"/>
        <v>2.1738379088541176E-11</v>
      </c>
      <c r="N537" s="16">
        <f t="shared" si="132"/>
        <v>69002384855.395508</v>
      </c>
      <c r="O537" s="16">
        <f t="shared" si="134"/>
        <v>31075845740.546452</v>
      </c>
      <c r="P537" s="18">
        <f t="shared" si="133"/>
        <v>61608610820.581535</v>
      </c>
    </row>
    <row r="538" spans="1:16" x14ac:dyDescent="0.4">
      <c r="A538" s="14">
        <v>0.52500000000000002</v>
      </c>
      <c r="B538" s="44">
        <f t="shared" si="135"/>
        <v>3.2986722862692828</v>
      </c>
      <c r="C538" s="40">
        <f t="shared" si="121"/>
        <v>6.5760683823583573E-12</v>
      </c>
      <c r="D538" s="15">
        <f t="shared" si="122"/>
        <v>152066545214.56979</v>
      </c>
      <c r="E538" s="15">
        <f t="shared" si="123"/>
        <v>-150194353703.01392</v>
      </c>
      <c r="F538" s="29">
        <f t="shared" si="124"/>
        <v>-23788448651.157284</v>
      </c>
      <c r="G538" s="17">
        <f t="shared" si="125"/>
        <v>13.696087332590063</v>
      </c>
      <c r="H538" s="16">
        <f t="shared" si="126"/>
        <v>1.9613759933908395E-11</v>
      </c>
      <c r="I538" s="16">
        <f t="shared" si="127"/>
        <v>50984615054.413589</v>
      </c>
      <c r="J538" s="16">
        <f t="shared" si="128"/>
        <v>21766147629.566433</v>
      </c>
      <c r="K538" s="18">
        <f t="shared" si="129"/>
        <v>46104943223.201736</v>
      </c>
      <c r="L538" s="17">
        <f t="shared" si="130"/>
        <v>12.602120704012879</v>
      </c>
      <c r="M538" s="16">
        <f t="shared" si="131"/>
        <v>2.1736265713922939E-11</v>
      </c>
      <c r="N538" s="16">
        <f t="shared" si="132"/>
        <v>69009093822.366669</v>
      </c>
      <c r="O538" s="16">
        <f t="shared" si="134"/>
        <v>29461085904.388031</v>
      </c>
      <c r="P538" s="18">
        <f t="shared" si="133"/>
        <v>62404322346.440666</v>
      </c>
    </row>
    <row r="539" spans="1:16" x14ac:dyDescent="0.4">
      <c r="A539" s="14">
        <v>0.52600000000000002</v>
      </c>
      <c r="B539" s="44">
        <f t="shared" si="135"/>
        <v>3.3049554715764624</v>
      </c>
      <c r="C539" s="40">
        <f t="shared" si="121"/>
        <v>6.5761803886164715E-12</v>
      </c>
      <c r="D539" s="15">
        <f t="shared" si="122"/>
        <v>152063955199.74246</v>
      </c>
      <c r="E539" s="15">
        <f t="shared" si="123"/>
        <v>-150039367216.24084</v>
      </c>
      <c r="F539" s="29">
        <f t="shared" si="124"/>
        <v>-24731250602.007881</v>
      </c>
      <c r="G539" s="17">
        <f t="shared" si="125"/>
        <v>13.722175117985472</v>
      </c>
      <c r="H539" s="16">
        <f t="shared" si="126"/>
        <v>1.9525760935694813E-11</v>
      </c>
      <c r="I539" s="16">
        <f t="shared" si="127"/>
        <v>51214393297.825943</v>
      </c>
      <c r="J539" s="16">
        <f t="shared" si="128"/>
        <v>20648744443.205208</v>
      </c>
      <c r="K539" s="18">
        <f t="shared" si="129"/>
        <v>46867295993.940178</v>
      </c>
      <c r="L539" s="17">
        <f t="shared" si="130"/>
        <v>12.626124743449095</v>
      </c>
      <c r="M539" s="16">
        <f t="shared" si="131"/>
        <v>2.1732017401109595E-11</v>
      </c>
      <c r="N539" s="16">
        <f t="shared" si="132"/>
        <v>69022584158.404587</v>
      </c>
      <c r="O539" s="16">
        <f t="shared" si="134"/>
        <v>27828694422.062435</v>
      </c>
      <c r="P539" s="18">
        <f t="shared" si="133"/>
        <v>63163920798.724289</v>
      </c>
    </row>
    <row r="540" spans="1:16" x14ac:dyDescent="0.4">
      <c r="A540" s="14">
        <v>0.52700000000000002</v>
      </c>
      <c r="B540" s="44">
        <f t="shared" si="135"/>
        <v>3.3112386568836421</v>
      </c>
      <c r="C540" s="40">
        <f t="shared" si="121"/>
        <v>6.5762967473872696E-12</v>
      </c>
      <c r="D540" s="15">
        <f t="shared" si="122"/>
        <v>152061264631.54132</v>
      </c>
      <c r="E540" s="15">
        <f t="shared" si="123"/>
        <v>-149878363615.60019</v>
      </c>
      <c r="F540" s="29">
        <f t="shared" si="124"/>
        <v>-25673027115.117722</v>
      </c>
      <c r="G540" s="17">
        <f t="shared" si="125"/>
        <v>13.748262903380882</v>
      </c>
      <c r="H540" s="16">
        <f t="shared" si="126"/>
        <v>1.9436744596597193E-11</v>
      </c>
      <c r="I540" s="16">
        <f t="shared" si="127"/>
        <v>51448944808.127533</v>
      </c>
      <c r="J540" s="16">
        <f t="shared" si="128"/>
        <v>19508129034.693752</v>
      </c>
      <c r="K540" s="18">
        <f t="shared" si="129"/>
        <v>47607003932.567436</v>
      </c>
      <c r="L540" s="17">
        <f t="shared" si="130"/>
        <v>12.650128782885309</v>
      </c>
      <c r="M540" s="16">
        <f t="shared" si="131"/>
        <v>2.1725636597835566E-11</v>
      </c>
      <c r="N540" s="16">
        <f t="shared" si="132"/>
        <v>69042856039.921005</v>
      </c>
      <c r="O540" s="16">
        <f t="shared" si="134"/>
        <v>26179291909.166439</v>
      </c>
      <c r="P540" s="18">
        <f t="shared" si="133"/>
        <v>63887092947.510994</v>
      </c>
    </row>
    <row r="541" spans="1:16" x14ac:dyDescent="0.4">
      <c r="A541" s="14">
        <v>0.52800000000000002</v>
      </c>
      <c r="B541" s="44">
        <f t="shared" si="135"/>
        <v>3.3175218421908217</v>
      </c>
      <c r="C541" s="40">
        <f t="shared" si="121"/>
        <v>6.5764174540771067E-12</v>
      </c>
      <c r="D541" s="15">
        <f t="shared" si="122"/>
        <v>152058473626.85916</v>
      </c>
      <c r="E541" s="15">
        <f t="shared" si="123"/>
        <v>-149711349895.95532</v>
      </c>
      <c r="F541" s="29">
        <f t="shared" si="124"/>
        <v>-26613739197.284237</v>
      </c>
      <c r="G541" s="17">
        <f t="shared" si="125"/>
        <v>13.774350688776293</v>
      </c>
      <c r="H541" s="16">
        <f t="shared" si="126"/>
        <v>1.9346771495256349E-11</v>
      </c>
      <c r="I541" s="16">
        <f t="shared" si="127"/>
        <v>51688210627.038773</v>
      </c>
      <c r="J541" s="16">
        <f t="shared" si="128"/>
        <v>18344588115.987347</v>
      </c>
      <c r="K541" s="18">
        <f t="shared" si="129"/>
        <v>48323360858.697517</v>
      </c>
      <c r="L541" s="17">
        <f t="shared" si="130"/>
        <v>12.674132822321527</v>
      </c>
      <c r="M541" s="16">
        <f t="shared" si="131"/>
        <v>2.1717126980504309E-11</v>
      </c>
      <c r="N541" s="16">
        <f t="shared" si="132"/>
        <v>69069909723.628067</v>
      </c>
      <c r="O541" s="16">
        <f t="shared" si="134"/>
        <v>24513501816.32272</v>
      </c>
      <c r="P541" s="18">
        <f t="shared" si="133"/>
        <v>64573529080.66333</v>
      </c>
    </row>
    <row r="542" spans="1:16" x14ac:dyDescent="0.4">
      <c r="A542" s="14">
        <v>0.52900000000000003</v>
      </c>
      <c r="B542" s="44">
        <f t="shared" si="135"/>
        <v>3.3238050274980013</v>
      </c>
      <c r="C542" s="40">
        <f t="shared" si="121"/>
        <v>6.5765425039206883E-12</v>
      </c>
      <c r="D542" s="15">
        <f t="shared" si="122"/>
        <v>152055582306.93976</v>
      </c>
      <c r="E542" s="15">
        <f t="shared" si="123"/>
        <v>-149538333312.53259</v>
      </c>
      <c r="F542" s="29">
        <f t="shared" si="124"/>
        <v>-27553347905.698067</v>
      </c>
      <c r="G542" s="17">
        <f t="shared" si="125"/>
        <v>13.800438474171703</v>
      </c>
      <c r="H542" s="16">
        <f t="shared" si="126"/>
        <v>1.9255902861422287E-11</v>
      </c>
      <c r="I542" s="16">
        <f t="shared" si="127"/>
        <v>51932127368.76767</v>
      </c>
      <c r="J542" s="16">
        <f t="shared" si="128"/>
        <v>17158429929.872231</v>
      </c>
      <c r="K542" s="18">
        <f t="shared" si="129"/>
        <v>49015651942.900574</v>
      </c>
      <c r="L542" s="17">
        <f t="shared" si="130"/>
        <v>12.698136861757741</v>
      </c>
      <c r="M542" s="16">
        <f t="shared" si="131"/>
        <v>2.1706493452070067E-11</v>
      </c>
      <c r="N542" s="16">
        <f t="shared" si="132"/>
        <v>69103745536.428436</v>
      </c>
      <c r="O542" s="16">
        <f t="shared" si="134"/>
        <v>22831950774.110271</v>
      </c>
      <c r="P542" s="18">
        <f t="shared" si="133"/>
        <v>65222922895.344536</v>
      </c>
    </row>
    <row r="543" spans="1:16" x14ac:dyDescent="0.4">
      <c r="A543" s="14">
        <v>0.53</v>
      </c>
      <c r="B543" s="44">
        <f t="shared" si="135"/>
        <v>3.330088212805181</v>
      </c>
      <c r="C543" s="40">
        <f t="shared" si="121"/>
        <v>6.5766718919812606E-12</v>
      </c>
      <c r="D543" s="15">
        <f t="shared" si="122"/>
        <v>152052590797.37125</v>
      </c>
      <c r="E543" s="15">
        <f t="shared" si="123"/>
        <v>-149359321380.52411</v>
      </c>
      <c r="F543" s="29">
        <f t="shared" si="124"/>
        <v>-28491814349.776699</v>
      </c>
      <c r="G543" s="17">
        <f t="shared" si="125"/>
        <v>13.826526259567112</v>
      </c>
      <c r="H543" s="16">
        <f t="shared" si="126"/>
        <v>1.9164200534285266E-11</v>
      </c>
      <c r="I543" s="16">
        <f t="shared" si="127"/>
        <v>52180627008.727722</v>
      </c>
      <c r="J543" s="16">
        <f t="shared" si="128"/>
        <v>15949985277.422415</v>
      </c>
      <c r="K543" s="18">
        <f t="shared" si="129"/>
        <v>49683154133.709877</v>
      </c>
      <c r="L543" s="17">
        <f t="shared" si="130"/>
        <v>12.722140901193956</v>
      </c>
      <c r="M543" s="16">
        <f t="shared" si="131"/>
        <v>2.1693742139212975E-11</v>
      </c>
      <c r="N543" s="16">
        <f t="shared" si="132"/>
        <v>69144363861.901154</v>
      </c>
      <c r="O543" s="16">
        <f t="shared" si="134"/>
        <v>21135268946.262356</v>
      </c>
      <c r="P543" s="18">
        <f t="shared" si="133"/>
        <v>65834971409.093361</v>
      </c>
    </row>
    <row r="544" spans="1:16" x14ac:dyDescent="0.4">
      <c r="A544" s="14">
        <v>0.53100000000000003</v>
      </c>
      <c r="B544" s="44">
        <f t="shared" si="135"/>
        <v>3.3363713981123606</v>
      </c>
      <c r="C544" s="40">
        <f t="shared" si="121"/>
        <v>6.5768056131508066E-12</v>
      </c>
      <c r="D544" s="15">
        <f t="shared" si="122"/>
        <v>152049499228.07913</v>
      </c>
      <c r="E544" s="15">
        <f t="shared" si="123"/>
        <v>-149174321874.67599</v>
      </c>
      <c r="F544" s="29">
        <f t="shared" si="124"/>
        <v>-29429099692.994434</v>
      </c>
      <c r="G544" s="17">
        <f t="shared" si="125"/>
        <v>13.852614044962522</v>
      </c>
      <c r="H544" s="16">
        <f t="shared" si="126"/>
        <v>1.9071726920392154E-11</v>
      </c>
      <c r="I544" s="16">
        <f t="shared" si="127"/>
        <v>52433636669.30262</v>
      </c>
      <c r="J544" s="16">
        <f t="shared" si="128"/>
        <v>14719608559.818155</v>
      </c>
      <c r="K544" s="18">
        <f t="shared" si="129"/>
        <v>50325136643.770424</v>
      </c>
      <c r="L544" s="17">
        <f t="shared" si="130"/>
        <v>12.74614494063017</v>
      </c>
      <c r="M544" s="16">
        <f t="shared" si="131"/>
        <v>2.167888038880906E-11</v>
      </c>
      <c r="N544" s="16">
        <f t="shared" si="132"/>
        <v>69191765123.36499</v>
      </c>
      <c r="O544" s="16">
        <f t="shared" si="134"/>
        <v>19424090390.722015</v>
      </c>
      <c r="P544" s="18">
        <f t="shared" si="133"/>
        <v>66409374890.748436</v>
      </c>
    </row>
    <row r="545" spans="1:16" x14ac:dyDescent="0.4">
      <c r="A545" s="14">
        <v>0.53200000000000003</v>
      </c>
      <c r="B545" s="44">
        <f t="shared" si="135"/>
        <v>3.3426545834195402</v>
      </c>
      <c r="C545" s="40">
        <f t="shared" si="121"/>
        <v>6.5769436621502409E-12</v>
      </c>
      <c r="D545" s="15">
        <f t="shared" si="122"/>
        <v>152046307733.31937</v>
      </c>
      <c r="E545" s="15">
        <f t="shared" si="123"/>
        <v>-148983342828.86298</v>
      </c>
      <c r="F545" s="29">
        <f t="shared" si="124"/>
        <v>-30365165154.708778</v>
      </c>
      <c r="G545" s="17">
        <f t="shared" si="125"/>
        <v>13.878701830357931</v>
      </c>
      <c r="H545" s="16">
        <f t="shared" si="126"/>
        <v>1.8978544951176633E-11</v>
      </c>
      <c r="I545" s="16">
        <f t="shared" si="127"/>
        <v>52691078403.141861</v>
      </c>
      <c r="J545" s="16">
        <f t="shared" si="128"/>
        <v>13467678832.171629</v>
      </c>
      <c r="K545" s="18">
        <f t="shared" si="129"/>
        <v>50940861498.010796</v>
      </c>
      <c r="L545" s="17">
        <f t="shared" si="130"/>
        <v>12.770148980066386</v>
      </c>
      <c r="M545" s="16">
        <f t="shared" si="131"/>
        <v>2.1661916763697212E-11</v>
      </c>
      <c r="N545" s="16">
        <f t="shared" si="132"/>
        <v>69245949763.49559</v>
      </c>
      <c r="O545" s="16">
        <f t="shared" si="134"/>
        <v>17699053428.138638</v>
      </c>
      <c r="P545" s="18">
        <f t="shared" si="133"/>
        <v>66945836811.533318</v>
      </c>
    </row>
    <row r="546" spans="1:16" x14ac:dyDescent="0.4">
      <c r="A546" s="14">
        <v>0.53300000000000003</v>
      </c>
      <c r="B546" s="44">
        <f t="shared" si="135"/>
        <v>3.3489377687267194</v>
      </c>
      <c r="C546" s="40">
        <f t="shared" si="121"/>
        <v>6.5770860335296275E-12</v>
      </c>
      <c r="D546" s="15">
        <f t="shared" si="122"/>
        <v>152043016451.6709</v>
      </c>
      <c r="E546" s="15">
        <f t="shared" si="123"/>
        <v>-148786392535.64874</v>
      </c>
      <c r="F546" s="29">
        <f t="shared" si="124"/>
        <v>-31299972011.982937</v>
      </c>
      <c r="G546" s="17">
        <f t="shared" si="125"/>
        <v>13.904789615753339</v>
      </c>
      <c r="H546" s="16">
        <f t="shared" si="126"/>
        <v>1.8884718040132235E-11</v>
      </c>
      <c r="I546" s="16">
        <f t="shared" si="127"/>
        <v>52952868974.52655</v>
      </c>
      <c r="J546" s="16">
        <f t="shared" si="128"/>
        <v>12194600866.736837</v>
      </c>
      <c r="K546" s="18">
        <f t="shared" si="129"/>
        <v>51529584146.724472</v>
      </c>
      <c r="L546" s="17">
        <f t="shared" si="130"/>
        <v>12.7941530195026</v>
      </c>
      <c r="M546" s="16">
        <f t="shared" si="131"/>
        <v>2.1642861037745585E-11</v>
      </c>
      <c r="N546" s="16">
        <f t="shared" si="132"/>
        <v>69306918220.468628</v>
      </c>
      <c r="O546" s="16">
        <f t="shared" si="134"/>
        <v>15960801017.387037</v>
      </c>
      <c r="P546" s="18">
        <f t="shared" si="133"/>
        <v>67444063816.633286</v>
      </c>
    </row>
    <row r="547" spans="1:16" x14ac:dyDescent="0.4">
      <c r="A547" s="14">
        <v>0.53400000000000003</v>
      </c>
      <c r="B547" s="44">
        <f t="shared" si="135"/>
        <v>3.3552209540338991</v>
      </c>
      <c r="C547" s="40">
        <f t="shared" si="121"/>
        <v>6.5772327216683865E-12</v>
      </c>
      <c r="D547" s="15">
        <f t="shared" si="122"/>
        <v>152039625526.02808</v>
      </c>
      <c r="E547" s="15">
        <f t="shared" si="123"/>
        <v>-148583479545.83228</v>
      </c>
      <c r="F547" s="29">
        <f t="shared" si="124"/>
        <v>-32233481601.404644</v>
      </c>
      <c r="G547" s="17">
        <f t="shared" si="125"/>
        <v>13.930877401148749</v>
      </c>
      <c r="H547" s="16">
        <f t="shared" si="126"/>
        <v>1.8790310039657289E-11</v>
      </c>
      <c r="I547" s="16">
        <f t="shared" si="127"/>
        <v>53218919639.403603</v>
      </c>
      <c r="J547" s="16">
        <f t="shared" si="128"/>
        <v>10900806222.595314</v>
      </c>
      <c r="K547" s="18">
        <f t="shared" si="129"/>
        <v>52090554146.435471</v>
      </c>
      <c r="L547" s="17">
        <f t="shared" si="130"/>
        <v>12.818157058938814</v>
      </c>
      <c r="M547" s="16">
        <f t="shared" si="131"/>
        <v>2.1621724190220213E-11</v>
      </c>
      <c r="N547" s="16">
        <f t="shared" si="132"/>
        <v>69374670900.596786</v>
      </c>
      <c r="O547" s="16">
        <f t="shared" si="134"/>
        <v>14209981137.681778</v>
      </c>
      <c r="P547" s="18">
        <f t="shared" si="133"/>
        <v>67903765717.615677</v>
      </c>
    </row>
    <row r="548" spans="1:16" x14ac:dyDescent="0.4">
      <c r="A548" s="14">
        <v>0.53500000000000003</v>
      </c>
      <c r="B548" s="44">
        <f t="shared" si="135"/>
        <v>3.3615041393410787</v>
      </c>
      <c r="C548" s="40">
        <f t="shared" si="121"/>
        <v>6.5773837207755225E-12</v>
      </c>
      <c r="D548" s="15">
        <f t="shared" si="122"/>
        <v>152036135103.59293</v>
      </c>
      <c r="E548" s="15">
        <f t="shared" si="123"/>
        <v>-148374612667.98035</v>
      </c>
      <c r="F548" s="29">
        <f t="shared" si="124"/>
        <v>-33165655320.900421</v>
      </c>
      <c r="G548" s="17">
        <f t="shared" si="125"/>
        <v>13.95696518654416</v>
      </c>
      <c r="H548" s="16">
        <f t="shared" si="126"/>
        <v>1.8695385197601214E-11</v>
      </c>
      <c r="I548" s="16">
        <f t="shared" si="127"/>
        <v>53489135924.747299</v>
      </c>
      <c r="J548" s="16">
        <f t="shared" si="128"/>
        <v>9586754318.6129246</v>
      </c>
      <c r="K548" s="18">
        <f t="shared" si="129"/>
        <v>52623015911.392311</v>
      </c>
      <c r="L548" s="17">
        <f t="shared" si="130"/>
        <v>12.842161098375032</v>
      </c>
      <c r="M548" s="16">
        <f t="shared" si="131"/>
        <v>2.1598518399459117E-11</v>
      </c>
      <c r="N548" s="16">
        <f t="shared" si="132"/>
        <v>69449208147.423843</v>
      </c>
      <c r="O548" s="16">
        <f t="shared" si="134"/>
        <v>12447247176.851995</v>
      </c>
      <c r="P548" s="18">
        <f t="shared" si="133"/>
        <v>68324655506.065689</v>
      </c>
    </row>
    <row r="549" spans="1:16" x14ac:dyDescent="0.4">
      <c r="A549" s="14">
        <v>0.53600000000000003</v>
      </c>
      <c r="B549" s="44">
        <f t="shared" si="135"/>
        <v>3.3677873246482584</v>
      </c>
      <c r="C549" s="40">
        <f t="shared" si="121"/>
        <v>6.5775390248898486E-12</v>
      </c>
      <c r="D549" s="15">
        <f t="shared" si="122"/>
        <v>152032545335.86694</v>
      </c>
      <c r="E549" s="15">
        <f t="shared" si="123"/>
        <v>-148159800967.94592</v>
      </c>
      <c r="F549" s="29">
        <f t="shared" si="124"/>
        <v>-34096454631.546173</v>
      </c>
      <c r="G549" s="17">
        <f t="shared" si="125"/>
        <v>13.98305297193957</v>
      </c>
      <c r="H549" s="16">
        <f t="shared" si="126"/>
        <v>1.86000081135417E-11</v>
      </c>
      <c r="I549" s="16">
        <f t="shared" si="127"/>
        <v>53763417407.971558</v>
      </c>
      <c r="J549" s="16">
        <f t="shared" si="128"/>
        <v>8252933506.1495256</v>
      </c>
      <c r="K549" s="18">
        <f t="shared" si="129"/>
        <v>53126209538.483482</v>
      </c>
      <c r="L549" s="17">
        <f t="shared" si="130"/>
        <v>12.866165137811246</v>
      </c>
      <c r="M549" s="16">
        <f t="shared" si="131"/>
        <v>2.1573257035855597E-11</v>
      </c>
      <c r="N549" s="16">
        <f t="shared" si="132"/>
        <v>69530530207.234879</v>
      </c>
      <c r="O549" s="16">
        <f t="shared" si="134"/>
        <v>10673258325.326395</v>
      </c>
      <c r="P549" s="18">
        <f t="shared" si="133"/>
        <v>68706449388.831413</v>
      </c>
    </row>
    <row r="550" spans="1:16" x14ac:dyDescent="0.4">
      <c r="A550" s="14">
        <v>0.53700000000000003</v>
      </c>
      <c r="B550" s="44">
        <f t="shared" si="135"/>
        <v>3.374070509955438</v>
      </c>
      <c r="C550" s="40">
        <f t="shared" si="121"/>
        <v>6.5776986278802245E-12</v>
      </c>
      <c r="D550" s="15">
        <f t="shared" si="122"/>
        <v>152028856378.64304</v>
      </c>
      <c r="E550" s="15">
        <f t="shared" si="123"/>
        <v>-147939053768.37311</v>
      </c>
      <c r="F550" s="29">
        <f t="shared" si="124"/>
        <v>-35025841059.373314</v>
      </c>
      <c r="G550" s="17">
        <f t="shared" si="125"/>
        <v>14.009140757334979</v>
      </c>
      <c r="H550" s="16">
        <f t="shared" si="126"/>
        <v>1.8504243694822432E-11</v>
      </c>
      <c r="I550" s="16">
        <f t="shared" si="127"/>
        <v>54041657497.182892</v>
      </c>
      <c r="J550" s="16">
        <f t="shared" si="128"/>
        <v>6899862137.6812992</v>
      </c>
      <c r="K550" s="18">
        <f t="shared" si="129"/>
        <v>53599371708.293518</v>
      </c>
      <c r="L550" s="17">
        <f t="shared" si="130"/>
        <v>12.890169177247461</v>
      </c>
      <c r="M550" s="16">
        <f t="shared" si="131"/>
        <v>2.1545954654154607E-11</v>
      </c>
      <c r="N550" s="16">
        <f t="shared" si="132"/>
        <v>69618637190.938385</v>
      </c>
      <c r="O550" s="16">
        <f t="shared" si="134"/>
        <v>8888679975.3646946</v>
      </c>
      <c r="P550" s="18">
        <f t="shared" si="133"/>
        <v>69048866845.293411</v>
      </c>
    </row>
    <row r="551" spans="1:16" x14ac:dyDescent="0.4">
      <c r="A551" s="14">
        <v>0.53800000000000003</v>
      </c>
      <c r="B551" s="44">
        <f t="shared" si="135"/>
        <v>3.3803536952626176</v>
      </c>
      <c r="C551" s="40">
        <f t="shared" si="121"/>
        <v>6.5778625234457982E-12</v>
      </c>
      <c r="D551" s="15">
        <f t="shared" si="122"/>
        <v>152025068391.9968</v>
      </c>
      <c r="E551" s="15">
        <f t="shared" si="123"/>
        <v>-147712380648.18765</v>
      </c>
      <c r="F551" s="29">
        <f t="shared" si="124"/>
        <v>-35953776197.17041</v>
      </c>
      <c r="G551" s="17">
        <f t="shared" si="125"/>
        <v>14.035228542730389</v>
      </c>
      <c r="H551" s="16">
        <f t="shared" si="126"/>
        <v>1.8408157112381504E-11</v>
      </c>
      <c r="I551" s="16">
        <f t="shared" si="127"/>
        <v>54323743213.131874</v>
      </c>
      <c r="J551" s="16">
        <f t="shared" si="128"/>
        <v>5528089627.1624622</v>
      </c>
      <c r="K551" s="18">
        <f t="shared" si="129"/>
        <v>54041736664.918068</v>
      </c>
      <c r="L551" s="17">
        <f t="shared" si="130"/>
        <v>12.914173216683675</v>
      </c>
      <c r="M551" s="16">
        <f t="shared" si="131"/>
        <v>2.1516626985066845E-11</v>
      </c>
      <c r="N551" s="16">
        <f t="shared" si="132"/>
        <v>69713529032.270859</v>
      </c>
      <c r="O551" s="16">
        <f t="shared" si="134"/>
        <v>7094184125.0553913</v>
      </c>
      <c r="P551" s="18">
        <f t="shared" si="133"/>
        <v>69351630707.093567</v>
      </c>
    </row>
    <row r="552" spans="1:16" x14ac:dyDescent="0.4">
      <c r="A552" s="14">
        <v>0.53900000000000003</v>
      </c>
      <c r="B552" s="44">
        <f t="shared" si="135"/>
        <v>3.3866368805697973</v>
      </c>
      <c r="C552" s="40">
        <f t="shared" si="121"/>
        <v>6.5780307051162506E-12</v>
      </c>
      <c r="D552" s="15">
        <f t="shared" si="122"/>
        <v>152021181540.27792</v>
      </c>
      <c r="E552" s="15">
        <f t="shared" si="123"/>
        <v>-147479791442.07431</v>
      </c>
      <c r="F552" s="29">
        <f t="shared" si="124"/>
        <v>-36880221706.280441</v>
      </c>
      <c r="G552" s="17">
        <f t="shared" si="125"/>
        <v>14.061316328125798</v>
      </c>
      <c r="H552" s="16">
        <f t="shared" si="126"/>
        <v>1.831181375640036E-11</v>
      </c>
      <c r="I552" s="16">
        <f t="shared" si="127"/>
        <v>54609554973.792763</v>
      </c>
      <c r="J552" s="16">
        <f t="shared" si="128"/>
        <v>4138197497.6066256</v>
      </c>
      <c r="K552" s="18">
        <f t="shared" si="129"/>
        <v>54452537277.031418</v>
      </c>
      <c r="L552" s="17">
        <f t="shared" si="130"/>
        <v>12.938177256119891</v>
      </c>
      <c r="M552" s="16">
        <f t="shared" si="131"/>
        <v>2.1485290926205221E-11</v>
      </c>
      <c r="N552" s="16">
        <f t="shared" si="132"/>
        <v>69815205442.272003</v>
      </c>
      <c r="O552" s="16">
        <f t="shared" si="134"/>
        <v>5290449786.5758209</v>
      </c>
      <c r="P552" s="18">
        <f t="shared" si="133"/>
        <v>69614467260.781113</v>
      </c>
    </row>
    <row r="553" spans="1:16" x14ac:dyDescent="0.4">
      <c r="A553" s="14">
        <v>0.54</v>
      </c>
      <c r="B553" s="44">
        <f t="shared" si="135"/>
        <v>3.3929200658769769</v>
      </c>
      <c r="C553" s="40">
        <f t="shared" si="121"/>
        <v>6.5782031662520616E-12</v>
      </c>
      <c r="D553" s="15">
        <f t="shared" si="122"/>
        <v>152017195992.10117</v>
      </c>
      <c r="E553" s="15">
        <f t="shared" si="123"/>
        <v>-147241296239.94</v>
      </c>
      <c r="F553" s="29">
        <f t="shared" si="124"/>
        <v>-37805139318.393288</v>
      </c>
      <c r="G553" s="17">
        <f t="shared" si="125"/>
        <v>14.087404113521208</v>
      </c>
      <c r="H553" s="16">
        <f t="shared" si="126"/>
        <v>1.8215279191803543E-11</v>
      </c>
      <c r="I553" s="16">
        <f t="shared" si="127"/>
        <v>54898966382.572769</v>
      </c>
      <c r="J553" s="16">
        <f t="shared" si="128"/>
        <v>2730800411.0176773</v>
      </c>
      <c r="K553" s="18">
        <f t="shared" si="129"/>
        <v>54831006182.54274</v>
      </c>
      <c r="L553" s="17">
        <f t="shared" si="130"/>
        <v>12.962181295556105</v>
      </c>
      <c r="M553" s="16">
        <f t="shared" si="131"/>
        <v>2.145196453234906E-11</v>
      </c>
      <c r="N553" s="16">
        <f t="shared" si="132"/>
        <v>69923665859.974503</v>
      </c>
      <c r="O553" s="16">
        <f t="shared" si="134"/>
        <v>3478163398.1891479</v>
      </c>
      <c r="P553" s="18">
        <f t="shared" si="133"/>
        <v>69837106373.853012</v>
      </c>
    </row>
    <row r="554" spans="1:16" x14ac:dyDescent="0.4">
      <c r="A554" s="14">
        <v>0.54100000000000004</v>
      </c>
      <c r="B554" s="44">
        <f t="shared" si="135"/>
        <v>3.3992032511841566</v>
      </c>
      <c r="C554" s="40">
        <f t="shared" si="121"/>
        <v>6.5783799000447574E-12</v>
      </c>
      <c r="D554" s="15">
        <f t="shared" si="122"/>
        <v>152013111920.33716</v>
      </c>
      <c r="E554" s="15">
        <f t="shared" si="123"/>
        <v>-146996905386.36359</v>
      </c>
      <c r="F554" s="29">
        <f t="shared" si="124"/>
        <v>-38728490837.333534</v>
      </c>
      <c r="G554" s="17">
        <f t="shared" si="125"/>
        <v>14.113491898916619</v>
      </c>
      <c r="H554" s="16">
        <f t="shared" si="126"/>
        <v>1.8118619113639551E-11</v>
      </c>
      <c r="I554" s="16">
        <f t="shared" si="127"/>
        <v>55191844021.226097</v>
      </c>
      <c r="J554" s="16">
        <f t="shared" si="128"/>
        <v>1306547175.4409828</v>
      </c>
      <c r="K554" s="18">
        <f t="shared" si="129"/>
        <v>55176377018.989731</v>
      </c>
      <c r="L554" s="17">
        <f t="shared" si="130"/>
        <v>12.986185334992323</v>
      </c>
      <c r="M554" s="16">
        <f t="shared" si="131"/>
        <v>2.1416667005041492E-11</v>
      </c>
      <c r="N554" s="16">
        <f t="shared" si="132"/>
        <v>70038909399.249634</v>
      </c>
      <c r="O554" s="16">
        <f t="shared" si="134"/>
        <v>1658019239.4253621</v>
      </c>
      <c r="P554" s="18">
        <f t="shared" si="133"/>
        <v>70019281644.686935</v>
      </c>
    </row>
    <row r="555" spans="1:16" x14ac:dyDescent="0.4">
      <c r="A555" s="14">
        <v>0.54200000000000004</v>
      </c>
      <c r="B555" s="44">
        <f t="shared" si="135"/>
        <v>3.4054864364913358</v>
      </c>
      <c r="C555" s="40">
        <f t="shared" si="121"/>
        <v>6.5785608995171926E-12</v>
      </c>
      <c r="D555" s="15">
        <f t="shared" si="122"/>
        <v>152008929502.10297</v>
      </c>
      <c r="E555" s="15">
        <f t="shared" si="123"/>
        <v>-146746629480.03177</v>
      </c>
      <c r="F555" s="29">
        <f t="shared" si="124"/>
        <v>-39650238140.843277</v>
      </c>
      <c r="G555" s="17">
        <f t="shared" si="125"/>
        <v>14.139579684312027</v>
      </c>
      <c r="H555" s="16">
        <f t="shared" si="126"/>
        <v>1.8021899302373156E-11</v>
      </c>
      <c r="I555" s="16">
        <f t="shared" si="127"/>
        <v>55488047248.622581</v>
      </c>
      <c r="J555" s="16">
        <f t="shared" si="128"/>
        <v>-133878276.4558467</v>
      </c>
      <c r="K555" s="18">
        <f t="shared" si="129"/>
        <v>55487885741.596474</v>
      </c>
      <c r="L555" s="17">
        <f t="shared" si="130"/>
        <v>13.010189374428535</v>
      </c>
      <c r="M555" s="16">
        <f t="shared" si="131"/>
        <v>2.1379418681526241E-11</v>
      </c>
      <c r="N555" s="16">
        <f t="shared" si="132"/>
        <v>70160934791.746048</v>
      </c>
      <c r="O555" s="16">
        <f t="shared" si="134"/>
        <v>-169280151.13530922</v>
      </c>
      <c r="P555" s="18">
        <f t="shared" si="133"/>
        <v>70160730576.883774</v>
      </c>
    </row>
    <row r="556" spans="1:16" x14ac:dyDescent="0.4">
      <c r="A556" s="14">
        <v>0.54300000000000004</v>
      </c>
      <c r="B556" s="44">
        <f t="shared" si="135"/>
        <v>3.4117696217985154</v>
      </c>
      <c r="C556" s="40">
        <f t="shared" si="121"/>
        <v>6.5787461575238166E-12</v>
      </c>
      <c r="D556" s="15">
        <f t="shared" si="122"/>
        <v>152004648918.75253</v>
      </c>
      <c r="E556" s="15">
        <f t="shared" si="123"/>
        <v>-146490479373.16174</v>
      </c>
      <c r="F556" s="29">
        <f t="shared" si="124"/>
        <v>-40570343182.360321</v>
      </c>
      <c r="G556" s="17">
        <f t="shared" si="125"/>
        <v>14.165667469707437</v>
      </c>
      <c r="H556" s="16">
        <f t="shared" si="126"/>
        <v>1.7925185579119492E-11</v>
      </c>
      <c r="I556" s="16">
        <f t="shared" si="127"/>
        <v>55787428006.595917</v>
      </c>
      <c r="J556" s="16">
        <f t="shared" si="128"/>
        <v>-1589755943.2300255</v>
      </c>
      <c r="K556" s="18">
        <f t="shared" si="129"/>
        <v>55764772030.665451</v>
      </c>
      <c r="L556" s="17">
        <f t="shared" si="130"/>
        <v>13.034193413864751</v>
      </c>
      <c r="M556" s="16">
        <f t="shared" si="131"/>
        <v>2.1340241023029908E-11</v>
      </c>
      <c r="N556" s="16">
        <f t="shared" si="132"/>
        <v>70289740325.858261</v>
      </c>
      <c r="O556" s="16">
        <f t="shared" si="134"/>
        <v>-2003023556.0943334</v>
      </c>
      <c r="P556" s="18">
        <f t="shared" si="133"/>
        <v>70261194778.556931</v>
      </c>
    </row>
    <row r="557" spans="1:16" x14ac:dyDescent="0.4">
      <c r="A557" s="14">
        <v>0.54400000000000004</v>
      </c>
      <c r="B557" s="44">
        <f t="shared" si="135"/>
        <v>3.418052807105695</v>
      </c>
      <c r="C557" s="40">
        <f t="shared" si="121"/>
        <v>6.5789356667509601E-12</v>
      </c>
      <c r="D557" s="15">
        <f t="shared" si="122"/>
        <v>152000270355.8667</v>
      </c>
      <c r="E557" s="15">
        <f t="shared" si="123"/>
        <v>-146228466170.91</v>
      </c>
      <c r="F557" s="29">
        <f t="shared" si="124"/>
        <v>-41488767992.790527</v>
      </c>
      <c r="G557" s="17">
        <f t="shared" si="125"/>
        <v>14.191755255102846</v>
      </c>
      <c r="H557" s="16">
        <f t="shared" si="126"/>
        <v>1.7828543760850618E-11</v>
      </c>
      <c r="I557" s="16">
        <f t="shared" si="127"/>
        <v>56089830634.170029</v>
      </c>
      <c r="J557" s="16">
        <f t="shared" si="128"/>
        <v>-3060328851.2530656</v>
      </c>
      <c r="K557" s="18">
        <f t="shared" si="129"/>
        <v>56006280789.676323</v>
      </c>
      <c r="L557" s="17">
        <f t="shared" si="130"/>
        <v>13.058197453300965</v>
      </c>
      <c r="M557" s="16">
        <f t="shared" si="131"/>
        <v>2.1299156602396815E-11</v>
      </c>
      <c r="N557" s="16">
        <f t="shared" si="132"/>
        <v>70425323781.656387</v>
      </c>
      <c r="O557" s="16">
        <f t="shared" si="134"/>
        <v>-3842490658.1290989</v>
      </c>
      <c r="P557" s="18">
        <f t="shared" si="133"/>
        <v>70320420187.121521</v>
      </c>
    </row>
    <row r="558" spans="1:16" x14ac:dyDescent="0.4">
      <c r="A558" s="14">
        <v>0.54500000000000004</v>
      </c>
      <c r="B558" s="44">
        <f t="shared" si="135"/>
        <v>3.4243359924128747</v>
      </c>
      <c r="C558" s="40">
        <f t="shared" si="121"/>
        <v>6.5791294197171259E-12</v>
      </c>
      <c r="D558" s="15">
        <f t="shared" si="122"/>
        <v>151995794003.24301</v>
      </c>
      <c r="E558" s="15">
        <f t="shared" si="123"/>
        <v>-145960601230.76764</v>
      </c>
      <c r="F558" s="29">
        <f t="shared" si="124"/>
        <v>-42405474682.27562</v>
      </c>
      <c r="G558" s="17">
        <f t="shared" si="125"/>
        <v>14.217843040498256</v>
      </c>
      <c r="H558" s="16">
        <f t="shared" si="126"/>
        <v>1.7732039615604799E-11</v>
      </c>
      <c r="I558" s="16">
        <f t="shared" si="127"/>
        <v>56395091691.537048</v>
      </c>
      <c r="J558" s="16">
        <f t="shared" si="128"/>
        <v>-4544802198.7221193</v>
      </c>
      <c r="K558" s="18">
        <f t="shared" si="129"/>
        <v>56211663735.130287</v>
      </c>
      <c r="L558" s="17">
        <f t="shared" si="130"/>
        <v>13.08220149273718</v>
      </c>
      <c r="M558" s="16">
        <f t="shared" si="131"/>
        <v>2.1256189091083251E-11</v>
      </c>
      <c r="N558" s="16">
        <f t="shared" si="132"/>
        <v>70567682361.709625</v>
      </c>
      <c r="O558" s="16">
        <f t="shared" si="134"/>
        <v>-5686951618.2442951</v>
      </c>
      <c r="P558" s="18">
        <f t="shared" si="133"/>
        <v>70338157320.155121</v>
      </c>
    </row>
    <row r="559" spans="1:16" x14ac:dyDescent="0.4">
      <c r="A559" s="14">
        <v>0.54600000000000004</v>
      </c>
      <c r="B559" s="44">
        <f t="shared" si="135"/>
        <v>3.4306191777200543</v>
      </c>
      <c r="C559" s="40">
        <f t="shared" si="121"/>
        <v>6.5793274087732756E-12</v>
      </c>
      <c r="D559" s="15">
        <f t="shared" si="122"/>
        <v>151991220054.88571</v>
      </c>
      <c r="E559" s="15">
        <f t="shared" si="123"/>
        <v>-145686896161.94272</v>
      </c>
      <c r="F559" s="29">
        <f t="shared" si="124"/>
        <v>-43320425441.955383</v>
      </c>
      <c r="G559" s="17">
        <f t="shared" si="125"/>
        <v>14.243930825893665</v>
      </c>
      <c r="H559" s="16">
        <f t="shared" si="126"/>
        <v>1.7635738817729145E-11</v>
      </c>
      <c r="I559" s="16">
        <f t="shared" si="127"/>
        <v>56703039795.231239</v>
      </c>
      <c r="J559" s="16">
        <f t="shared" si="128"/>
        <v>-6042342554.1171837</v>
      </c>
      <c r="K559" s="18">
        <f t="shared" si="129"/>
        <v>56380181078.800041</v>
      </c>
      <c r="L559" s="17">
        <f t="shared" si="130"/>
        <v>13.106205532173394</v>
      </c>
      <c r="M559" s="16">
        <f t="shared" si="131"/>
        <v>2.1211363245518792E-11</v>
      </c>
      <c r="N559" s="16">
        <f t="shared" si="132"/>
        <v>70716812617.731995</v>
      </c>
      <c r="O559" s="16">
        <f t="shared" si="134"/>
        <v>-7535666654.1109991</v>
      </c>
      <c r="P559" s="18">
        <f t="shared" si="133"/>
        <v>70314161552.915771</v>
      </c>
    </row>
    <row r="560" spans="1:16" x14ac:dyDescent="0.4">
      <c r="A560" s="14">
        <v>0.54700000000000004</v>
      </c>
      <c r="B560" s="44">
        <f t="shared" si="135"/>
        <v>3.436902363027234</v>
      </c>
      <c r="C560" s="40">
        <f t="shared" si="121"/>
        <v>6.579529626103142E-12</v>
      </c>
      <c r="D560" s="15">
        <f t="shared" si="122"/>
        <v>151986548708.99487</v>
      </c>
      <c r="E560" s="15">
        <f t="shared" si="123"/>
        <v>-145407362824.72861</v>
      </c>
      <c r="F560" s="29">
        <f t="shared" si="124"/>
        <v>-44233582545.724319</v>
      </c>
      <c r="G560" s="17">
        <f t="shared" si="125"/>
        <v>14.270018611289077</v>
      </c>
      <c r="H560" s="16">
        <f t="shared" si="126"/>
        <v>1.7539706903185958E-11</v>
      </c>
      <c r="I560" s="16">
        <f t="shared" si="127"/>
        <v>57013495466.013596</v>
      </c>
      <c r="J560" s="16">
        <f t="shared" si="128"/>
        <v>-7552077116.4689817</v>
      </c>
      <c r="K560" s="18">
        <f t="shared" si="129"/>
        <v>56511103302.625923</v>
      </c>
      <c r="L560" s="17">
        <f t="shared" si="130"/>
        <v>13.130209571609612</v>
      </c>
      <c r="M560" s="16">
        <f t="shared" si="131"/>
        <v>2.1164704892842461E-11</v>
      </c>
      <c r="N560" s="16">
        <f t="shared" si="132"/>
        <v>70872710372.979218</v>
      </c>
      <c r="O560" s="16">
        <f t="shared" si="134"/>
        <v>-9387885619.2736092</v>
      </c>
      <c r="P560" s="18">
        <f t="shared" si="133"/>
        <v>70248193423.116806</v>
      </c>
    </row>
    <row r="561" spans="1:16" x14ac:dyDescent="0.4">
      <c r="A561" s="14">
        <v>0.54800000000000004</v>
      </c>
      <c r="B561" s="44">
        <f t="shared" si="135"/>
        <v>3.4431855483344136</v>
      </c>
      <c r="C561" s="40">
        <f t="shared" si="121"/>
        <v>6.5797360637235307E-12</v>
      </c>
      <c r="D561" s="15">
        <f t="shared" si="122"/>
        <v>151981780167.95572</v>
      </c>
      <c r="E561" s="15">
        <f t="shared" si="123"/>
        <v>-145122013329.85941</v>
      </c>
      <c r="F561" s="29">
        <f t="shared" si="124"/>
        <v>-45144908351.982834</v>
      </c>
      <c r="G561" s="17">
        <f t="shared" si="125"/>
        <v>14.296106396684486</v>
      </c>
      <c r="H561" s="16">
        <f t="shared" si="126"/>
        <v>1.7444009224953332E-11</v>
      </c>
      <c r="I561" s="16">
        <f t="shared" si="127"/>
        <v>57326270991.047089</v>
      </c>
      <c r="J561" s="16">
        <f t="shared" si="128"/>
        <v>-9073093045.1225204</v>
      </c>
      <c r="K561" s="18">
        <f t="shared" si="129"/>
        <v>56603713026.033165</v>
      </c>
      <c r="L561" s="17">
        <f t="shared" si="130"/>
        <v>13.154213611045826</v>
      </c>
      <c r="M561" s="16">
        <f t="shared" si="131"/>
        <v>2.1116240916022048E-11</v>
      </c>
      <c r="N561" s="16">
        <f t="shared" si="132"/>
        <v>71035370640.323959</v>
      </c>
      <c r="O561" s="16">
        <f t="shared" si="134"/>
        <v>-11242847584.052345</v>
      </c>
      <c r="P561" s="18">
        <f t="shared" si="133"/>
        <v>70140018963.570068</v>
      </c>
    </row>
    <row r="562" spans="1:16" x14ac:dyDescent="0.4">
      <c r="A562" s="14">
        <v>0.54900000000000004</v>
      </c>
      <c r="B562" s="44">
        <f t="shared" si="135"/>
        <v>3.4494687336415932</v>
      </c>
      <c r="C562" s="40">
        <f t="shared" si="121"/>
        <v>6.5799467134846375E-12</v>
      </c>
      <c r="D562" s="15">
        <f t="shared" si="122"/>
        <v>151976914638.32776</v>
      </c>
      <c r="E562" s="15">
        <f t="shared" si="123"/>
        <v>-144830860037.85214</v>
      </c>
      <c r="F562" s="29">
        <f t="shared" si="124"/>
        <v>-46054365305.382767</v>
      </c>
      <c r="G562" s="17">
        <f t="shared" si="125"/>
        <v>14.322194182079896</v>
      </c>
      <c r="H562" s="16">
        <f t="shared" si="126"/>
        <v>1.7348710908550187E-11</v>
      </c>
      <c r="I562" s="16">
        <f t="shared" si="127"/>
        <v>57641170302.005394</v>
      </c>
      <c r="J562" s="16">
        <f t="shared" si="128"/>
        <v>-10604436866.984324</v>
      </c>
      <c r="K562" s="18">
        <f t="shared" si="129"/>
        <v>56657306964.935532</v>
      </c>
      <c r="L562" s="17">
        <f t="shared" si="130"/>
        <v>13.178217650482042</v>
      </c>
      <c r="M562" s="16">
        <f t="shared" si="131"/>
        <v>2.1065999238364991E-11</v>
      </c>
      <c r="N562" s="16">
        <f t="shared" si="132"/>
        <v>71204787535.937485</v>
      </c>
      <c r="O562" s="16">
        <f t="shared" si="134"/>
        <v>-13099780419.024752</v>
      </c>
      <c r="P562" s="18">
        <f t="shared" si="133"/>
        <v>69989410063.31839</v>
      </c>
    </row>
    <row r="563" spans="1:16" x14ac:dyDescent="0.4">
      <c r="A563" s="14">
        <v>0.55000000000000004</v>
      </c>
      <c r="B563" s="44">
        <f t="shared" si="135"/>
        <v>3.4557519189487729</v>
      </c>
      <c r="C563" s="40">
        <f t="shared" si="121"/>
        <v>6.5801615670703722E-12</v>
      </c>
      <c r="D563" s="15">
        <f t="shared" si="122"/>
        <v>151971952330.83331</v>
      </c>
      <c r="E563" s="15">
        <f t="shared" si="123"/>
        <v>-144533915558.33548</v>
      </c>
      <c r="F563" s="29">
        <f t="shared" si="124"/>
        <v>-46961915938.56694</v>
      </c>
      <c r="G563" s="17">
        <f t="shared" si="125"/>
        <v>14.348281967475305</v>
      </c>
      <c r="H563" s="16">
        <f t="shared" si="126"/>
        <v>1.7253876807716158E-11</v>
      </c>
      <c r="I563" s="16">
        <f t="shared" si="127"/>
        <v>57957988870.813484</v>
      </c>
      <c r="J563" s="16">
        <f t="shared" si="128"/>
        <v>-12145113969.51255</v>
      </c>
      <c r="K563" s="18">
        <f t="shared" si="129"/>
        <v>56671197981.134041</v>
      </c>
      <c r="L563" s="17">
        <f t="shared" si="130"/>
        <v>13.202221689918257</v>
      </c>
      <c r="M563" s="16">
        <f t="shared" si="131"/>
        <v>2.101400880742997E-11</v>
      </c>
      <c r="N563" s="16">
        <f t="shared" si="132"/>
        <v>71380954188.505035</v>
      </c>
      <c r="O563" s="16">
        <f t="shared" si="134"/>
        <v>-14957900382.021656</v>
      </c>
      <c r="P563" s="18">
        <f t="shared" si="133"/>
        <v>69796144857.885742</v>
      </c>
    </row>
    <row r="564" spans="1:16" x14ac:dyDescent="0.4">
      <c r="A564" s="14">
        <v>0.55100000000000005</v>
      </c>
      <c r="B564" s="44">
        <f t="shared" si="135"/>
        <v>3.4620351042559525</v>
      </c>
      <c r="C564" s="40">
        <f t="shared" si="121"/>
        <v>6.580380615998681E-12</v>
      </c>
      <c r="D564" s="15">
        <f t="shared" si="122"/>
        <v>151966893460.34637</v>
      </c>
      <c r="E564" s="15">
        <f t="shared" si="123"/>
        <v>-144231192749.36554</v>
      </c>
      <c r="F564" s="29">
        <f t="shared" si="124"/>
        <v>-47867522873.903061</v>
      </c>
      <c r="G564" s="17">
        <f t="shared" si="125"/>
        <v>14.374369752870715</v>
      </c>
      <c r="H564" s="16">
        <f t="shared" si="126"/>
        <v>1.7159571460276428E-11</v>
      </c>
      <c r="I564" s="16">
        <f t="shared" si="127"/>
        <v>58276513624.769203</v>
      </c>
      <c r="J564" s="16">
        <f t="shared" si="128"/>
        <v>-13694088187.956337</v>
      </c>
      <c r="K564" s="18">
        <f t="shared" si="129"/>
        <v>56644717220.217323</v>
      </c>
      <c r="L564" s="17">
        <f t="shared" si="130"/>
        <v>13.226225729354471</v>
      </c>
      <c r="M564" s="16">
        <f t="shared" si="131"/>
        <v>2.096029957834825E-11</v>
      </c>
      <c r="N564" s="16">
        <f t="shared" si="132"/>
        <v>71563862643.904327</v>
      </c>
      <c r="O564" s="16">
        <f t="shared" si="134"/>
        <v>-16816411709.637533</v>
      </c>
      <c r="P564" s="18">
        <f t="shared" si="133"/>
        <v>69560008149.277634</v>
      </c>
    </row>
    <row r="565" spans="1:16" x14ac:dyDescent="0.4">
      <c r="A565" s="14">
        <v>0.55200000000000005</v>
      </c>
      <c r="B565" s="44">
        <f t="shared" si="135"/>
        <v>3.4683182895631317</v>
      </c>
      <c r="C565" s="40">
        <f t="shared" si="121"/>
        <v>6.580603851621889E-12</v>
      </c>
      <c r="D565" s="15">
        <f t="shared" si="122"/>
        <v>151961738245.88074</v>
      </c>
      <c r="E565" s="15">
        <f t="shared" si="123"/>
        <v>-143922704716.72867</v>
      </c>
      <c r="F565" s="29">
        <f t="shared" si="124"/>
        <v>-48771148825.21125</v>
      </c>
      <c r="G565" s="17">
        <f t="shared" si="125"/>
        <v>14.400457538266123</v>
      </c>
      <c r="H565" s="16">
        <f t="shared" si="126"/>
        <v>1.7065859044221557E-11</v>
      </c>
      <c r="I565" s="16">
        <f t="shared" si="127"/>
        <v>58596522882.837044</v>
      </c>
      <c r="J565" s="16">
        <f t="shared" si="128"/>
        <v>-15250281495.555105</v>
      </c>
      <c r="K565" s="18">
        <f t="shared" si="129"/>
        <v>56577216335.422295</v>
      </c>
      <c r="L565" s="17">
        <f t="shared" si="130"/>
        <v>13.250229768790685</v>
      </c>
      <c r="M565" s="16">
        <f t="shared" si="131"/>
        <v>2.0904902496564576E-11</v>
      </c>
      <c r="N565" s="16">
        <f t="shared" si="132"/>
        <v>71753503765.277237</v>
      </c>
      <c r="O565" s="16">
        <f t="shared" si="134"/>
        <v>-18674506214.316017</v>
      </c>
      <c r="P565" s="18">
        <f t="shared" si="133"/>
        <v>69280791856.366135</v>
      </c>
    </row>
    <row r="566" spans="1:16" x14ac:dyDescent="0.4">
      <c r="A566" s="14">
        <v>0.55300000000000005</v>
      </c>
      <c r="B566" s="44">
        <f t="shared" si="135"/>
        <v>3.4746014748703113</v>
      </c>
      <c r="C566" s="40">
        <f t="shared" si="121"/>
        <v>6.5808312651270354E-12</v>
      </c>
      <c r="D566" s="15">
        <f t="shared" si="122"/>
        <v>151956486910.57819</v>
      </c>
      <c r="E566" s="15">
        <f t="shared" si="123"/>
        <v>-143608464813.23077</v>
      </c>
      <c r="F566" s="29">
        <f t="shared" si="124"/>
        <v>-49672756599.48597</v>
      </c>
      <c r="G566" s="17">
        <f t="shared" si="125"/>
        <v>14.426545323661534</v>
      </c>
      <c r="H566" s="16">
        <f t="shared" si="126"/>
        <v>1.6972803334032133E-11</v>
      </c>
      <c r="I566" s="16">
        <f t="shared" si="127"/>
        <v>58917786314.939621</v>
      </c>
      <c r="J566" s="16">
        <f t="shared" si="128"/>
        <v>-16812573805.573977</v>
      </c>
      <c r="K566" s="18">
        <f t="shared" si="129"/>
        <v>56468069794.221001</v>
      </c>
      <c r="L566" s="17">
        <f t="shared" si="130"/>
        <v>13.274233808226901</v>
      </c>
      <c r="M566" s="16">
        <f t="shared" si="131"/>
        <v>2.0847849480007439E-11</v>
      </c>
      <c r="N566" s="16">
        <f t="shared" si="132"/>
        <v>71949867128.427902</v>
      </c>
      <c r="O566" s="16">
        <f t="shared" si="134"/>
        <v>-20531362888.140354</v>
      </c>
      <c r="P566" s="18">
        <f t="shared" si="133"/>
        <v>68958295496.291977</v>
      </c>
    </row>
    <row r="567" spans="1:16" x14ac:dyDescent="0.4">
      <c r="A567" s="14">
        <v>0.55400000000000005</v>
      </c>
      <c r="B567" s="44">
        <f t="shared" si="135"/>
        <v>3.480884660177491</v>
      </c>
      <c r="C567" s="40">
        <f t="shared" si="121"/>
        <v>6.5810628475362234E-12</v>
      </c>
      <c r="D567" s="15">
        <f t="shared" si="122"/>
        <v>151951139681.6965</v>
      </c>
      <c r="E567" s="15">
        <f t="shared" si="123"/>
        <v>-143288486637.97449</v>
      </c>
      <c r="F567" s="29">
        <f t="shared" si="124"/>
        <v>-50572309098.610962</v>
      </c>
      <c r="G567" s="17">
        <f t="shared" si="125"/>
        <v>14.452633109056944</v>
      </c>
      <c r="H567" s="16">
        <f t="shared" si="126"/>
        <v>1.688046765727815E-11</v>
      </c>
      <c r="I567" s="16">
        <f t="shared" si="127"/>
        <v>59240064926.094742</v>
      </c>
      <c r="J567" s="16">
        <f t="shared" si="128"/>
        <v>-18379802894.163284</v>
      </c>
      <c r="K567" s="18">
        <f t="shared" si="129"/>
        <v>56316677263.663445</v>
      </c>
      <c r="L567" s="17">
        <f t="shared" si="130"/>
        <v>13.298237847663117</v>
      </c>
      <c r="M567" s="16">
        <f t="shared" si="131"/>
        <v>2.0789173400699053E-11</v>
      </c>
      <c r="N567" s="16">
        <f t="shared" si="132"/>
        <v>72152940912.48291</v>
      </c>
      <c r="O567" s="16">
        <f t="shared" si="134"/>
        <v>-22386147514.525848</v>
      </c>
      <c r="P567" s="18">
        <f t="shared" si="133"/>
        <v>68592326697.511421</v>
      </c>
    </row>
    <row r="568" spans="1:16" x14ac:dyDescent="0.4">
      <c r="A568" s="14">
        <v>0.55500000000000005</v>
      </c>
      <c r="B568" s="44">
        <f t="shared" si="135"/>
        <v>3.4871678454846706</v>
      </c>
      <c r="C568" s="40">
        <f t="shared" si="121"/>
        <v>6.5812985897069771E-12</v>
      </c>
      <c r="D568" s="15">
        <f t="shared" si="122"/>
        <v>151945696790.59702</v>
      </c>
      <c r="E568" s="15">
        <f t="shared" si="123"/>
        <v>-142962784035.6225</v>
      </c>
      <c r="F568" s="29">
        <f t="shared" si="124"/>
        <v>-51469769321.068497</v>
      </c>
      <c r="G568" s="17">
        <f t="shared" si="125"/>
        <v>14.478720894452353</v>
      </c>
      <c r="H568" s="16">
        <f t="shared" si="126"/>
        <v>1.6788914851522384E-11</v>
      </c>
      <c r="I568" s="16">
        <f t="shared" si="127"/>
        <v>59563111067.260078</v>
      </c>
      <c r="J568" s="16">
        <f t="shared" si="128"/>
        <v>-19950764453.095814</v>
      </c>
      <c r="K568" s="18">
        <f t="shared" si="129"/>
        <v>56122466069.728691</v>
      </c>
      <c r="L568" s="17">
        <f t="shared" si="130"/>
        <v>13.322241887099331</v>
      </c>
      <c r="M568" s="16">
        <f t="shared" si="131"/>
        <v>2.07289080658156E-11</v>
      </c>
      <c r="N568" s="16">
        <f t="shared" si="132"/>
        <v>72362711785.753723</v>
      </c>
      <c r="O568" s="16">
        <f t="shared" si="134"/>
        <v>-24238012289.092529</v>
      </c>
      <c r="P568" s="18">
        <f t="shared" si="133"/>
        <v>68182701745.104378</v>
      </c>
    </row>
    <row r="569" spans="1:16" x14ac:dyDescent="0.4">
      <c r="A569" s="14">
        <v>0.55600000000000005</v>
      </c>
      <c r="B569" s="44">
        <f t="shared" si="135"/>
        <v>3.4934510307918503</v>
      </c>
      <c r="C569" s="40">
        <f t="shared" si="121"/>
        <v>6.5815384823325993E-12</v>
      </c>
      <c r="D569" s="15">
        <f t="shared" si="122"/>
        <v>151940158472.73212</v>
      </c>
      <c r="E569" s="15">
        <f t="shared" si="123"/>
        <v>-142631371095.64877</v>
      </c>
      <c r="F569" s="29">
        <f t="shared" si="124"/>
        <v>-52365100363.641785</v>
      </c>
      <c r="G569" s="17">
        <f t="shared" si="125"/>
        <v>14.504808679847763</v>
      </c>
      <c r="H569" s="16">
        <f t="shared" si="126"/>
        <v>1.6698207221557316E-11</v>
      </c>
      <c r="I569" s="16">
        <f t="shared" si="127"/>
        <v>59886668474.745255</v>
      </c>
      <c r="J569" s="16">
        <f t="shared" si="128"/>
        <v>-21524212281.426071</v>
      </c>
      <c r="K569" s="18">
        <f t="shared" si="129"/>
        <v>55884893725.121765</v>
      </c>
      <c r="L569" s="17">
        <f t="shared" si="130"/>
        <v>13.346245926535547</v>
      </c>
      <c r="M569" s="16">
        <f t="shared" si="131"/>
        <v>2.0667088198208667E-11</v>
      </c>
      <c r="N569" s="16">
        <f t="shared" si="132"/>
        <v>72579164786.745987</v>
      </c>
      <c r="O569" s="16">
        <f t="shared" si="134"/>
        <v>-26086095451.065578</v>
      </c>
      <c r="P569" s="18">
        <f t="shared" si="133"/>
        <v>67729246158.94912</v>
      </c>
    </row>
    <row r="570" spans="1:16" x14ac:dyDescent="0.4">
      <c r="A570" s="14">
        <v>0.55700000000000005</v>
      </c>
      <c r="B570" s="44">
        <f t="shared" si="135"/>
        <v>3.4997342160990299</v>
      </c>
      <c r="C570" s="40">
        <f t="shared" si="121"/>
        <v>6.5817825159425392E-12</v>
      </c>
      <c r="D570" s="15">
        <f t="shared" si="122"/>
        <v>151934524967.63269</v>
      </c>
      <c r="E570" s="15">
        <f t="shared" si="123"/>
        <v>-142294262151.57678</v>
      </c>
      <c r="F570" s="29">
        <f t="shared" si="124"/>
        <v>-53258265423.111031</v>
      </c>
      <c r="G570" s="17">
        <f t="shared" si="125"/>
        <v>14.530896465243172</v>
      </c>
      <c r="H570" s="16">
        <f t="shared" si="126"/>
        <v>1.6608406497004613E-11</v>
      </c>
      <c r="I570" s="16">
        <f t="shared" si="127"/>
        <v>60210472340.037781</v>
      </c>
      <c r="J570" s="16">
        <f t="shared" si="128"/>
        <v>-23098858625.051544</v>
      </c>
      <c r="K570" s="18">
        <f t="shared" si="129"/>
        <v>55603450519.103012</v>
      </c>
      <c r="L570" s="17">
        <f t="shared" si="130"/>
        <v>13.370249965971761</v>
      </c>
      <c r="M570" s="16">
        <f t="shared" si="131"/>
        <v>2.0603749416399135E-11</v>
      </c>
      <c r="N570" s="16">
        <f t="shared" si="132"/>
        <v>72802283200.265747</v>
      </c>
      <c r="O570" s="16">
        <f t="shared" si="134"/>
        <v>-27929520926.638996</v>
      </c>
      <c r="P570" s="18">
        <f t="shared" si="133"/>
        <v>67231795305.347389</v>
      </c>
    </row>
    <row r="571" spans="1:16" x14ac:dyDescent="0.4">
      <c r="A571" s="14">
        <v>0.55800000000000005</v>
      </c>
      <c r="B571" s="44">
        <f t="shared" si="135"/>
        <v>3.5060174014062095</v>
      </c>
      <c r="C571" s="40">
        <f t="shared" si="121"/>
        <v>6.5820306809027689E-12</v>
      </c>
      <c r="D571" s="15">
        <f t="shared" si="122"/>
        <v>151928796518.8949</v>
      </c>
      <c r="E571" s="15">
        <f t="shared" si="123"/>
        <v>-141951471780.20486</v>
      </c>
      <c r="F571" s="29">
        <f t="shared" si="124"/>
        <v>-54149227797.942558</v>
      </c>
      <c r="G571" s="17">
        <f t="shared" si="125"/>
        <v>14.556984250638582</v>
      </c>
      <c r="H571" s="16">
        <f t="shared" si="126"/>
        <v>1.6519573790306023E-11</v>
      </c>
      <c r="I571" s="16">
        <f t="shared" si="127"/>
        <v>60534249411.859383</v>
      </c>
      <c r="J571" s="16">
        <f t="shared" si="128"/>
        <v>-24673374673.008743</v>
      </c>
      <c r="K571" s="18">
        <f t="shared" si="129"/>
        <v>55277662162.05719</v>
      </c>
      <c r="L571" s="17">
        <f t="shared" si="130"/>
        <v>13.394254005407976</v>
      </c>
      <c r="M571" s="16">
        <f t="shared" si="131"/>
        <v>2.0538928214054952E-11</v>
      </c>
      <c r="N571" s="16">
        <f t="shared" si="132"/>
        <v>73032048428.580521</v>
      </c>
      <c r="O571" s="16">
        <f t="shared" si="134"/>
        <v>-29767397985.819637</v>
      </c>
      <c r="P571" s="18">
        <f t="shared" si="133"/>
        <v>66690195042.662392</v>
      </c>
    </row>
    <row r="572" spans="1:16" x14ac:dyDescent="0.4">
      <c r="A572" s="14">
        <v>0.55900000000000005</v>
      </c>
      <c r="B572" s="44">
        <f t="shared" si="135"/>
        <v>3.5123005867133892</v>
      </c>
      <c r="C572" s="40">
        <f t="shared" si="121"/>
        <v>6.5822829674161595E-12</v>
      </c>
      <c r="D572" s="15">
        <f t="shared" si="122"/>
        <v>151922973374.16727</v>
      </c>
      <c r="E572" s="15">
        <f t="shared" si="123"/>
        <v>-141603014800.81924</v>
      </c>
      <c r="F572" s="29">
        <f t="shared" si="124"/>
        <v>-55037950889.971428</v>
      </c>
      <c r="G572" s="17">
        <f t="shared" si="125"/>
        <v>14.583072036033993</v>
      </c>
      <c r="H572" s="16">
        <f t="shared" si="126"/>
        <v>1.6431769555134269E-11</v>
      </c>
      <c r="I572" s="16">
        <f t="shared" si="127"/>
        <v>60857718132.222717</v>
      </c>
      <c r="J572" s="16">
        <f t="shared" si="128"/>
        <v>-26246391219.112041</v>
      </c>
      <c r="K572" s="18">
        <f t="shared" si="129"/>
        <v>54907092476.604408</v>
      </c>
      <c r="L572" s="17">
        <f t="shared" si="130"/>
        <v>13.418258044844192</v>
      </c>
      <c r="M572" s="16">
        <f t="shared" si="131"/>
        <v>2.047266193896476E-11</v>
      </c>
      <c r="N572" s="16">
        <f t="shared" si="132"/>
        <v>73268439857.599213</v>
      </c>
      <c r="O572" s="16">
        <f t="shared" si="134"/>
        <v>-31598820914.357136</v>
      </c>
      <c r="P572" s="18">
        <f t="shared" si="133"/>
        <v>66104302401.500458</v>
      </c>
    </row>
    <row r="573" spans="1:16" x14ac:dyDescent="0.4">
      <c r="A573" s="14">
        <v>0.56000000000000005</v>
      </c>
      <c r="B573" s="44">
        <f t="shared" si="135"/>
        <v>3.5185837720205688</v>
      </c>
      <c r="C573" s="40">
        <f t="shared" si="121"/>
        <v>6.5825393655228726E-12</v>
      </c>
      <c r="D573" s="15">
        <f t="shared" si="122"/>
        <v>151917055785.13721</v>
      </c>
      <c r="E573" s="15">
        <f t="shared" si="123"/>
        <v>-141248906274.39429</v>
      </c>
      <c r="F573" s="29">
        <f t="shared" si="124"/>
        <v>-55924398206.076958</v>
      </c>
      <c r="G573" s="17">
        <f t="shared" si="125"/>
        <v>14.609159821429403</v>
      </c>
      <c r="H573" s="16">
        <f t="shared" si="126"/>
        <v>1.6345053545252303E-11</v>
      </c>
      <c r="I573" s="16">
        <f t="shared" si="127"/>
        <v>61180588808.194321</v>
      </c>
      <c r="J573" s="16">
        <f t="shared" si="128"/>
        <v>-27816499497.230591</v>
      </c>
      <c r="K573" s="18">
        <f t="shared" si="129"/>
        <v>54491346126.132019</v>
      </c>
      <c r="L573" s="17">
        <f t="shared" si="130"/>
        <v>13.442262084280408</v>
      </c>
      <c r="M573" s="16">
        <f t="shared" si="131"/>
        <v>2.0404988771519325E-11</v>
      </c>
      <c r="N573" s="16">
        <f t="shared" si="132"/>
        <v>73511434718.045776</v>
      </c>
      <c r="O573" s="16">
        <f t="shared" si="134"/>
        <v>-33422868702.455868</v>
      </c>
      <c r="P573" s="18">
        <f t="shared" si="133"/>
        <v>65473986299.93367</v>
      </c>
    </row>
    <row r="574" spans="1:16" x14ac:dyDescent="0.4">
      <c r="A574" s="14">
        <v>0.56100000000000005</v>
      </c>
      <c r="B574" s="44">
        <f t="shared" si="135"/>
        <v>3.524866957327748</v>
      </c>
      <c r="C574" s="40">
        <f t="shared" si="121"/>
        <v>6.582799865100748E-12</v>
      </c>
      <c r="D574" s="15">
        <f t="shared" si="122"/>
        <v>151911044007.51749</v>
      </c>
      <c r="E574" s="15">
        <f t="shared" si="123"/>
        <v>-140889161502.78052</v>
      </c>
      <c r="F574" s="29">
        <f t="shared" si="124"/>
        <v>-56808533359.851288</v>
      </c>
      <c r="G574" s="17">
        <f t="shared" si="125"/>
        <v>14.635247606824811</v>
      </c>
      <c r="H574" s="16">
        <f t="shared" si="126"/>
        <v>1.6259484773848811E-11</v>
      </c>
      <c r="I574" s="16">
        <f t="shared" si="127"/>
        <v>61502563820.986824</v>
      </c>
      <c r="J574" s="16">
        <f t="shared" si="128"/>
        <v>-29382252198.096127</v>
      </c>
      <c r="K574" s="18">
        <f t="shared" si="129"/>
        <v>54030071370.691643</v>
      </c>
      <c r="L574" s="17">
        <f t="shared" si="130"/>
        <v>13.46626612371662</v>
      </c>
      <c r="M574" s="16">
        <f t="shared" si="131"/>
        <v>2.0335947702713305E-11</v>
      </c>
      <c r="N574" s="16">
        <f t="shared" si="132"/>
        <v>73761007941.609909</v>
      </c>
      <c r="O574" s="16">
        <f t="shared" si="134"/>
        <v>-35238604752.060875</v>
      </c>
      <c r="P574" s="18">
        <f t="shared" si="133"/>
        <v>64799128294.216064</v>
      </c>
    </row>
    <row r="575" spans="1:16" x14ac:dyDescent="0.4">
      <c r="A575" s="14">
        <v>0.56200000000000006</v>
      </c>
      <c r="B575" s="44">
        <f t="shared" si="135"/>
        <v>3.5311501426349277</v>
      </c>
      <c r="C575" s="40">
        <f t="shared" si="121"/>
        <v>6.5830644558657104E-12</v>
      </c>
      <c r="D575" s="15">
        <f t="shared" si="122"/>
        <v>151904938301.03238</v>
      </c>
      <c r="E575" s="15">
        <f t="shared" si="123"/>
        <v>-140523796027.87973</v>
      </c>
      <c r="F575" s="29">
        <f t="shared" si="124"/>
        <v>-57690320073.261086</v>
      </c>
      <c r="G575" s="17">
        <f t="shared" si="125"/>
        <v>14.66133539222022</v>
      </c>
      <c r="H575" s="16">
        <f t="shared" si="126"/>
        <v>1.6175121473377739E-11</v>
      </c>
      <c r="I575" s="16">
        <f t="shared" si="127"/>
        <v>61823337873.899559</v>
      </c>
      <c r="J575" s="16">
        <f t="shared" si="128"/>
        <v>-30942164675.029209</v>
      </c>
      <c r="K575" s="18">
        <f t="shared" si="129"/>
        <v>53522962839.268517</v>
      </c>
      <c r="L575" s="17">
        <f t="shared" si="130"/>
        <v>13.490270163152836</v>
      </c>
      <c r="M575" s="16">
        <f t="shared" si="131"/>
        <v>2.0265578511679921E-11</v>
      </c>
      <c r="N575" s="16">
        <f t="shared" si="132"/>
        <v>74017132012.070892</v>
      </c>
      <c r="O575" s="16">
        <f t="shared" si="134"/>
        <v>-37045076604.603172</v>
      </c>
      <c r="P575" s="18">
        <f t="shared" si="133"/>
        <v>64079623365.399178</v>
      </c>
    </row>
    <row r="576" spans="1:16" x14ac:dyDescent="0.4">
      <c r="A576" s="14">
        <v>0.56299999999999994</v>
      </c>
      <c r="B576" s="44">
        <f t="shared" si="135"/>
        <v>3.5374333279421069</v>
      </c>
      <c r="C576" s="40">
        <f t="shared" si="121"/>
        <v>6.5833331273721688E-12</v>
      </c>
      <c r="D576" s="15">
        <f t="shared" si="122"/>
        <v>151898738929.40372</v>
      </c>
      <c r="E576" s="15">
        <f t="shared" si="123"/>
        <v>-140152825630.80823</v>
      </c>
      <c r="F576" s="29">
        <f t="shared" si="124"/>
        <v>-58569722178.30143</v>
      </c>
      <c r="G576" s="17">
        <f t="shared" si="125"/>
        <v>14.687423177615628</v>
      </c>
      <c r="H576" s="16">
        <f t="shared" si="126"/>
        <v>1.6092021055929154E-11</v>
      </c>
      <c r="I576" s="16">
        <f t="shared" si="127"/>
        <v>62142598280.50293</v>
      </c>
      <c r="J576" s="16">
        <f t="shared" si="128"/>
        <v>-32494716345.36898</v>
      </c>
      <c r="K576" s="18">
        <f t="shared" si="129"/>
        <v>52969764306.498245</v>
      </c>
      <c r="L576" s="17">
        <f t="shared" si="130"/>
        <v>13.51427420258905</v>
      </c>
      <c r="M576" s="16">
        <f t="shared" si="131"/>
        <v>2.0193921742771625E-11</v>
      </c>
      <c r="N576" s="16">
        <f t="shared" si="132"/>
        <v>74279776811.402283</v>
      </c>
      <c r="O576" s="16">
        <f t="shared" si="134"/>
        <v>-38841315691.1903</v>
      </c>
      <c r="P576" s="18">
        <f t="shared" si="133"/>
        <v>63315380742.194313</v>
      </c>
    </row>
    <row r="577" spans="1:16" x14ac:dyDescent="0.4">
      <c r="A577" s="14">
        <v>0.56399999999999995</v>
      </c>
      <c r="B577" s="44">
        <f t="shared" si="135"/>
        <v>3.5437165132492865</v>
      </c>
      <c r="C577" s="40">
        <f t="shared" si="121"/>
        <v>6.5836058690134319E-12</v>
      </c>
      <c r="D577" s="15">
        <f t="shared" si="122"/>
        <v>151892446160.33679</v>
      </c>
      <c r="E577" s="15">
        <f t="shared" si="123"/>
        <v>-139776266331.04776</v>
      </c>
      <c r="F577" s="29">
        <f t="shared" si="124"/>
        <v>-59446703618.643318</v>
      </c>
      <c r="G577" s="17">
        <f t="shared" si="125"/>
        <v>14.713510963011037</v>
      </c>
      <c r="H577" s="16">
        <f t="shared" si="126"/>
        <v>1.6010240074158336E-11</v>
      </c>
      <c r="I577" s="16">
        <f t="shared" si="127"/>
        <v>62460025294.315918</v>
      </c>
      <c r="J577" s="16">
        <f t="shared" si="128"/>
        <v>-34038352293.683022</v>
      </c>
      <c r="K577" s="18">
        <f t="shared" si="129"/>
        <v>52370271460.989281</v>
      </c>
      <c r="L577" s="17">
        <f t="shared" si="130"/>
        <v>13.538278242025264</v>
      </c>
      <c r="M577" s="16">
        <f t="shared" si="131"/>
        <v>2.012101868219974E-11</v>
      </c>
      <c r="N577" s="16">
        <f t="shared" si="132"/>
        <v>74548909460.880829</v>
      </c>
      <c r="O577" s="16">
        <f t="shared" si="134"/>
        <v>-40626337107.331657</v>
      </c>
      <c r="P577" s="18">
        <f t="shared" si="133"/>
        <v>62506324760.363678</v>
      </c>
    </row>
    <row r="578" spans="1:16" x14ac:dyDescent="0.4">
      <c r="A578" s="14">
        <v>0.56499999999999995</v>
      </c>
      <c r="B578" s="44">
        <f t="shared" si="135"/>
        <v>3.5499996985564657</v>
      </c>
      <c r="C578" s="40">
        <f t="shared" si="121"/>
        <v>6.5838826700221276E-12</v>
      </c>
      <c r="D578" s="15">
        <f t="shared" si="122"/>
        <v>151886060265.5058</v>
      </c>
      <c r="E578" s="15">
        <f t="shared" si="123"/>
        <v>-139394134385.58392</v>
      </c>
      <c r="F578" s="29">
        <f t="shared" si="124"/>
        <v>-60321228451.272705</v>
      </c>
      <c r="G578" s="17">
        <f t="shared" si="125"/>
        <v>14.739598748406445</v>
      </c>
      <c r="H578" s="16">
        <f t="shared" si="126"/>
        <v>1.5929834182799808E-11</v>
      </c>
      <c r="I578" s="16">
        <f t="shared" si="127"/>
        <v>62775292481.057152</v>
      </c>
      <c r="J578" s="16">
        <f t="shared" si="128"/>
        <v>-35571485082.010597</v>
      </c>
      <c r="K578" s="18">
        <f t="shared" si="129"/>
        <v>51724334651.521309</v>
      </c>
      <c r="L578" s="17">
        <f t="shared" si="130"/>
        <v>13.562282281461478</v>
      </c>
      <c r="M578" s="16">
        <f t="shared" si="131"/>
        <v>2.0046911334246801E-11</v>
      </c>
      <c r="N578" s="16">
        <f t="shared" si="132"/>
        <v>74824494157.237106</v>
      </c>
      <c r="O578" s="16">
        <f t="shared" si="134"/>
        <v>-42399139414.385193</v>
      </c>
      <c r="P578" s="18">
        <f t="shared" si="133"/>
        <v>61652395758.850586</v>
      </c>
    </row>
    <row r="579" spans="1:16" x14ac:dyDescent="0.4">
      <c r="A579" s="14">
        <v>0.56599999999999995</v>
      </c>
      <c r="B579" s="44">
        <f t="shared" si="135"/>
        <v>3.5562828838636453</v>
      </c>
      <c r="C579" s="40">
        <f t="shared" si="121"/>
        <v>6.5841635194706249E-12</v>
      </c>
      <c r="D579" s="15">
        <f t="shared" si="122"/>
        <v>151879581520.53934</v>
      </c>
      <c r="E579" s="15">
        <f t="shared" si="123"/>
        <v>-139006446288.03271</v>
      </c>
      <c r="F579" s="29">
        <f t="shared" si="124"/>
        <v>-61193260848.123085</v>
      </c>
      <c r="G579" s="17">
        <f t="shared" si="125"/>
        <v>14.765686533801857</v>
      </c>
      <c r="H579" s="16">
        <f t="shared" si="126"/>
        <v>1.5850858100792361E-11</v>
      </c>
      <c r="I579" s="16">
        <f t="shared" si="127"/>
        <v>63088067134.35984</v>
      </c>
      <c r="J579" s="16">
        <f t="shared" si="128"/>
        <v>-37092496771.469154</v>
      </c>
      <c r="K579" s="18">
        <f t="shared" si="129"/>
        <v>51031861596.536385</v>
      </c>
      <c r="L579" s="17">
        <f t="shared" si="130"/>
        <v>13.586286320897694</v>
      </c>
      <c r="M579" s="16">
        <f t="shared" si="131"/>
        <v>1.9971642397065061E-11</v>
      </c>
      <c r="N579" s="16">
        <f t="shared" si="132"/>
        <v>75106492003.904144</v>
      </c>
      <c r="O579" s="16">
        <f t="shared" si="134"/>
        <v>-44158704470.023338</v>
      </c>
      <c r="P579" s="18">
        <f t="shared" si="133"/>
        <v>60753551012.773392</v>
      </c>
    </row>
    <row r="580" spans="1:16" x14ac:dyDescent="0.4">
      <c r="A580" s="14">
        <v>0.56699999999999995</v>
      </c>
      <c r="B580" s="44">
        <f t="shared" si="135"/>
        <v>3.562566069170825</v>
      </c>
      <c r="C580" s="40">
        <f t="shared" si="121"/>
        <v>6.5844484062714691E-12</v>
      </c>
      <c r="D580" s="15">
        <f t="shared" si="122"/>
        <v>151873010205.00565</v>
      </c>
      <c r="E580" s="15">
        <f t="shared" si="123"/>
        <v>-138613218767.75504</v>
      </c>
      <c r="F580" s="29">
        <f t="shared" si="124"/>
        <v>-62062765097.699577</v>
      </c>
      <c r="G580" s="17">
        <f t="shared" si="125"/>
        <v>14.791774319197266</v>
      </c>
      <c r="H580" s="16">
        <f t="shared" si="126"/>
        <v>1.5773365574041016E-11</v>
      </c>
      <c r="I580" s="16">
        <f t="shared" si="127"/>
        <v>63398010735.625626</v>
      </c>
      <c r="J580" s="16">
        <f t="shared" si="128"/>
        <v>-38599741158.506897</v>
      </c>
      <c r="K580" s="18">
        <f t="shared" si="129"/>
        <v>50292820041.540428</v>
      </c>
      <c r="L580" s="17">
        <f t="shared" si="130"/>
        <v>13.610290360333909</v>
      </c>
      <c r="M580" s="16">
        <f t="shared" si="131"/>
        <v>1.989525523807529E-11</v>
      </c>
      <c r="N580" s="16">
        <f t="shared" si="132"/>
        <v>75394860837.438202</v>
      </c>
      <c r="O580" s="16">
        <f t="shared" si="134"/>
        <v>-45903997290.113777</v>
      </c>
      <c r="P580" s="18">
        <f t="shared" si="133"/>
        <v>59809765703.318878</v>
      </c>
    </row>
    <row r="581" spans="1:16" x14ac:dyDescent="0.4">
      <c r="A581" s="14">
        <v>0.56799999999999995</v>
      </c>
      <c r="B581" s="44">
        <f t="shared" si="135"/>
        <v>3.5688492544780046</v>
      </c>
      <c r="C581" s="40">
        <f t="shared" si="121"/>
        <v>6.5847373191778159E-12</v>
      </c>
      <c r="D581" s="15">
        <f t="shared" si="122"/>
        <v>151866346602.39752</v>
      </c>
      <c r="E581" s="15">
        <f t="shared" si="123"/>
        <v>-138214468788.95901</v>
      </c>
      <c r="F581" s="29">
        <f t="shared" si="124"/>
        <v>-62929705606.695862</v>
      </c>
      <c r="G581" s="17">
        <f t="shared" si="125"/>
        <v>14.817862104592676</v>
      </c>
      <c r="H581" s="16">
        <f t="shared" si="126"/>
        <v>1.5697409338841049E-11</v>
      </c>
      <c r="I581" s="16">
        <f t="shared" si="127"/>
        <v>63704779458.457489</v>
      </c>
      <c r="J581" s="16">
        <f t="shared" si="128"/>
        <v>-40091546227.941307</v>
      </c>
      <c r="K581" s="18">
        <f t="shared" si="129"/>
        <v>49507240348.292007</v>
      </c>
      <c r="L581" s="17">
        <f t="shared" si="130"/>
        <v>13.634294399770123</v>
      </c>
      <c r="M581" s="16">
        <f t="shared" si="131"/>
        <v>1.9817793868979908E-11</v>
      </c>
      <c r="N581" s="16">
        <f t="shared" si="132"/>
        <v>75689555049.207413</v>
      </c>
      <c r="O581" s="16">
        <f t="shared" si="134"/>
        <v>-47633965944.52449</v>
      </c>
      <c r="P581" s="18">
        <f t="shared" si="133"/>
        <v>58821033924.463448</v>
      </c>
    </row>
    <row r="582" spans="1:16" x14ac:dyDescent="0.4">
      <c r="A582" s="14">
        <v>0.56899999999999995</v>
      </c>
      <c r="B582" s="44">
        <f t="shared" si="135"/>
        <v>3.5751324397851842</v>
      </c>
      <c r="C582" s="40">
        <f t="shared" si="121"/>
        <v>6.585030246783881E-12</v>
      </c>
      <c r="D582" s="15">
        <f t="shared" si="122"/>
        <v>151859591000.11703</v>
      </c>
      <c r="E582" s="15">
        <f t="shared" si="123"/>
        <v>-137810213549.79062</v>
      </c>
      <c r="F582" s="29">
        <f t="shared" si="124"/>
        <v>-63794046901.603081</v>
      </c>
      <c r="G582" s="17">
        <f t="shared" si="125"/>
        <v>14.843949889988085</v>
      </c>
      <c r="H582" s="16">
        <f t="shared" si="126"/>
        <v>1.562304108598919E-11</v>
      </c>
      <c r="I582" s="16">
        <f t="shared" si="127"/>
        <v>64008024717.851143</v>
      </c>
      <c r="J582" s="16">
        <f t="shared" si="128"/>
        <v>-41566216823.657043</v>
      </c>
      <c r="K582" s="18">
        <f t="shared" si="129"/>
        <v>48675217998.99588</v>
      </c>
      <c r="L582" s="17">
        <f t="shared" si="130"/>
        <v>13.658298439206339</v>
      </c>
      <c r="M582" s="16">
        <f t="shared" si="131"/>
        <v>1.9739302920404933E-11</v>
      </c>
      <c r="N582" s="16">
        <f t="shared" si="132"/>
        <v>75990525402.465881</v>
      </c>
      <c r="O582" s="16">
        <f t="shared" si="134"/>
        <v>-49347541489.45961</v>
      </c>
      <c r="P582" s="18">
        <f t="shared" si="133"/>
        <v>57787369726.341362</v>
      </c>
    </row>
    <row r="583" spans="1:16" x14ac:dyDescent="0.4">
      <c r="A583" s="14">
        <v>0.56999999999999995</v>
      </c>
      <c r="B583" s="44">
        <f t="shared" si="135"/>
        <v>3.5814156250923639</v>
      </c>
      <c r="C583" s="40">
        <f t="shared" si="121"/>
        <v>6.5853271775253814E-12</v>
      </c>
      <c r="D583" s="15">
        <f t="shared" si="122"/>
        <v>151852743689.46048</v>
      </c>
      <c r="E583" s="15">
        <f t="shared" si="123"/>
        <v>-137400470481.41249</v>
      </c>
      <c r="F583" s="29">
        <f t="shared" si="124"/>
        <v>-64655753630.310982</v>
      </c>
      <c r="G583" s="17">
        <f t="shared" si="125"/>
        <v>14.870037675383495</v>
      </c>
      <c r="H583" s="16">
        <f t="shared" si="126"/>
        <v>1.5550311425606264E-11</v>
      </c>
      <c r="I583" s="16">
        <f t="shared" si="127"/>
        <v>64307393764.045647</v>
      </c>
      <c r="J583" s="16">
        <f t="shared" si="128"/>
        <v>-43022037536.479507</v>
      </c>
      <c r="K583" s="18">
        <f t="shared" si="129"/>
        <v>47796915998.145378</v>
      </c>
      <c r="L583" s="17">
        <f t="shared" si="130"/>
        <v>13.682302478642553</v>
      </c>
      <c r="M583" s="16">
        <f t="shared" si="131"/>
        <v>1.965982761618534E-11</v>
      </c>
      <c r="N583" s="16">
        <f t="shared" si="132"/>
        <v>76297718844.95546</v>
      </c>
      <c r="O583" s="16">
        <f t="shared" si="134"/>
        <v>-51043637939.043243</v>
      </c>
      <c r="P583" s="18">
        <f t="shared" si="133"/>
        <v>56708808194.950951</v>
      </c>
    </row>
    <row r="584" spans="1:16" x14ac:dyDescent="0.4">
      <c r="A584" s="14">
        <v>0.57099999999999995</v>
      </c>
      <c r="B584" s="44">
        <f t="shared" si="135"/>
        <v>3.5876988103995435</v>
      </c>
      <c r="C584" s="40">
        <f t="shared" si="121"/>
        <v>6.5856280996800021E-12</v>
      </c>
      <c r="D584" s="15">
        <f t="shared" si="122"/>
        <v>151845804965.60236</v>
      </c>
      <c r="E584" s="15">
        <f t="shared" si="123"/>
        <v>-136985257247.07079</v>
      </c>
      <c r="F584" s="29">
        <f t="shared" si="124"/>
        <v>-65514790563.700867</v>
      </c>
      <c r="G584" s="17">
        <f t="shared" si="125"/>
        <v>14.896125460778904</v>
      </c>
      <c r="H584" s="16">
        <f t="shared" si="126"/>
        <v>1.5479269852695292E-11</v>
      </c>
      <c r="I584" s="16">
        <f t="shared" si="127"/>
        <v>64602530320.632492</v>
      </c>
      <c r="J584" s="16">
        <f t="shared" si="128"/>
        <v>-44457275807.276047</v>
      </c>
      <c r="K584" s="18">
        <f t="shared" si="129"/>
        <v>46872567154.189758</v>
      </c>
      <c r="L584" s="17">
        <f t="shared" si="130"/>
        <v>13.706306518078769</v>
      </c>
      <c r="M584" s="16">
        <f t="shared" si="131"/>
        <v>1.9579413747308569E-11</v>
      </c>
      <c r="N584" s="16">
        <f t="shared" si="132"/>
        <v>76611078317.204132</v>
      </c>
      <c r="O584" s="16">
        <f t="shared" si="134"/>
        <v>-52721152278.96888</v>
      </c>
      <c r="P584" s="18">
        <f t="shared" si="133"/>
        <v>55585406567.754456</v>
      </c>
    </row>
    <row r="585" spans="1:16" x14ac:dyDescent="0.4">
      <c r="A585" s="14">
        <v>0.57199999999999995</v>
      </c>
      <c r="B585" s="44">
        <f t="shared" si="135"/>
        <v>3.5939819957067232</v>
      </c>
      <c r="C585" s="40">
        <f t="shared" si="121"/>
        <v>6.5859330013678495E-12</v>
      </c>
      <c r="D585" s="15">
        <f t="shared" si="122"/>
        <v>151838775127.57986</v>
      </c>
      <c r="E585" s="15">
        <f t="shared" si="123"/>
        <v>-136564591741.15063</v>
      </c>
      <c r="F585" s="29">
        <f t="shared" si="124"/>
        <v>-66371122597.230637</v>
      </c>
      <c r="G585" s="17">
        <f t="shared" si="125"/>
        <v>14.922213246174316</v>
      </c>
      <c r="H585" s="16">
        <f t="shared" si="126"/>
        <v>1.5409964713458462E-11</v>
      </c>
      <c r="I585" s="16">
        <f t="shared" si="127"/>
        <v>64893075266.203499</v>
      </c>
      <c r="J585" s="16">
        <f t="shared" si="128"/>
        <v>-45870185241.784912</v>
      </c>
      <c r="K585" s="18">
        <f t="shared" si="129"/>
        <v>45902476222.851967</v>
      </c>
      <c r="L585" s="17">
        <f t="shared" si="130"/>
        <v>13.730310557514985</v>
      </c>
      <c r="M585" s="16">
        <f t="shared" si="131"/>
        <v>1.9498107645531359E-11</v>
      </c>
      <c r="N585" s="16">
        <f t="shared" si="132"/>
        <v>76930542556.717041</v>
      </c>
      <c r="O585" s="16">
        <f t="shared" si="134"/>
        <v>-54378964525.132416</v>
      </c>
      <c r="P585" s="18">
        <f t="shared" si="133"/>
        <v>54417245384.576767</v>
      </c>
    </row>
    <row r="586" spans="1:16" x14ac:dyDescent="0.4">
      <c r="A586" s="14">
        <v>0.57299999999999995</v>
      </c>
      <c r="B586" s="44">
        <f t="shared" si="135"/>
        <v>3.6002651810139028</v>
      </c>
      <c r="C586" s="40">
        <f t="shared" si="121"/>
        <v>6.5862418705519286E-12</v>
      </c>
      <c r="D586" s="15">
        <f t="shared" si="122"/>
        <v>151831654478.27682</v>
      </c>
      <c r="E586" s="15">
        <f t="shared" si="123"/>
        <v>-136138492088.21985</v>
      </c>
      <c r="F586" s="29">
        <f t="shared" si="124"/>
        <v>-67224714752.511528</v>
      </c>
      <c r="G586" s="17">
        <f t="shared" si="125"/>
        <v>14.948301031569725</v>
      </c>
      <c r="H586" s="16">
        <f t="shared" si="126"/>
        <v>1.5342443172395907E-11</v>
      </c>
      <c r="I586" s="16">
        <f t="shared" si="127"/>
        <v>65178667358.481598</v>
      </c>
      <c r="J586" s="16">
        <f t="shared" si="128"/>
        <v>-47259009132.036484</v>
      </c>
      <c r="K586" s="18">
        <f t="shared" si="129"/>
        <v>44887021893.702042</v>
      </c>
      <c r="L586" s="17">
        <f t="shared" si="130"/>
        <v>13.7543145969512</v>
      </c>
      <c r="M586" s="16">
        <f t="shared" si="131"/>
        <v>1.9415956156684921E-11</v>
      </c>
      <c r="N586" s="16">
        <f t="shared" si="132"/>
        <v>77256045898.288116</v>
      </c>
      <c r="O586" s="16">
        <f t="shared" si="134"/>
        <v>-56015937830.264999</v>
      </c>
      <c r="P586" s="18">
        <f t="shared" si="133"/>
        <v>53204429673.047775</v>
      </c>
    </row>
    <row r="587" spans="1:16" x14ac:dyDescent="0.4">
      <c r="A587" s="14">
        <v>0.57399999999999995</v>
      </c>
      <c r="B587" s="44">
        <f t="shared" si="135"/>
        <v>3.606548366321082</v>
      </c>
      <c r="C587" s="40">
        <f t="shared" si="121"/>
        <v>6.5865546950386126E-12</v>
      </c>
      <c r="D587" s="15">
        <f t="shared" si="122"/>
        <v>151824443324.4075</v>
      </c>
      <c r="E587" s="15">
        <f t="shared" si="123"/>
        <v>-135706976642.06128</v>
      </c>
      <c r="F587" s="29">
        <f t="shared" si="124"/>
        <v>-68075532178.876579</v>
      </c>
      <c r="G587" s="17">
        <f t="shared" si="125"/>
        <v>14.974388816965133</v>
      </c>
      <c r="H587" s="16">
        <f t="shared" si="126"/>
        <v>1.5276751180208641E-11</v>
      </c>
      <c r="I587" s="16">
        <f t="shared" si="127"/>
        <v>65458943999.527954</v>
      </c>
      <c r="J587" s="16">
        <f t="shared" si="128"/>
        <v>-48621984177.527618</v>
      </c>
      <c r="K587" s="18">
        <f t="shared" si="129"/>
        <v>43826658601.513199</v>
      </c>
      <c r="L587" s="17">
        <f t="shared" si="130"/>
        <v>13.778318636387413</v>
      </c>
      <c r="M587" s="16">
        <f t="shared" si="131"/>
        <v>1.9333006613683958E-11</v>
      </c>
      <c r="N587" s="16">
        <f t="shared" si="132"/>
        <v>77587518070.691376</v>
      </c>
      <c r="O587" s="16">
        <f t="shared" si="134"/>
        <v>-57630918641.675591</v>
      </c>
      <c r="P587" s="18">
        <f t="shared" si="133"/>
        <v>51947090167.654526</v>
      </c>
    </row>
    <row r="588" spans="1:16" x14ac:dyDescent="0.4">
      <c r="A588" s="14">
        <v>0.57499999999999996</v>
      </c>
      <c r="B588" s="44">
        <f t="shared" si="135"/>
        <v>3.6128315516282616</v>
      </c>
      <c r="C588" s="40">
        <f t="shared" si="121"/>
        <v>6.5868714624781264E-12</v>
      </c>
      <c r="D588" s="15">
        <f t="shared" si="122"/>
        <v>151817141976.50031</v>
      </c>
      <c r="E588" s="15">
        <f t="shared" si="123"/>
        <v>-135270063984.69354</v>
      </c>
      <c r="F588" s="29">
        <f t="shared" si="124"/>
        <v>-68923540154.941025</v>
      </c>
      <c r="G588" s="17">
        <f t="shared" si="125"/>
        <v>15.000476602360543</v>
      </c>
      <c r="H588" s="16">
        <f t="shared" si="126"/>
        <v>1.5212933442527541E-11</v>
      </c>
      <c r="I588" s="16">
        <f t="shared" si="127"/>
        <v>65733542040.255959</v>
      </c>
      <c r="J588" s="16">
        <f t="shared" si="128"/>
        <v>-49957344397.543671</v>
      </c>
      <c r="K588" s="18">
        <f t="shared" si="129"/>
        <v>42721918144.007881</v>
      </c>
      <c r="L588" s="17">
        <f t="shared" si="130"/>
        <v>13.802322675823628</v>
      </c>
      <c r="M588" s="16">
        <f t="shared" si="131"/>
        <v>1.9249306809255016E-11</v>
      </c>
      <c r="N588" s="16">
        <f t="shared" si="132"/>
        <v>77924883990.046021</v>
      </c>
      <c r="O588" s="16">
        <f t="shared" si="134"/>
        <v>-59222736913.299118</v>
      </c>
      <c r="P588" s="18">
        <f t="shared" si="133"/>
        <v>50645384561.283455</v>
      </c>
    </row>
    <row r="589" spans="1:16" x14ac:dyDescent="0.4">
      <c r="A589" s="14">
        <v>0.57599999999999996</v>
      </c>
      <c r="B589" s="44">
        <f t="shared" si="135"/>
        <v>3.6191147369354413</v>
      </c>
      <c r="C589" s="40">
        <f t="shared" ref="C589:C652" si="136">((semiejeMayorTierra*(1-(excentricidadTierra^2)))^-1)*(1+excentricidadTierra*COS(Φ))</f>
        <v>6.5871921603650339E-12</v>
      </c>
      <c r="D589" s="15">
        <f t="shared" ref="D589:D652" si="137">1/u0Tierra</f>
        <v>151809750748.8812</v>
      </c>
      <c r="E589" s="15">
        <f t="shared" ref="E589:E652" si="138">r0Tierra*COS(Φ)</f>
        <v>-134827772925.38072</v>
      </c>
      <c r="F589" s="29">
        <f t="shared" ref="F589:F652" si="139">r0Tierra*SIN(Φ)</f>
        <v>-69768704090.153564</v>
      </c>
      <c r="G589" s="17">
        <f t="shared" ref="G589:G652" si="140">Φ*relaciónOrbitas</f>
        <v>15.026564387755952</v>
      </c>
      <c r="H589" s="16">
        <f t="shared" ref="H589:H652" si="141">((semiejeMayorMercurio*(1-(excentricidadMercurio^2)))^-1)*(1+excentricidadMercurio*COS(ΦMercurio))</f>
        <v>1.5151033389489687E-11</v>
      </c>
      <c r="I589" s="16">
        <f t="shared" ref="I589:I652" si="142">1/u0Mercurio</f>
        <v>66002098622.111328</v>
      </c>
      <c r="J589" s="16">
        <f t="shared" ref="J589:J652" si="143">r0Mercurio*COS(ΦMercurio)</f>
        <v>-51263325224.218124</v>
      </c>
      <c r="K589" s="18">
        <f t="shared" ref="K589:K652" si="144">r0Mercurio*SIN(ΦMercurio)</f>
        <v>41573411087.844978</v>
      </c>
      <c r="L589" s="17">
        <f t="shared" ref="L589:L652" si="145">ΦMercurio*(1-(simulaciónÁngulo*((3/2)*rsSol*((semiejeMayorMercurio*(1-(excentricidadMercurio^2)))^-1))))</f>
        <v>13.826326715259844</v>
      </c>
      <c r="M589" s="16">
        <f t="shared" ref="M589:M652" si="146">((semiejeMayorMercurio*(1-(excentricidadMercurio^2)))^-1)*(1+excentricidadMercurio*COS(ΦLPMercurio))</f>
        <v>1.9164904968399971E-11</v>
      </c>
      <c r="N589" s="16">
        <f t="shared" ref="N589:N652" si="147">1*simulaciónRadio/uMercurio</f>
        <v>78268063550.185776</v>
      </c>
      <c r="O589" s="16">
        <f t="shared" si="134"/>
        <v>-60790206375.328697</v>
      </c>
      <c r="P589" s="18">
        <f t="shared" ref="P589:P652" si="148">rMercurio*SIN(ΦMercurio)</f>
        <v>49299498787.927498</v>
      </c>
    </row>
    <row r="590" spans="1:16" x14ac:dyDescent="0.4">
      <c r="A590" s="14">
        <v>0.57699999999999996</v>
      </c>
      <c r="B590" s="44">
        <f t="shared" si="135"/>
        <v>3.6253979222426209</v>
      </c>
      <c r="C590" s="40">
        <f t="shared" si="136"/>
        <v>6.5875167760387308E-12</v>
      </c>
      <c r="D590" s="15">
        <f t="shared" si="137"/>
        <v>151802269959.65689</v>
      </c>
      <c r="E590" s="15">
        <f t="shared" si="138"/>
        <v>-134380122499.63048</v>
      </c>
      <c r="F590" s="29">
        <f t="shared" si="139"/>
        <v>-70610989526.339706</v>
      </c>
      <c r="G590" s="17">
        <f t="shared" si="140"/>
        <v>15.052652173151362</v>
      </c>
      <c r="H590" s="16">
        <f t="shared" si="141"/>
        <v>1.5091093146182641E-11</v>
      </c>
      <c r="I590" s="16">
        <f t="shared" si="142"/>
        <v>66264252053.401077</v>
      </c>
      <c r="J590" s="16">
        <f t="shared" si="143"/>
        <v>-52538167764.088219</v>
      </c>
      <c r="K590" s="18">
        <f t="shared" si="144"/>
        <v>40381827945.118958</v>
      </c>
      <c r="L590" s="17">
        <f t="shared" si="145"/>
        <v>13.850330754696058</v>
      </c>
      <c r="M590" s="16">
        <f t="shared" si="146"/>
        <v>1.9079849720610404E-11</v>
      </c>
      <c r="N590" s="16">
        <f t="shared" si="147"/>
        <v>78616971410.402267</v>
      </c>
      <c r="O590" s="16">
        <f t="shared" ref="O590:O653" si="149">rMercurio*COS(ΦMercurio)</f>
        <v>-62332124864.785904</v>
      </c>
      <c r="P590" s="18">
        <f t="shared" si="148"/>
        <v>47909648335.014381</v>
      </c>
    </row>
    <row r="591" spans="1:16" x14ac:dyDescent="0.4">
      <c r="A591" s="14">
        <v>0.57799999999999996</v>
      </c>
      <c r="B591" s="44">
        <f t="shared" ref="B591:B654" si="150">A591*2*PI()</f>
        <v>3.6316811075498006</v>
      </c>
      <c r="C591" s="40">
        <f t="shared" si="136"/>
        <v>6.587845296683947E-12</v>
      </c>
      <c r="D591" s="15">
        <f t="shared" si="137"/>
        <v>151794699930.69803</v>
      </c>
      <c r="E591" s="15">
        <f t="shared" si="138"/>
        <v>-133927131968.18132</v>
      </c>
      <c r="F591" s="29">
        <f t="shared" si="139"/>
        <v>-71450362139.236237</v>
      </c>
      <c r="G591" s="17">
        <f t="shared" si="140"/>
        <v>15.078739958546773</v>
      </c>
      <c r="H591" s="16">
        <f t="shared" si="141"/>
        <v>1.503315350397691E-11</v>
      </c>
      <c r="I591" s="16">
        <f t="shared" si="142"/>
        <v>66519642717.375122</v>
      </c>
      <c r="J591" s="16">
        <f t="shared" si="143"/>
        <v>-53780123214.062584</v>
      </c>
      <c r="K591" s="18">
        <f t="shared" si="144"/>
        <v>39147940103.247887</v>
      </c>
      <c r="L591" s="17">
        <f t="shared" si="145"/>
        <v>13.874334794132276</v>
      </c>
      <c r="M591" s="16">
        <f t="shared" si="146"/>
        <v>1.8994190071848865E-11</v>
      </c>
      <c r="N591" s="16">
        <f t="shared" si="147"/>
        <v>78971516780.972824</v>
      </c>
      <c r="O591" s="16">
        <f t="shared" si="149"/>
        <v>-63847274720.445473</v>
      </c>
      <c r="P591" s="18">
        <f t="shared" si="148"/>
        <v>46476079583.581886</v>
      </c>
    </row>
    <row r="592" spans="1:16" x14ac:dyDescent="0.4">
      <c r="A592" s="14">
        <v>0.57899999999999996</v>
      </c>
      <c r="B592" s="44">
        <f t="shared" si="150"/>
        <v>3.6379642928569802</v>
      </c>
      <c r="C592" s="40">
        <f t="shared" si="136"/>
        <v>6.5881777093312498E-12</v>
      </c>
      <c r="D592" s="15">
        <f t="shared" si="137"/>
        <v>151787040987.62201</v>
      </c>
      <c r="E592" s="15">
        <f t="shared" si="138"/>
        <v>-133468820815.97855</v>
      </c>
      <c r="F592" s="29">
        <f t="shared" si="139"/>
        <v>-72286787740.016907</v>
      </c>
      <c r="G592" s="17">
        <f t="shared" si="140"/>
        <v>15.104827743942183</v>
      </c>
      <c r="H592" s="16">
        <f t="shared" si="141"/>
        <v>1.4977253892766041E-11</v>
      </c>
      <c r="I592" s="16">
        <f t="shared" si="142"/>
        <v>66767914008.788773</v>
      </c>
      <c r="J592" s="16">
        <f t="shared" si="143"/>
        <v>-54987457415.890282</v>
      </c>
      <c r="K592" s="18">
        <f t="shared" si="144"/>
        <v>37872600491.921135</v>
      </c>
      <c r="L592" s="17">
        <f t="shared" si="145"/>
        <v>13.89833883356849</v>
      </c>
      <c r="M592" s="16">
        <f t="shared" si="146"/>
        <v>1.8907975376313402E-11</v>
      </c>
      <c r="N592" s="16">
        <f t="shared" si="147"/>
        <v>79331603206.924835</v>
      </c>
      <c r="O592" s="16">
        <f t="shared" si="149"/>
        <v>-65334423245.585815</v>
      </c>
      <c r="P592" s="18">
        <f t="shared" si="148"/>
        <v>44999071174.276726</v>
      </c>
    </row>
    <row r="593" spans="1:16" x14ac:dyDescent="0.4">
      <c r="A593" s="14">
        <v>0.57999999999999996</v>
      </c>
      <c r="B593" s="44">
        <f t="shared" si="150"/>
        <v>3.6442474781641598</v>
      </c>
      <c r="C593" s="40">
        <f t="shared" si="136"/>
        <v>6.5885140008575577E-12</v>
      </c>
      <c r="D593" s="15">
        <f t="shared" si="137"/>
        <v>151779293459.77567</v>
      </c>
      <c r="E593" s="15">
        <f t="shared" si="138"/>
        <v>-133005208751.13933</v>
      </c>
      <c r="F593" s="29">
        <f t="shared" si="139"/>
        <v>-73120232276.809326</v>
      </c>
      <c r="G593" s="17">
        <f t="shared" si="140"/>
        <v>15.130915529337592</v>
      </c>
      <c r="H593" s="16">
        <f t="shared" si="141"/>
        <v>1.4923432354133225E-11</v>
      </c>
      <c r="I593" s="16">
        <f t="shared" si="142"/>
        <v>67008713295.30555</v>
      </c>
      <c r="J593" s="16">
        <f t="shared" si="143"/>
        <v>-56158455531.427643</v>
      </c>
      <c r="K593" s="18">
        <f t="shared" si="144"/>
        <v>36556743971.764267</v>
      </c>
      <c r="L593" s="17">
        <f t="shared" si="145"/>
        <v>13.922342873004705</v>
      </c>
      <c r="M593" s="16">
        <f t="shared" si="146"/>
        <v>1.8821255308001228E-11</v>
      </c>
      <c r="N593" s="16">
        <f t="shared" si="147"/>
        <v>79697128350.537018</v>
      </c>
      <c r="O593" s="16">
        <f t="shared" si="149"/>
        <v>-66792323242.083023</v>
      </c>
      <c r="P593" s="18">
        <f t="shared" si="148"/>
        <v>43478935396.891533</v>
      </c>
    </row>
    <row r="594" spans="1:16" x14ac:dyDescent="0.4">
      <c r="A594" s="14">
        <v>0.58099999999999996</v>
      </c>
      <c r="B594" s="44">
        <f t="shared" si="150"/>
        <v>3.6505306634713395</v>
      </c>
      <c r="C594" s="40">
        <f t="shared" si="136"/>
        <v>6.5888541579866559E-12</v>
      </c>
      <c r="D594" s="15">
        <f t="shared" si="137"/>
        <v>151771457680.21799</v>
      </c>
      <c r="E594" s="15">
        <f t="shared" si="138"/>
        <v>-132536315703.90709</v>
      </c>
      <c r="F594" s="29">
        <f t="shared" si="139"/>
        <v>-73950661836.20314</v>
      </c>
      <c r="G594" s="17">
        <f t="shared" si="140"/>
        <v>15.157003314733002</v>
      </c>
      <c r="H594" s="16">
        <f t="shared" si="141"/>
        <v>1.487172551546271E-11</v>
      </c>
      <c r="I594" s="16">
        <f t="shared" si="142"/>
        <v>67241692899.741943</v>
      </c>
      <c r="J594" s="16">
        <f t="shared" si="143"/>
        <v>-57291426819.258484</v>
      </c>
      <c r="K594" s="18">
        <f t="shared" si="144"/>
        <v>35201387430.565231</v>
      </c>
      <c r="L594" s="17">
        <f t="shared" si="145"/>
        <v>13.946346912440919</v>
      </c>
      <c r="M594" s="16">
        <f t="shared" si="146"/>
        <v>1.8734079832088326E-11</v>
      </c>
      <c r="N594" s="16">
        <f t="shared" si="147"/>
        <v>80067983773.120926</v>
      </c>
      <c r="O594" s="16">
        <f t="shared" si="149"/>
        <v>-68219713619.389519</v>
      </c>
      <c r="P594" s="18">
        <f t="shared" si="148"/>
        <v>41916019600.878555</v>
      </c>
    </row>
    <row r="595" spans="1:16" x14ac:dyDescent="0.4">
      <c r="A595" s="14">
        <v>0.58199999999999996</v>
      </c>
      <c r="B595" s="44">
        <f t="shared" si="150"/>
        <v>3.6568138487785191</v>
      </c>
      <c r="C595" s="40">
        <f t="shared" si="136"/>
        <v>6.5891981672897235E-12</v>
      </c>
      <c r="D595" s="15">
        <f t="shared" si="137"/>
        <v>151763533985.70212</v>
      </c>
      <c r="E595" s="15">
        <f t="shared" si="138"/>
        <v>-132062161825.59445</v>
      </c>
      <c r="F595" s="29">
        <f t="shared" si="139"/>
        <v>-74778042644.748779</v>
      </c>
      <c r="G595" s="17">
        <f t="shared" si="140"/>
        <v>15.183091100128411</v>
      </c>
      <c r="H595" s="16">
        <f t="shared" si="141"/>
        <v>1.4822168565013635E-11</v>
      </c>
      <c r="I595" s="16">
        <f t="shared" si="142"/>
        <v>67466511098.815056</v>
      </c>
      <c r="J595" s="16">
        <f t="shared" si="143"/>
        <v>-58384709491.567345</v>
      </c>
      <c r="K595" s="18">
        <f t="shared" si="144"/>
        <v>33807629574.281319</v>
      </c>
      <c r="L595" s="17">
        <f t="shared" si="145"/>
        <v>13.970350951877135</v>
      </c>
      <c r="M595" s="16">
        <f t="shared" si="146"/>
        <v>1.8646499176141132E-11</v>
      </c>
      <c r="N595" s="16">
        <f t="shared" si="147"/>
        <v>80444054716.678619</v>
      </c>
      <c r="O595" s="16">
        <f t="shared" si="149"/>
        <v>-69615320081.958694</v>
      </c>
      <c r="P595" s="18">
        <f t="shared" si="148"/>
        <v>40310707623.985237</v>
      </c>
    </row>
    <row r="596" spans="1:16" x14ac:dyDescent="0.4">
      <c r="A596" s="14">
        <v>0.58299999999999996</v>
      </c>
      <c r="B596" s="44">
        <f t="shared" si="150"/>
        <v>3.6630970340856988</v>
      </c>
      <c r="C596" s="40">
        <f t="shared" si="136"/>
        <v>6.5895460151858628E-12</v>
      </c>
      <c r="D596" s="15">
        <f t="shared" si="137"/>
        <v>151755522716.65778</v>
      </c>
      <c r="E596" s="15">
        <f t="shared" si="138"/>
        <v>-131582767487.51617</v>
      </c>
      <c r="F596" s="29">
        <f t="shared" si="139"/>
        <v>-75602341070.447617</v>
      </c>
      <c r="G596" s="17">
        <f t="shared" si="140"/>
        <v>15.209178885523821</v>
      </c>
      <c r="H596" s="16">
        <f t="shared" si="141"/>
        <v>1.4774795227973206E-11</v>
      </c>
      <c r="I596" s="16">
        <f t="shared" si="142"/>
        <v>67682833133.734009</v>
      </c>
      <c r="J596" s="16">
        <f t="shared" si="143"/>
        <v>-59436675628.608414</v>
      </c>
      <c r="K596" s="18">
        <f t="shared" si="144"/>
        <v>32376650401.616112</v>
      </c>
      <c r="L596" s="17">
        <f t="shared" si="145"/>
        <v>13.994354991313349</v>
      </c>
      <c r="M596" s="16">
        <f t="shared" si="146"/>
        <v>1.8558563801177168E-11</v>
      </c>
      <c r="N596" s="16">
        <f t="shared" si="147"/>
        <v>80825219886.080582</v>
      </c>
      <c r="O596" s="16">
        <f t="shared" si="149"/>
        <v>-70977855898.670334</v>
      </c>
      <c r="P596" s="18">
        <f t="shared" si="148"/>
        <v>38663421235.851151</v>
      </c>
    </row>
    <row r="597" spans="1:16" x14ac:dyDescent="0.4">
      <c r="A597" s="14">
        <v>0.58399999999999996</v>
      </c>
      <c r="B597" s="44">
        <f t="shared" si="150"/>
        <v>3.669380219392878</v>
      </c>
      <c r="C597" s="40">
        <f t="shared" si="136"/>
        <v>6.589897687942634E-12</v>
      </c>
      <c r="D597" s="15">
        <f t="shared" si="137"/>
        <v>151747424217.17325</v>
      </c>
      <c r="E597" s="15">
        <f t="shared" si="138"/>
        <v>-131098153279.91116</v>
      </c>
      <c r="F597" s="29">
        <f t="shared" si="139"/>
        <v>-76423523624.232712</v>
      </c>
      <c r="G597" s="17">
        <f t="shared" si="140"/>
        <v>15.235266670919231</v>
      </c>
      <c r="H597" s="16">
        <f t="shared" si="141"/>
        <v>1.4729637743505585E-11</v>
      </c>
      <c r="I597" s="16">
        <f t="shared" si="142"/>
        <v>67890332227.682106</v>
      </c>
      <c r="J597" s="16">
        <f t="shared" si="143"/>
        <v>-60445736126.684341</v>
      </c>
      <c r="K597" s="18">
        <f t="shared" si="144"/>
        <v>30909710352.70792</v>
      </c>
      <c r="L597" s="17">
        <f t="shared" si="145"/>
        <v>14.018359030749565</v>
      </c>
      <c r="M597" s="16">
        <f t="shared" si="146"/>
        <v>1.8470324372591062E-11</v>
      </c>
      <c r="N597" s="16">
        <f t="shared" si="147"/>
        <v>81211351232.462219</v>
      </c>
      <c r="O597" s="16">
        <f t="shared" si="149"/>
        <v>-72306022757.79274</v>
      </c>
      <c r="P597" s="18">
        <f t="shared" si="148"/>
        <v>36974621593.085991</v>
      </c>
    </row>
    <row r="598" spans="1:16" x14ac:dyDescent="0.4">
      <c r="A598" s="14">
        <v>0.58499999999999996</v>
      </c>
      <c r="B598" s="44">
        <f t="shared" si="150"/>
        <v>3.6756634047000576</v>
      </c>
      <c r="C598" s="40">
        <f t="shared" si="136"/>
        <v>6.5902531716765991E-12</v>
      </c>
      <c r="D598" s="15">
        <f t="shared" si="137"/>
        <v>151739238834.97699</v>
      </c>
      <c r="E598" s="15">
        <f t="shared" si="138"/>
        <v>-130608340010.85365</v>
      </c>
      <c r="F598" s="29">
        <f t="shared" si="139"/>
        <v>-77241556961.440338</v>
      </c>
      <c r="G598" s="17">
        <f t="shared" si="140"/>
        <v>15.26135445631464</v>
      </c>
      <c r="H598" s="16">
        <f t="shared" si="141"/>
        <v>1.4686726842812019E-11</v>
      </c>
      <c r="I598" s="16">
        <f t="shared" si="142"/>
        <v>68088690604.974396</v>
      </c>
      <c r="J598" s="16">
        <f t="shared" si="143"/>
        <v>-61410345654.271683</v>
      </c>
      <c r="K598" s="18">
        <f t="shared" si="144"/>
        <v>29408149124.397545</v>
      </c>
      <c r="L598" s="17">
        <f t="shared" si="145"/>
        <v>14.042363070185779</v>
      </c>
      <c r="M598" s="16">
        <f t="shared" si="146"/>
        <v>1.8381831730962892E-11</v>
      </c>
      <c r="N598" s="16">
        <f t="shared" si="147"/>
        <v>81602313738.589844</v>
      </c>
      <c r="O598" s="16">
        <f t="shared" si="149"/>
        <v>-73598511710.974457</v>
      </c>
      <c r="P598" s="18">
        <f t="shared" si="148"/>
        <v>35244810702.014038</v>
      </c>
    </row>
    <row r="599" spans="1:16" x14ac:dyDescent="0.4">
      <c r="A599" s="14">
        <v>0.58599999999999997</v>
      </c>
      <c r="B599" s="44">
        <f t="shared" si="150"/>
        <v>3.6819465900072372</v>
      </c>
      <c r="C599" s="40">
        <f t="shared" si="136"/>
        <v>6.5906124523538698E-12</v>
      </c>
      <c r="D599" s="15">
        <f t="shared" si="137"/>
        <v>151730966921.41943</v>
      </c>
      <c r="E599" s="15">
        <f t="shared" si="138"/>
        <v>-130113348705.15451</v>
      </c>
      <c r="F599" s="29">
        <f t="shared" si="139"/>
        <v>-78056407883.272141</v>
      </c>
      <c r="G599" s="17">
        <f t="shared" si="140"/>
        <v>15.28744224171005</v>
      </c>
      <c r="H599" s="16">
        <f t="shared" si="141"/>
        <v>1.4646091728217236E-11</v>
      </c>
      <c r="I599" s="16">
        <f t="shared" si="142"/>
        <v>68277600506.447388</v>
      </c>
      <c r="J599" s="16">
        <f t="shared" si="143"/>
        <v>-62329007589.824425</v>
      </c>
      <c r="K599" s="18">
        <f t="shared" si="144"/>
        <v>27873384146.63052</v>
      </c>
      <c r="L599" s="17">
        <f t="shared" si="145"/>
        <v>14.066367109621995</v>
      </c>
      <c r="M599" s="16">
        <f t="shared" si="146"/>
        <v>1.8293136862765518E-11</v>
      </c>
      <c r="N599" s="16">
        <f t="shared" si="147"/>
        <v>81997965207.003494</v>
      </c>
      <c r="O599" s="16">
        <f t="shared" si="149"/>
        <v>-74854004209.694916</v>
      </c>
      <c r="P599" s="18">
        <f t="shared" si="148"/>
        <v>33474532884.925106</v>
      </c>
    </row>
    <row r="600" spans="1:16" x14ac:dyDescent="0.4">
      <c r="A600" s="14">
        <v>0.58699999999999997</v>
      </c>
      <c r="B600" s="44">
        <f t="shared" si="150"/>
        <v>3.6882297753144169</v>
      </c>
      <c r="C600" s="40">
        <f t="shared" si="136"/>
        <v>6.5909755157906591E-12</v>
      </c>
      <c r="D600" s="15">
        <f t="shared" si="137"/>
        <v>151722608831.45447</v>
      </c>
      <c r="E600" s="15">
        <f t="shared" si="138"/>
        <v>-129613200603.25175</v>
      </c>
      <c r="F600" s="29">
        <f t="shared" si="139"/>
        <v>-78868043338.247986</v>
      </c>
      <c r="G600" s="17">
        <f t="shared" si="140"/>
        <v>15.313530027105459</v>
      </c>
      <c r="H600" s="16">
        <f t="shared" si="141"/>
        <v>1.4607760053296256E-11</v>
      </c>
      <c r="I600" s="16">
        <f t="shared" si="142"/>
        <v>68456765195.451645</v>
      </c>
      <c r="J600" s="16">
        <f t="shared" si="143"/>
        <v>-63200278913.878822</v>
      </c>
      <c r="K600" s="18">
        <f t="shared" si="144"/>
        <v>26306908716.782433</v>
      </c>
      <c r="L600" s="17">
        <f t="shared" si="145"/>
        <v>14.090371149058209</v>
      </c>
      <c r="M600" s="16">
        <f t="shared" si="146"/>
        <v>1.8204290870987953E-11</v>
      </c>
      <c r="N600" s="16">
        <f t="shared" si="147"/>
        <v>82398156051.798706</v>
      </c>
      <c r="O600" s="16">
        <f t="shared" si="149"/>
        <v>-76071173237.513565</v>
      </c>
      <c r="P600" s="18">
        <f t="shared" si="148"/>
        <v>31664376245.313492</v>
      </c>
    </row>
    <row r="601" spans="1:16" x14ac:dyDescent="0.4">
      <c r="A601" s="14">
        <v>0.58799999999999997</v>
      </c>
      <c r="B601" s="44">
        <f t="shared" si="150"/>
        <v>3.6945129606215965</v>
      </c>
      <c r="C601" s="40">
        <f t="shared" si="136"/>
        <v>6.5913423476538446E-12</v>
      </c>
      <c r="D601" s="15">
        <f t="shared" si="137"/>
        <v>151714164923.62061</v>
      </c>
      <c r="E601" s="15">
        <f t="shared" si="138"/>
        <v>-129107917160.09096</v>
      </c>
      <c r="F601" s="29">
        <f t="shared" si="139"/>
        <v>-79676430423.649384</v>
      </c>
      <c r="G601" s="17">
        <f t="shared" si="140"/>
        <v>15.339617812500869</v>
      </c>
      <c r="H601" s="16">
        <f t="shared" si="141"/>
        <v>1.4571757904055203E-11</v>
      </c>
      <c r="I601" s="16">
        <f t="shared" si="142"/>
        <v>68625899948.674561</v>
      </c>
      <c r="J601" s="16">
        <f t="shared" si="143"/>
        <v>-64022775027.388306</v>
      </c>
      <c r="K601" s="18">
        <f t="shared" si="144"/>
        <v>24710289791.054962</v>
      </c>
      <c r="L601" s="17">
        <f t="shared" si="145"/>
        <v>14.114375188494424</v>
      </c>
      <c r="M601" s="16">
        <f t="shared" si="146"/>
        <v>1.8115344945691485E-11</v>
      </c>
      <c r="N601" s="16">
        <f t="shared" si="147"/>
        <v>82802729094.968567</v>
      </c>
      <c r="O601" s="16">
        <f t="shared" si="149"/>
        <v>-77248684541.343369</v>
      </c>
      <c r="P601" s="18">
        <f t="shared" si="148"/>
        <v>29814974127.219578</v>
      </c>
    </row>
    <row r="602" spans="1:16" x14ac:dyDescent="0.4">
      <c r="A602" s="14">
        <v>0.58899999999999997</v>
      </c>
      <c r="B602" s="44">
        <f t="shared" si="150"/>
        <v>3.7007961459287761</v>
      </c>
      <c r="C602" s="40">
        <f t="shared" si="136"/>
        <v>6.5917129334615319E-12</v>
      </c>
      <c r="D602" s="15">
        <f t="shared" si="137"/>
        <v>151705635560.02219</v>
      </c>
      <c r="E602" s="15">
        <f t="shared" si="138"/>
        <v>-128597520043.99544</v>
      </c>
      <c r="F602" s="29">
        <f t="shared" si="139"/>
        <v>-80481536386.953125</v>
      </c>
      <c r="G602" s="17">
        <f t="shared" si="140"/>
        <v>15.365705597896278</v>
      </c>
      <c r="H602" s="16">
        <f t="shared" si="141"/>
        <v>1.4538109781178891E-11</v>
      </c>
      <c r="I602" s="16">
        <f t="shared" si="142"/>
        <v>68784733025.926453</v>
      </c>
      <c r="J602" s="16">
        <f t="shared" si="143"/>
        <v>-64795174467.75798</v>
      </c>
      <c r="K602" s="18">
        <f t="shared" si="144"/>
        <v>23085165434.555191</v>
      </c>
      <c r="L602" s="17">
        <f t="shared" si="145"/>
        <v>14.138379227930638</v>
      </c>
      <c r="M602" s="16">
        <f t="shared" si="146"/>
        <v>1.8026350334515754E-11</v>
      </c>
      <c r="N602" s="16">
        <f t="shared" si="147"/>
        <v>83211519368.282318</v>
      </c>
      <c r="O602" s="16">
        <f t="shared" si="149"/>
        <v>-78385197964.82782</v>
      </c>
      <c r="P602" s="18">
        <f t="shared" si="148"/>
        <v>27927006563.410557</v>
      </c>
    </row>
    <row r="603" spans="1:16" x14ac:dyDescent="0.4">
      <c r="A603" s="14">
        <v>0.59</v>
      </c>
      <c r="B603" s="44">
        <f t="shared" si="150"/>
        <v>3.7070793312359558</v>
      </c>
      <c r="C603" s="40">
        <f t="shared" si="136"/>
        <v>6.5920872585836278E-12</v>
      </c>
      <c r="D603" s="15">
        <f t="shared" si="137"/>
        <v>151697021106.31033</v>
      </c>
      <c r="E603" s="15">
        <f t="shared" si="138"/>
        <v>-128082031135.52641</v>
      </c>
      <c r="F603" s="29">
        <f t="shared" si="139"/>
        <v>-81283328627.255447</v>
      </c>
      <c r="G603" s="17">
        <f t="shared" si="140"/>
        <v>15.39179338329169</v>
      </c>
      <c r="H603" s="16">
        <f t="shared" si="141"/>
        <v>1.4506838583357269E-11</v>
      </c>
      <c r="I603" s="16">
        <f t="shared" si="142"/>
        <v>68933006612.979996</v>
      </c>
      <c r="J603" s="16">
        <f t="shared" si="143"/>
        <v>-65516223493.837952</v>
      </c>
      <c r="K603" s="18">
        <f t="shared" si="144"/>
        <v>21433241934.215649</v>
      </c>
      <c r="L603" s="17">
        <f t="shared" si="145"/>
        <v>14.162383267366856</v>
      </c>
      <c r="M603" s="16">
        <f t="shared" si="146"/>
        <v>1.7937358313151521E-11</v>
      </c>
      <c r="N603" s="16">
        <f t="shared" si="147"/>
        <v>83624353921.73732</v>
      </c>
      <c r="O603" s="16">
        <f t="shared" si="149"/>
        <v>-79479368886.728699</v>
      </c>
      <c r="P603" s="18">
        <f t="shared" si="148"/>
        <v>26001201706.753578</v>
      </c>
    </row>
    <row r="604" spans="1:16" x14ac:dyDescent="0.4">
      <c r="A604" s="14">
        <v>0.59099999999999997</v>
      </c>
      <c r="B604" s="44">
        <f t="shared" si="150"/>
        <v>3.7133625165431354</v>
      </c>
      <c r="C604" s="40">
        <f t="shared" si="136"/>
        <v>6.5924653082424184E-12</v>
      </c>
      <c r="D604" s="15">
        <f t="shared" si="137"/>
        <v>151688321931.66364</v>
      </c>
      <c r="E604" s="15">
        <f t="shared" si="138"/>
        <v>-127561472526.33308</v>
      </c>
      <c r="F604" s="29">
        <f t="shared" si="139"/>
        <v>-82081774696.686447</v>
      </c>
      <c r="G604" s="17">
        <f t="shared" si="140"/>
        <v>15.417881168687099</v>
      </c>
      <c r="H604" s="16">
        <f t="shared" si="141"/>
        <v>1.4477965591702099E-11</v>
      </c>
      <c r="I604" s="16">
        <f t="shared" si="142"/>
        <v>69070477731.563339</v>
      </c>
      <c r="J604" s="16">
        <f t="shared" si="143"/>
        <v>-66184740511.186707</v>
      </c>
      <c r="K604" s="18">
        <f t="shared" si="144"/>
        <v>19756290581.312798</v>
      </c>
      <c r="L604" s="17">
        <f t="shared" si="145"/>
        <v>14.18638730680307</v>
      </c>
      <c r="M604" s="16">
        <f t="shared" si="146"/>
        <v>1.784842015579743E-11</v>
      </c>
      <c r="N604" s="16">
        <f t="shared" si="147"/>
        <v>84041051639.675674</v>
      </c>
      <c r="O604" s="16">
        <f t="shared" si="149"/>
        <v>-80529849767.021164</v>
      </c>
      <c r="P604" s="18">
        <f t="shared" si="148"/>
        <v>24038337238.74501</v>
      </c>
    </row>
    <row r="605" spans="1:16" x14ac:dyDescent="0.4">
      <c r="A605" s="14">
        <v>0.59199999999999997</v>
      </c>
      <c r="B605" s="44">
        <f t="shared" si="150"/>
        <v>3.7196457018503151</v>
      </c>
      <c r="C605" s="40">
        <f t="shared" si="136"/>
        <v>6.59284706751315E-12</v>
      </c>
      <c r="D605" s="15">
        <f t="shared" si="137"/>
        <v>151679538408.76886</v>
      </c>
      <c r="E605" s="15">
        <f t="shared" si="138"/>
        <v>-127035866517.99295</v>
      </c>
      <c r="F605" s="29">
        <f t="shared" si="139"/>
        <v>-82876842301.814728</v>
      </c>
      <c r="G605" s="17">
        <f t="shared" si="140"/>
        <v>15.443968954082509</v>
      </c>
      <c r="H605" s="16">
        <f t="shared" si="141"/>
        <v>1.4451510455264425E-11</v>
      </c>
      <c r="I605" s="16">
        <f t="shared" si="142"/>
        <v>69196919110.674561</v>
      </c>
      <c r="J605" s="16">
        <f t="shared" si="143"/>
        <v>-66799620309.241577</v>
      </c>
      <c r="K605" s="18">
        <f t="shared" si="144"/>
        <v>18056144132.964802</v>
      </c>
      <c r="L605" s="17">
        <f t="shared" si="145"/>
        <v>14.210391346239286</v>
      </c>
      <c r="M605" s="16">
        <f t="shared" si="146"/>
        <v>1.7759587105617467E-11</v>
      </c>
      <c r="N605" s="16">
        <f t="shared" si="147"/>
        <v>84461423065.716476</v>
      </c>
      <c r="O605" s="16">
        <f t="shared" si="149"/>
        <v>-81535291803.153793</v>
      </c>
      <c r="P605" s="18">
        <f t="shared" si="148"/>
        <v>22039241748.765015</v>
      </c>
    </row>
    <row r="606" spans="1:16" x14ac:dyDescent="0.4">
      <c r="A606" s="14">
        <v>0.59299999999999997</v>
      </c>
      <c r="B606" s="44">
        <f t="shared" si="150"/>
        <v>3.7259288871574943</v>
      </c>
      <c r="C606" s="40">
        <f t="shared" si="136"/>
        <v>6.5932325213246201E-12</v>
      </c>
      <c r="D606" s="15">
        <f t="shared" si="137"/>
        <v>151670670913.80148</v>
      </c>
      <c r="E606" s="15">
        <f t="shared" si="138"/>
        <v>-126505235620.84235</v>
      </c>
      <c r="F606" s="29">
        <f t="shared" si="139"/>
        <v>-83668499305.042084</v>
      </c>
      <c r="G606" s="17">
        <f t="shared" si="140"/>
        <v>15.470056739477917</v>
      </c>
      <c r="H606" s="16">
        <f t="shared" si="141"/>
        <v>1.4427491177662729E-11</v>
      </c>
      <c r="I606" s="16">
        <f t="shared" si="142"/>
        <v>69312120013.508911</v>
      </c>
      <c r="J606" s="16">
        <f t="shared" si="143"/>
        <v>-67359838082.635315</v>
      </c>
      <c r="K606" s="18">
        <f t="shared" si="144"/>
        <v>16334692964.614164</v>
      </c>
      <c r="L606" s="17">
        <f t="shared" si="145"/>
        <v>14.2343953856755</v>
      </c>
      <c r="M606" s="16">
        <f t="shared" si="146"/>
        <v>1.7670910345216427E-11</v>
      </c>
      <c r="N606" s="16">
        <f t="shared" si="147"/>
        <v>84885270237.707642</v>
      </c>
      <c r="O606" s="16">
        <f t="shared" si="149"/>
        <v>-82494346698.648376</v>
      </c>
      <c r="P606" s="18">
        <f t="shared" si="148"/>
        <v>20004796077.237461</v>
      </c>
    </row>
    <row r="607" spans="1:16" x14ac:dyDescent="0.4">
      <c r="A607" s="14">
        <v>0.59399999999999997</v>
      </c>
      <c r="B607" s="44">
        <f t="shared" si="150"/>
        <v>3.7322120724646739</v>
      </c>
      <c r="C607" s="40">
        <f t="shared" si="136"/>
        <v>6.5936216544597718E-12</v>
      </c>
      <c r="D607" s="15">
        <f t="shared" si="137"/>
        <v>151661719826.40576</v>
      </c>
      <c r="E607" s="15">
        <f t="shared" si="138"/>
        <v>-125969602552.79694</v>
      </c>
      <c r="F607" s="29">
        <f t="shared" si="139"/>
        <v>-84456713725.988495</v>
      </c>
      <c r="G607" s="17">
        <f t="shared" si="140"/>
        <v>15.496144524873326</v>
      </c>
      <c r="H607" s="16">
        <f t="shared" si="141"/>
        <v>1.4405924104830857E-11</v>
      </c>
      <c r="I607" s="16">
        <f t="shared" si="142"/>
        <v>69415887014.472183</v>
      </c>
      <c r="J607" s="16">
        <f t="shared" si="143"/>
        <v>-67864453209.78389</v>
      </c>
      <c r="K607" s="18">
        <f t="shared" si="144"/>
        <v>14593880928.081501</v>
      </c>
      <c r="L607" s="17">
        <f t="shared" si="145"/>
        <v>14.258399425111714</v>
      </c>
      <c r="M607" s="16">
        <f t="shared" si="146"/>
        <v>1.7582440967150208E-11</v>
      </c>
      <c r="N607" s="16">
        <f t="shared" si="147"/>
        <v>85312386533.957047</v>
      </c>
      <c r="O607" s="16">
        <f t="shared" si="149"/>
        <v>-83405668545.900208</v>
      </c>
      <c r="P607" s="18">
        <f t="shared" si="148"/>
        <v>17935934615.478741</v>
      </c>
    </row>
    <row r="608" spans="1:16" x14ac:dyDescent="0.4">
      <c r="A608" s="14">
        <v>0.59499999999999997</v>
      </c>
      <c r="B608" s="44">
        <f t="shared" si="150"/>
        <v>3.7384952577718535</v>
      </c>
      <c r="C608" s="40">
        <f t="shared" si="136"/>
        <v>6.5940144515562965E-12</v>
      </c>
      <c r="D608" s="15">
        <f t="shared" si="137"/>
        <v>151652685529.67508</v>
      </c>
      <c r="E608" s="15">
        <f t="shared" si="138"/>
        <v>-125428990238.16324</v>
      </c>
      <c r="F608" s="29">
        <f t="shared" si="139"/>
        <v>-85241453742.866638</v>
      </c>
      <c r="G608" s="17">
        <f t="shared" si="140"/>
        <v>15.522232310268736</v>
      </c>
      <c r="H608" s="16">
        <f t="shared" si="141"/>
        <v>1.4386823913894067E-11</v>
      </c>
      <c r="I608" s="16">
        <f t="shared" si="142"/>
        <v>69508044720.992981</v>
      </c>
      <c r="J608" s="16">
        <f t="shared" si="143"/>
        <v>-68312612763.033173</v>
      </c>
      <c r="K608" s="18">
        <f t="shared" si="144"/>
        <v>12835700932.29965</v>
      </c>
      <c r="L608" s="17">
        <f t="shared" si="145"/>
        <v>14.282403464547929</v>
      </c>
      <c r="M608" s="16">
        <f t="shared" si="146"/>
        <v>1.7494229944487995E-11</v>
      </c>
      <c r="N608" s="16">
        <f t="shared" si="147"/>
        <v>85742556532.053207</v>
      </c>
      <c r="O608" s="16">
        <f t="shared" si="149"/>
        <v>-84267915824.678589</v>
      </c>
      <c r="P608" s="18">
        <f t="shared" si="148"/>
        <v>15833646554.638811</v>
      </c>
    </row>
    <row r="609" spans="1:16" x14ac:dyDescent="0.4">
      <c r="A609" s="14">
        <v>0.59599999999999997</v>
      </c>
      <c r="B609" s="44">
        <f t="shared" si="150"/>
        <v>3.7447784430790332</v>
      </c>
      <c r="C609" s="40">
        <f t="shared" si="136"/>
        <v>6.5944108971072372E-12</v>
      </c>
      <c r="D609" s="15">
        <f t="shared" si="137"/>
        <v>151643568410.13181</v>
      </c>
      <c r="E609" s="15">
        <f t="shared" si="138"/>
        <v>-124883421806.44002</v>
      </c>
      <c r="F609" s="29">
        <f t="shared" si="139"/>
        <v>-86022687693.846832</v>
      </c>
      <c r="G609" s="17">
        <f t="shared" si="140"/>
        <v>15.548320095664145</v>
      </c>
      <c r="H609" s="16">
        <f t="shared" si="141"/>
        <v>1.437020360318073E-11</v>
      </c>
      <c r="I609" s="16">
        <f t="shared" si="142"/>
        <v>69588436435.142639</v>
      </c>
      <c r="J609" s="16">
        <f t="shared" si="143"/>
        <v>-68703554726.092178</v>
      </c>
      <c r="K609" s="18">
        <f t="shared" si="144"/>
        <v>11062190266.251328</v>
      </c>
      <c r="L609" s="17">
        <f t="shared" si="145"/>
        <v>14.306407503984143</v>
      </c>
      <c r="M609" s="16">
        <f t="shared" si="146"/>
        <v>1.7406328101443338E-11</v>
      </c>
      <c r="N609" s="16">
        <f t="shared" si="147"/>
        <v>86175555881.634766</v>
      </c>
      <c r="O609" s="16">
        <f t="shared" si="149"/>
        <v>-85079753517.430389</v>
      </c>
      <c r="P609" s="18">
        <f t="shared" si="148"/>
        <v>13698977075.754488</v>
      </c>
    </row>
    <row r="610" spans="1:16" x14ac:dyDescent="0.4">
      <c r="A610" s="14">
        <v>0.59699999999999998</v>
      </c>
      <c r="B610" s="44">
        <f t="shared" si="150"/>
        <v>3.7510616283862128</v>
      </c>
      <c r="C610" s="40">
        <f t="shared" si="136"/>
        <v>6.5948109754616007E-12</v>
      </c>
      <c r="D610" s="15">
        <f t="shared" si="137"/>
        <v>151634368857.70718</v>
      </c>
      <c r="E610" s="15">
        <f t="shared" si="138"/>
        <v>-124332920591.1107</v>
      </c>
      <c r="F610" s="29">
        <f t="shared" si="139"/>
        <v>-86800384078.41153</v>
      </c>
      <c r="G610" s="17">
        <f t="shared" si="140"/>
        <v>15.574407881059557</v>
      </c>
      <c r="H610" s="16">
        <f t="shared" si="141"/>
        <v>1.4356074483376537E-11</v>
      </c>
      <c r="I610" s="16">
        <f t="shared" si="142"/>
        <v>69656924750.421112</v>
      </c>
      <c r="J610" s="16">
        <f t="shared" si="143"/>
        <v>-69036610896.181046</v>
      </c>
      <c r="K610" s="18">
        <f t="shared" si="144"/>
        <v>9275425685.9254532</v>
      </c>
      <c r="L610" s="17">
        <f t="shared" si="145"/>
        <v>14.330411543420361</v>
      </c>
      <c r="M610" s="16">
        <f t="shared" si="146"/>
        <v>1.7318786084090885E-11</v>
      </c>
      <c r="N610" s="16">
        <f t="shared" si="147"/>
        <v>86611151192.513824</v>
      </c>
      <c r="O610" s="16">
        <f t="shared" si="149"/>
        <v>-85839855342.045319</v>
      </c>
      <c r="P610" s="18">
        <f t="shared" si="148"/>
        <v>11533028472.574924</v>
      </c>
    </row>
    <row r="611" spans="1:16" x14ac:dyDescent="0.4">
      <c r="A611" s="14">
        <v>0.59799999999999998</v>
      </c>
      <c r="B611" s="44">
        <f t="shared" si="150"/>
        <v>3.7573448136933925</v>
      </c>
      <c r="C611" s="40">
        <f t="shared" si="136"/>
        <v>6.5952146708249807E-12</v>
      </c>
      <c r="D611" s="15">
        <f t="shared" si="137"/>
        <v>151625087265.72083</v>
      </c>
      <c r="E611" s="15">
        <f t="shared" si="138"/>
        <v>-123777510128.42618</v>
      </c>
      <c r="F611" s="29">
        <f t="shared" si="139"/>
        <v>-87574511558.699585</v>
      </c>
      <c r="G611" s="17">
        <f t="shared" si="140"/>
        <v>15.600495666454966</v>
      </c>
      <c r="H611" s="16">
        <f t="shared" si="141"/>
        <v>1.4344446169827195E-11</v>
      </c>
      <c r="I611" s="16">
        <f t="shared" si="142"/>
        <v>69713392079.468964</v>
      </c>
      <c r="J611" s="16">
        <f t="shared" si="143"/>
        <v>-69311209450.275452</v>
      </c>
      <c r="K611" s="18">
        <f t="shared" si="144"/>
        <v>7477518289.2329063</v>
      </c>
      <c r="L611" s="17">
        <f t="shared" si="145"/>
        <v>14.354415582856575</v>
      </c>
      <c r="M611" s="16">
        <f t="shared" si="146"/>
        <v>1.7231654331185927E-11</v>
      </c>
      <c r="N611" s="16">
        <f t="shared" si="147"/>
        <v>87049099939.597397</v>
      </c>
      <c r="O611" s="16">
        <f t="shared" si="149"/>
        <v>-86546906102.253677</v>
      </c>
      <c r="P611" s="18">
        <f t="shared" si="148"/>
        <v>9336961198.4682083</v>
      </c>
    </row>
    <row r="612" spans="1:16" x14ac:dyDescent="0.4">
      <c r="A612" s="14">
        <v>0.59899999999999998</v>
      </c>
      <c r="B612" s="44">
        <f t="shared" si="150"/>
        <v>3.7636279990005721</v>
      </c>
      <c r="C612" s="40">
        <f t="shared" si="136"/>
        <v>6.5956219672601732E-12</v>
      </c>
      <c r="D612" s="15">
        <f t="shared" si="137"/>
        <v>151615724030.86057</v>
      </c>
      <c r="E612" s="15">
        <f t="shared" si="138"/>
        <v>-123217214156.1788</v>
      </c>
      <c r="F612" s="29">
        <f t="shared" si="139"/>
        <v>-88345038960.840576</v>
      </c>
      <c r="G612" s="17">
        <f t="shared" si="140"/>
        <v>15.626583451850376</v>
      </c>
      <c r="H612" s="16">
        <f t="shared" si="141"/>
        <v>1.4335326575994843E-11</v>
      </c>
      <c r="I612" s="16">
        <f t="shared" si="142"/>
        <v>69757741108.915192</v>
      </c>
      <c r="J612" s="16">
        <f t="shared" si="143"/>
        <v>-69526877157.01442</v>
      </c>
      <c r="K612" s="18">
        <f t="shared" si="144"/>
        <v>5670608204.7575254</v>
      </c>
      <c r="L612" s="17">
        <f t="shared" si="145"/>
        <v>14.378419622292791</v>
      </c>
      <c r="M612" s="16">
        <f t="shared" si="146"/>
        <v>1.7144983045103172E-11</v>
      </c>
      <c r="N612" s="16">
        <f t="shared" si="147"/>
        <v>87489150386.090302</v>
      </c>
      <c r="O612" s="16">
        <f t="shared" si="149"/>
        <v>-87199604155.299393</v>
      </c>
      <c r="P612" s="18">
        <f t="shared" si="148"/>
        <v>7111994828.3879261</v>
      </c>
    </row>
    <row r="613" spans="1:16" x14ac:dyDescent="0.4">
      <c r="A613" s="14">
        <v>0.6</v>
      </c>
      <c r="B613" s="44">
        <f t="shared" si="150"/>
        <v>3.7699111843077517</v>
      </c>
      <c r="C613" s="40">
        <f t="shared" si="136"/>
        <v>6.5960328486878146E-12</v>
      </c>
      <c r="D613" s="15">
        <f t="shared" si="137"/>
        <v>151606279553.16135</v>
      </c>
      <c r="E613" s="15">
        <f t="shared" si="138"/>
        <v>-122652056612.46666</v>
      </c>
      <c r="F613" s="29">
        <f t="shared" si="139"/>
        <v>-89111935276.278137</v>
      </c>
      <c r="G613" s="17">
        <f t="shared" si="140"/>
        <v>15.652671237245785</v>
      </c>
      <c r="H613" s="16">
        <f t="shared" si="141"/>
        <v>1.4328721908072694E-11</v>
      </c>
      <c r="I613" s="16">
        <f t="shared" si="142"/>
        <v>69789895178.062424</v>
      </c>
      <c r="J613" s="16">
        <f t="shared" si="143"/>
        <v>-69683241218.23288</v>
      </c>
      <c r="K613" s="18">
        <f t="shared" si="144"/>
        <v>3856859121.9425025</v>
      </c>
      <c r="L613" s="17">
        <f t="shared" si="145"/>
        <v>14.402423661729005</v>
      </c>
      <c r="M613" s="16">
        <f t="shared" si="146"/>
        <v>1.7058822162911928E-11</v>
      </c>
      <c r="N613" s="16">
        <f t="shared" si="147"/>
        <v>87931041526.489014</v>
      </c>
      <c r="O613" s="16">
        <f t="shared" si="149"/>
        <v>-87796663995.94812</v>
      </c>
      <c r="P613" s="18">
        <f t="shared" si="148"/>
        <v>4859408926.5797863</v>
      </c>
    </row>
    <row r="614" spans="1:16" x14ac:dyDescent="0.4">
      <c r="A614" s="14">
        <v>0.60099999999999998</v>
      </c>
      <c r="B614" s="44">
        <f t="shared" si="150"/>
        <v>3.7761943696149314</v>
      </c>
      <c r="C614" s="40">
        <f t="shared" si="136"/>
        <v>6.5964472988870086E-12</v>
      </c>
      <c r="D614" s="15">
        <f t="shared" si="137"/>
        <v>151596754235.98486</v>
      </c>
      <c r="E614" s="15">
        <f t="shared" si="138"/>
        <v>-122082061634.44955</v>
      </c>
      <c r="F614" s="29">
        <f t="shared" si="139"/>
        <v>-89875169663.083557</v>
      </c>
      <c r="G614" s="17">
        <f t="shared" si="140"/>
        <v>15.678759022641195</v>
      </c>
      <c r="H614" s="16">
        <f t="shared" si="141"/>
        <v>1.432463666076149E-11</v>
      </c>
      <c r="I614" s="16">
        <f t="shared" si="142"/>
        <v>69809798578.642654</v>
      </c>
      <c r="J614" s="16">
        <f t="shared" si="143"/>
        <v>-69780030726.662781</v>
      </c>
      <c r="K614" s="18">
        <f t="shared" si="144"/>
        <v>2038452691.7876203</v>
      </c>
      <c r="L614" s="17">
        <f t="shared" si="145"/>
        <v>14.42642770116522</v>
      </c>
      <c r="M614" s="16">
        <f t="shared" si="146"/>
        <v>1.6973221327603979E-11</v>
      </c>
      <c r="N614" s="16">
        <f t="shared" si="147"/>
        <v>88374503050.90361</v>
      </c>
      <c r="O614" s="16">
        <f t="shared" si="149"/>
        <v>-88336818955.272675</v>
      </c>
      <c r="P614" s="18">
        <f t="shared" si="148"/>
        <v>2580543810.4303784</v>
      </c>
    </row>
    <row r="615" spans="1:16" x14ac:dyDescent="0.4">
      <c r="A615" s="14">
        <v>0.60199999999999998</v>
      </c>
      <c r="B615" s="44">
        <f t="shared" si="150"/>
        <v>3.7824775549221106</v>
      </c>
      <c r="C615" s="40">
        <f t="shared" si="136"/>
        <v>6.5968653014959723E-12</v>
      </c>
      <c r="D615" s="15">
        <f t="shared" si="137"/>
        <v>151587148485.99832</v>
      </c>
      <c r="E615" s="15">
        <f t="shared" si="138"/>
        <v>-121507253557.09558</v>
      </c>
      <c r="F615" s="29">
        <f t="shared" si="139"/>
        <v>-90634711447.258362</v>
      </c>
      <c r="G615" s="17">
        <f t="shared" si="140"/>
        <v>15.704846808036603</v>
      </c>
      <c r="H615" s="16">
        <f t="shared" si="141"/>
        <v>1.4323073614210723E-11</v>
      </c>
      <c r="I615" s="16">
        <f t="shared" si="142"/>
        <v>69817416773.439194</v>
      </c>
      <c r="J615" s="16">
        <f t="shared" si="143"/>
        <v>-69817077729.083694</v>
      </c>
      <c r="K615" s="18">
        <f t="shared" si="144"/>
        <v>217582828.35302764</v>
      </c>
      <c r="L615" s="17">
        <f t="shared" si="145"/>
        <v>14.450431740601433</v>
      </c>
      <c r="M615" s="16">
        <f t="shared" si="146"/>
        <v>1.6888229859491041E-11</v>
      </c>
      <c r="N615" s="16">
        <f t="shared" si="147"/>
        <v>88819255332.258087</v>
      </c>
      <c r="O615" s="16">
        <f t="shared" si="149"/>
        <v>-88818824011.986267</v>
      </c>
      <c r="P615" s="18">
        <f t="shared" si="148"/>
        <v>276801200.62469155</v>
      </c>
    </row>
    <row r="616" spans="1:16" x14ac:dyDescent="0.4">
      <c r="A616" s="14">
        <v>0.60299999999999998</v>
      </c>
      <c r="B616" s="44">
        <f t="shared" si="150"/>
        <v>3.7887607402292902</v>
      </c>
      <c r="C616" s="40">
        <f t="shared" si="136"/>
        <v>6.5972868400126765E-12</v>
      </c>
      <c r="D616" s="15">
        <f t="shared" si="137"/>
        <v>151577462713.15353</v>
      </c>
      <c r="E616" s="15">
        <f t="shared" si="138"/>
        <v>-120927656911.91901</v>
      </c>
      <c r="F616" s="29">
        <f t="shared" si="139"/>
        <v>-91390530124.02684</v>
      </c>
      <c r="G616" s="17">
        <f t="shared" si="140"/>
        <v>15.730934593432014</v>
      </c>
      <c r="H616" s="16">
        <f t="shared" si="141"/>
        <v>1.4324033832126631E-11</v>
      </c>
      <c r="I616" s="16">
        <f t="shared" si="142"/>
        <v>69812736532.159821</v>
      </c>
      <c r="J616" s="16">
        <f t="shared" si="143"/>
        <v>-69794317887.068848</v>
      </c>
      <c r="K616" s="18">
        <f t="shared" si="144"/>
        <v>-1603550057.6979954</v>
      </c>
      <c r="L616" s="17">
        <f t="shared" si="145"/>
        <v>14.47443578003765</v>
      </c>
      <c r="M616" s="16">
        <f t="shared" si="146"/>
        <v>1.6803896727787963E-11</v>
      </c>
      <c r="N616" s="16">
        <f t="shared" si="147"/>
        <v>89265009437.930389</v>
      </c>
      <c r="O616" s="16">
        <f t="shared" si="149"/>
        <v>-89241458713.384277</v>
      </c>
      <c r="P616" s="18">
        <f t="shared" si="148"/>
        <v>-2050355252.4211154</v>
      </c>
    </row>
    <row r="617" spans="1:16" x14ac:dyDescent="0.4">
      <c r="A617" s="14">
        <v>0.60399999999999998</v>
      </c>
      <c r="B617" s="44">
        <f t="shared" si="150"/>
        <v>3.7950439255364699</v>
      </c>
      <c r="C617" s="40">
        <f t="shared" si="136"/>
        <v>6.5977118977955023E-12</v>
      </c>
      <c r="D617" s="15">
        <f t="shared" si="137"/>
        <v>151567697330.66559</v>
      </c>
      <c r="E617" s="15">
        <f t="shared" si="138"/>
        <v>-120343296425.70966</v>
      </c>
      <c r="F617" s="29">
        <f t="shared" si="139"/>
        <v>-92142595359.117325</v>
      </c>
      <c r="G617" s="17">
        <f t="shared" si="140"/>
        <v>15.757022378827424</v>
      </c>
      <c r="H617" s="16">
        <f t="shared" si="141"/>
        <v>1.4327516661048325E-11</v>
      </c>
      <c r="I617" s="16">
        <f t="shared" si="142"/>
        <v>69795765983.554016</v>
      </c>
      <c r="J617" s="16">
        <f t="shared" si="143"/>
        <v>-69711790730.429413</v>
      </c>
      <c r="K617" s="18">
        <f t="shared" si="144"/>
        <v>-3422744861.6354156</v>
      </c>
      <c r="L617" s="17">
        <f t="shared" si="145"/>
        <v>14.498439819473864</v>
      </c>
      <c r="M617" s="16">
        <f t="shared" si="146"/>
        <v>1.6720270522398441E-11</v>
      </c>
      <c r="N617" s="16">
        <f t="shared" si="147"/>
        <v>89711467167.388412</v>
      </c>
      <c r="O617" s="16">
        <f t="shared" si="149"/>
        <v>-89603530202.19577</v>
      </c>
      <c r="P617" s="18">
        <f t="shared" si="148"/>
        <v>-4399399576.0330992</v>
      </c>
    </row>
    <row r="618" spans="1:16" x14ac:dyDescent="0.4">
      <c r="A618" s="14">
        <v>0.60499999999999998</v>
      </c>
      <c r="B618" s="44">
        <f t="shared" si="150"/>
        <v>3.8013271108436495</v>
      </c>
      <c r="C618" s="40">
        <f t="shared" si="136"/>
        <v>6.5981404580638981E-12</v>
      </c>
      <c r="D618" s="15">
        <f t="shared" si="137"/>
        <v>151557852754.99142</v>
      </c>
      <c r="E618" s="15">
        <f t="shared" si="138"/>
        <v>-119754197019.25333</v>
      </c>
      <c r="F618" s="29">
        <f t="shared" si="139"/>
        <v>-92890876990.033401</v>
      </c>
      <c r="G618" s="17">
        <f t="shared" si="140"/>
        <v>15.783110164222833</v>
      </c>
      <c r="H618" s="16">
        <f t="shared" si="141"/>
        <v>1.4333519730792483E-11</v>
      </c>
      <c r="I618" s="16">
        <f t="shared" si="142"/>
        <v>69766534583.387436</v>
      </c>
      <c r="J618" s="16">
        <f t="shared" si="143"/>
        <v>-69569639501.475525</v>
      </c>
      <c r="K618" s="18">
        <f t="shared" si="144"/>
        <v>-5237805591.0592012</v>
      </c>
      <c r="L618" s="17">
        <f t="shared" si="145"/>
        <v>14.52244385891008</v>
      </c>
      <c r="M618" s="16">
        <f t="shared" si="146"/>
        <v>1.6637399425919053E-11</v>
      </c>
      <c r="N618" s="16">
        <f t="shared" si="147"/>
        <v>90158321117.372574</v>
      </c>
      <c r="O618" s="16">
        <f t="shared" si="149"/>
        <v>-89903876344.854492</v>
      </c>
      <c r="P618" s="18">
        <f t="shared" si="148"/>
        <v>-6768743226.9501181</v>
      </c>
    </row>
    <row r="619" spans="1:16" x14ac:dyDescent="0.4">
      <c r="A619" s="14">
        <v>0.60599999999999998</v>
      </c>
      <c r="B619" s="44">
        <f t="shared" si="150"/>
        <v>3.8076102961508291</v>
      </c>
      <c r="C619" s="40">
        <f t="shared" si="136"/>
        <v>6.598572503899037E-12</v>
      </c>
      <c r="D619" s="15">
        <f t="shared" si="137"/>
        <v>151547929405.80844</v>
      </c>
      <c r="E619" s="15">
        <f t="shared" si="138"/>
        <v>-119160383806.04414</v>
      </c>
      <c r="F619" s="29">
        <f t="shared" si="139"/>
        <v>-93635345027.314072</v>
      </c>
      <c r="G619" s="17">
        <f t="shared" si="140"/>
        <v>15.809197949618243</v>
      </c>
      <c r="H619" s="16">
        <f t="shared" si="141"/>
        <v>1.4342038956066347E-11</v>
      </c>
      <c r="I619" s="16">
        <f t="shared" si="142"/>
        <v>69725092998.511444</v>
      </c>
      <c r="J619" s="16">
        <f t="shared" si="143"/>
        <v>-69368110591.250595</v>
      </c>
      <c r="K619" s="18">
        <f t="shared" si="144"/>
        <v>-7046547143.8922119</v>
      </c>
      <c r="L619" s="17">
        <f t="shared" si="145"/>
        <v>14.546447898346296</v>
      </c>
      <c r="M619" s="16">
        <f t="shared" si="146"/>
        <v>1.6555331185878126E-11</v>
      </c>
      <c r="N619" s="16">
        <f t="shared" si="147"/>
        <v>90605254776.148239</v>
      </c>
      <c r="O619" s="16">
        <f t="shared" si="149"/>
        <v>-90141368955.857376</v>
      </c>
      <c r="P619" s="18">
        <f t="shared" si="148"/>
        <v>-9156734997.5155125</v>
      </c>
    </row>
    <row r="620" spans="1:16" x14ac:dyDescent="0.4">
      <c r="A620" s="14">
        <v>0.60699999999999998</v>
      </c>
      <c r="B620" s="44">
        <f t="shared" si="150"/>
        <v>3.8138934814580088</v>
      </c>
      <c r="C620" s="40">
        <f t="shared" si="136"/>
        <v>6.5990080182444889E-12</v>
      </c>
      <c r="D620" s="15">
        <f t="shared" si="137"/>
        <v>151537927705.99277</v>
      </c>
      <c r="E620" s="15">
        <f t="shared" si="138"/>
        <v>-118561882090.98811</v>
      </c>
      <c r="F620" s="29">
        <f t="shared" si="139"/>
        <v>-94375969655.783264</v>
      </c>
      <c r="G620" s="17">
        <f t="shared" si="140"/>
        <v>15.835285735013652</v>
      </c>
      <c r="H620" s="16">
        <f t="shared" si="141"/>
        <v>1.4353068539247888E-11</v>
      </c>
      <c r="I620" s="16">
        <f t="shared" si="142"/>
        <v>69671512907.887283</v>
      </c>
      <c r="J620" s="16">
        <f t="shared" si="143"/>
        <v>-69107552571.919205</v>
      </c>
      <c r="K620" s="18">
        <f t="shared" si="144"/>
        <v>-8846801025.9826851</v>
      </c>
      <c r="L620" s="17">
        <f t="shared" si="145"/>
        <v>14.57045193778251</v>
      </c>
      <c r="M620" s="16">
        <f t="shared" si="146"/>
        <v>1.6474113087225218E-11</v>
      </c>
      <c r="N620" s="16">
        <f t="shared" si="147"/>
        <v>91051942648.321915</v>
      </c>
      <c r="O620" s="16">
        <f t="shared" si="149"/>
        <v>-90314917112.01149</v>
      </c>
      <c r="P620" s="18">
        <f t="shared" si="148"/>
        <v>-11561661086.703642</v>
      </c>
    </row>
    <row r="621" spans="1:16" x14ac:dyDescent="0.4">
      <c r="A621" s="14">
        <v>0.60799999999999998</v>
      </c>
      <c r="B621" s="44">
        <f t="shared" si="150"/>
        <v>3.8201766667651884</v>
      </c>
      <c r="C621" s="40">
        <f t="shared" si="136"/>
        <v>6.599446983906895E-12</v>
      </c>
      <c r="D621" s="15">
        <f t="shared" si="137"/>
        <v>151527848081.59738</v>
      </c>
      <c r="E621" s="15">
        <f t="shared" si="138"/>
        <v>-117958717369.09859</v>
      </c>
      <c r="F621" s="29">
        <f t="shared" si="139"/>
        <v>-95112721235.7883</v>
      </c>
      <c r="G621" s="17">
        <f t="shared" si="140"/>
        <v>15.861373520409062</v>
      </c>
      <c r="H621" s="16">
        <f t="shared" si="141"/>
        <v>1.4366600974331308E-11</v>
      </c>
      <c r="I621" s="16">
        <f t="shared" si="142"/>
        <v>69605886722.036209</v>
      </c>
      <c r="J621" s="16">
        <f t="shared" si="143"/>
        <v>-68788414832.463501</v>
      </c>
      <c r="K621" s="18">
        <f t="shared" si="144"/>
        <v>-10636420976.900679</v>
      </c>
      <c r="L621" s="17">
        <f t="shared" si="145"/>
        <v>14.594455977218725</v>
      </c>
      <c r="M621" s="16">
        <f t="shared" si="146"/>
        <v>1.6393791925087092E-11</v>
      </c>
      <c r="N621" s="16">
        <f t="shared" si="147"/>
        <v>91498050411.667114</v>
      </c>
      <c r="O621" s="16">
        <f t="shared" si="149"/>
        <v>-90423470549.464661</v>
      </c>
      <c r="P621" s="18">
        <f t="shared" si="148"/>
        <v>-13981745346.203129</v>
      </c>
    </row>
    <row r="622" spans="1:16" x14ac:dyDescent="0.4">
      <c r="A622" s="14">
        <v>0.60899999999999999</v>
      </c>
      <c r="B622" s="44">
        <f t="shared" si="150"/>
        <v>3.8264598520723681</v>
      </c>
      <c r="C622" s="40">
        <f t="shared" si="136"/>
        <v>6.5998893835566399E-12</v>
      </c>
      <c r="D622" s="15">
        <f t="shared" si="137"/>
        <v>151517690961.83035</v>
      </c>
      <c r="E622" s="15">
        <f t="shared" si="138"/>
        <v>-117350915324.18365</v>
      </c>
      <c r="F622" s="29">
        <f t="shared" si="139"/>
        <v>-95845570304.427765</v>
      </c>
      <c r="G622" s="17">
        <f t="shared" si="140"/>
        <v>15.887461305804473</v>
      </c>
      <c r="H622" s="16">
        <f t="shared" si="141"/>
        <v>1.4382627052035114E-11</v>
      </c>
      <c r="I622" s="16">
        <f t="shared" si="142"/>
        <v>69528327222.981277</v>
      </c>
      <c r="J622" s="16">
        <f t="shared" si="143"/>
        <v>-68411245827.733025</v>
      </c>
      <c r="K622" s="18">
        <f t="shared" si="144"/>
        <v>-12413288473.383675</v>
      </c>
      <c r="L622" s="17">
        <f t="shared" si="145"/>
        <v>14.618460016654941</v>
      </c>
      <c r="M622" s="16">
        <f t="shared" si="146"/>
        <v>1.631441397780599E-11</v>
      </c>
      <c r="N622" s="16">
        <f t="shared" si="147"/>
        <v>91943235107.346741</v>
      </c>
      <c r="O622" s="16">
        <f t="shared" si="149"/>
        <v>-90466023135.48436</v>
      </c>
      <c r="P622" s="18">
        <f t="shared" si="148"/>
        <v>-16415149711.618425</v>
      </c>
    </row>
    <row r="623" spans="1:16" x14ac:dyDescent="0.4">
      <c r="A623" s="14">
        <v>0.61</v>
      </c>
      <c r="B623" s="44">
        <f t="shared" si="150"/>
        <v>3.8327430373795477</v>
      </c>
      <c r="C623" s="40">
        <f t="shared" si="136"/>
        <v>6.6003351997285456E-12</v>
      </c>
      <c r="D623" s="15">
        <f t="shared" si="137"/>
        <v>151507456779.03259</v>
      </c>
      <c r="E623" s="15">
        <f t="shared" si="138"/>
        <v>-116738501827.52513</v>
      </c>
      <c r="F623" s="29">
        <f t="shared" si="139"/>
        <v>-96574487576.768112</v>
      </c>
      <c r="G623" s="17">
        <f t="shared" si="140"/>
        <v>15.913549091199883</v>
      </c>
      <c r="H623" s="16">
        <f t="shared" si="141"/>
        <v>1.4401135866069348E-11</v>
      </c>
      <c r="I623" s="16">
        <f t="shared" si="142"/>
        <v>69438967127.315933</v>
      </c>
      <c r="J623" s="16">
        <f t="shared" si="143"/>
        <v>-67976690953.663383</v>
      </c>
      <c r="K623" s="18">
        <f t="shared" si="144"/>
        <v>-14175318081.037926</v>
      </c>
      <c r="L623" s="17">
        <f t="shared" si="145"/>
        <v>14.642464056091157</v>
      </c>
      <c r="M623" s="16">
        <f t="shared" si="146"/>
        <v>1.6236024980275587E-11</v>
      </c>
      <c r="N623" s="16">
        <f t="shared" si="147"/>
        <v>92387145364.846512</v>
      </c>
      <c r="O623" s="16">
        <f t="shared" si="149"/>
        <v>-90441616405.99704</v>
      </c>
      <c r="P623" s="18">
        <f t="shared" si="148"/>
        <v>-18859974828.609024</v>
      </c>
    </row>
    <row r="624" spans="1:16" x14ac:dyDescent="0.4">
      <c r="A624" s="14">
        <v>0.61099999999999999</v>
      </c>
      <c r="B624" s="44">
        <f t="shared" si="150"/>
        <v>3.8390262226867273</v>
      </c>
      <c r="C624" s="40">
        <f t="shared" si="136"/>
        <v>6.6007844148225513E-12</v>
      </c>
      <c r="D624" s="15">
        <f t="shared" si="137"/>
        <v>151497145968.65576</v>
      </c>
      <c r="E624" s="15">
        <f t="shared" si="138"/>
        <v>-116121502936.54993</v>
      </c>
      <c r="F624" s="29">
        <f t="shared" si="139"/>
        <v>-97299443947.049454</v>
      </c>
      <c r="G624" s="17">
        <f t="shared" si="140"/>
        <v>15.939636876595292</v>
      </c>
      <c r="H624" s="16">
        <f t="shared" si="141"/>
        <v>1.4422114820557698E-11</v>
      </c>
      <c r="I624" s="16">
        <f t="shared" si="142"/>
        <v>69337958575.573898</v>
      </c>
      <c r="J624" s="16">
        <f t="shared" si="143"/>
        <v>-67485490064.100754</v>
      </c>
      <c r="K624" s="18">
        <f t="shared" si="144"/>
        <v>-15920462626.323416</v>
      </c>
      <c r="L624" s="17">
        <f t="shared" si="145"/>
        <v>14.666468095527371</v>
      </c>
      <c r="M624" s="16">
        <f t="shared" si="146"/>
        <v>1.6158670097590103E-11</v>
      </c>
      <c r="N624" s="16">
        <f t="shared" si="147"/>
        <v>92829421662.845215</v>
      </c>
      <c r="O624" s="16">
        <f t="shared" si="149"/>
        <v>-90349343158.929428</v>
      </c>
      <c r="P624" s="18">
        <f t="shared" si="148"/>
        <v>-21314260883.463173</v>
      </c>
    </row>
    <row r="625" spans="1:16" x14ac:dyDescent="0.4">
      <c r="A625" s="14">
        <v>0.61199999999999999</v>
      </c>
      <c r="B625" s="44">
        <f t="shared" si="150"/>
        <v>3.8453094079939065</v>
      </c>
      <c r="C625" s="40">
        <f t="shared" si="136"/>
        <v>6.6012370111044152E-12</v>
      </c>
      <c r="D625" s="15">
        <f t="shared" si="137"/>
        <v>151486758969.23987</v>
      </c>
      <c r="E625" s="15">
        <f t="shared" si="138"/>
        <v>-115499944893.49326</v>
      </c>
      <c r="F625" s="29">
        <f t="shared" si="139"/>
        <v>-98020410489.880096</v>
      </c>
      <c r="G625" s="17">
        <f t="shared" si="140"/>
        <v>15.9657246619907</v>
      </c>
      <c r="H625" s="16">
        <f t="shared" si="141"/>
        <v>1.4445549638609409E-11</v>
      </c>
      <c r="I625" s="16">
        <f t="shared" si="142"/>
        <v>69225472551.577087</v>
      </c>
      <c r="J625" s="16">
        <f t="shared" si="143"/>
        <v>-66938474647.112091</v>
      </c>
      <c r="K625" s="18">
        <f t="shared" si="144"/>
        <v>-17646718162.510693</v>
      </c>
      <c r="L625" s="17">
        <f t="shared" si="145"/>
        <v>14.690472134963585</v>
      </c>
      <c r="M625" s="16">
        <f t="shared" si="146"/>
        <v>1.6082393899021681E-11</v>
      </c>
      <c r="N625" s="16">
        <f t="shared" si="147"/>
        <v>93269696627.145004</v>
      </c>
      <c r="O625" s="16">
        <f t="shared" si="149"/>
        <v>-90188351092.415146</v>
      </c>
      <c r="P625" s="18">
        <f t="shared" si="148"/>
        <v>-23775988647.181942</v>
      </c>
    </row>
    <row r="626" spans="1:16" x14ac:dyDescent="0.4">
      <c r="A626" s="14">
        <v>0.61299999999999999</v>
      </c>
      <c r="B626" s="44">
        <f t="shared" si="150"/>
        <v>3.8515925933010862</v>
      </c>
      <c r="C626" s="40">
        <f t="shared" si="136"/>
        <v>6.60169297070641E-12</v>
      </c>
      <c r="D626" s="15">
        <f t="shared" si="137"/>
        <v>151476296222.3909</v>
      </c>
      <c r="E626" s="15">
        <f t="shared" si="138"/>
        <v>-114873854124.05418</v>
      </c>
      <c r="F626" s="29">
        <f t="shared" si="139"/>
        <v>-98737358461.420441</v>
      </c>
      <c r="G626" s="17">
        <f t="shared" si="140"/>
        <v>15.99181244738611</v>
      </c>
      <c r="H626" s="16">
        <f t="shared" si="141"/>
        <v>1.4471424372035196E-11</v>
      </c>
      <c r="I626" s="16">
        <f t="shared" si="142"/>
        <v>69101698235.898285</v>
      </c>
      <c r="J626" s="16">
        <f t="shared" si="143"/>
        <v>-66336564680.897476</v>
      </c>
      <c r="K626" s="18">
        <f t="shared" si="144"/>
        <v>-19352128705.190399</v>
      </c>
      <c r="L626" s="17">
        <f t="shared" si="145"/>
        <v>14.714476174399799</v>
      </c>
      <c r="M626" s="16">
        <f t="shared" si="146"/>
        <v>1.600724033234109E-11</v>
      </c>
      <c r="N626" s="16">
        <f t="shared" si="147"/>
        <v>93707595366.666306</v>
      </c>
      <c r="O626" s="16">
        <f t="shared" si="149"/>
        <v>-89957846475.948044</v>
      </c>
      <c r="P626" s="18">
        <f t="shared" si="148"/>
        <v>-26243080741.647362</v>
      </c>
    </row>
    <row r="627" spans="1:16" x14ac:dyDescent="0.4">
      <c r="A627" s="14">
        <v>0.61399999999999999</v>
      </c>
      <c r="B627" s="44">
        <f t="shared" si="150"/>
        <v>3.8578757786082658</v>
      </c>
      <c r="C627" s="40">
        <f t="shared" si="136"/>
        <v>6.602152275628033E-12</v>
      </c>
      <c r="D627" s="15">
        <f t="shared" si="137"/>
        <v>151465758172.75806</v>
      </c>
      <c r="E627" s="15">
        <f t="shared" si="138"/>
        <v>-114243257236.04359</v>
      </c>
      <c r="F627" s="29">
        <f t="shared" si="139"/>
        <v>-99450259300.554855</v>
      </c>
      <c r="G627" s="17">
        <f t="shared" si="140"/>
        <v>16.017900232781521</v>
      </c>
      <c r="H627" s="16">
        <f t="shared" si="141"/>
        <v>1.4499721412200537E-11</v>
      </c>
      <c r="I627" s="16">
        <f t="shared" si="142"/>
        <v>68966842297.988388</v>
      </c>
      <c r="J627" s="16">
        <f t="shared" si="143"/>
        <v>-65680765191.431351</v>
      </c>
      <c r="K627" s="18">
        <f t="shared" si="144"/>
        <v>-21034790714.995483</v>
      </c>
      <c r="L627" s="17">
        <f t="shared" si="145"/>
        <v>14.738480213836016</v>
      </c>
      <c r="M627" s="16">
        <f t="shared" si="146"/>
        <v>1.5933252698496496E-11</v>
      </c>
      <c r="N627" s="16">
        <f t="shared" si="147"/>
        <v>94142735848.377274</v>
      </c>
      <c r="O627" s="16">
        <f t="shared" si="149"/>
        <v>-89657097841.589447</v>
      </c>
      <c r="P627" s="18">
        <f t="shared" si="148"/>
        <v>-28713403135.835304</v>
      </c>
    </row>
    <row r="628" spans="1:16" x14ac:dyDescent="0.4">
      <c r="A628" s="14">
        <v>0.61499999999999999</v>
      </c>
      <c r="B628" s="44">
        <f t="shared" si="150"/>
        <v>3.8641589639154454</v>
      </c>
      <c r="C628" s="40">
        <f t="shared" si="136"/>
        <v>6.6026149077367106E-12</v>
      </c>
      <c r="D628" s="15">
        <f t="shared" si="137"/>
        <v>151455145268.01123</v>
      </c>
      <c r="E628" s="15">
        <f t="shared" si="138"/>
        <v>-113608181018.02457</v>
      </c>
      <c r="F628" s="29">
        <f t="shared" si="139"/>
        <v>-100159084630.05315</v>
      </c>
      <c r="G628" s="17">
        <f t="shared" si="140"/>
        <v>16.043988018176929</v>
      </c>
      <c r="H628" s="16">
        <f t="shared" si="141"/>
        <v>1.4530421502008919E-11</v>
      </c>
      <c r="I628" s="16">
        <f t="shared" si="142"/>
        <v>68821128131.881363</v>
      </c>
      <c r="J628" s="16">
        <f t="shared" si="143"/>
        <v>-64972162535.723152</v>
      </c>
      <c r="K628" s="18">
        <f t="shared" si="144"/>
        <v>-22692857307.452606</v>
      </c>
      <c r="L628" s="17">
        <f t="shared" si="145"/>
        <v>14.762484253272229</v>
      </c>
      <c r="M628" s="16">
        <f t="shared" si="146"/>
        <v>1.5860473626664961E-11</v>
      </c>
      <c r="N628" s="16">
        <f t="shared" si="147"/>
        <v>94574729311.876816</v>
      </c>
      <c r="O628" s="16">
        <f t="shared" si="149"/>
        <v>-89285439681.375107</v>
      </c>
      <c r="P628" s="18">
        <f t="shared" si="148"/>
        <v>-31184766879.332264</v>
      </c>
    </row>
    <row r="629" spans="1:16" x14ac:dyDescent="0.4">
      <c r="A629" s="14">
        <v>0.61599999999999999</v>
      </c>
      <c r="B629" s="44">
        <f t="shared" si="150"/>
        <v>3.8704421492226251</v>
      </c>
      <c r="C629" s="40">
        <f t="shared" si="136"/>
        <v>6.6030808487685202E-12</v>
      </c>
      <c r="D629" s="15">
        <f t="shared" si="137"/>
        <v>151444457958.81793</v>
      </c>
      <c r="E629" s="15">
        <f t="shared" si="138"/>
        <v>-112968652437.94505</v>
      </c>
      <c r="F629" s="29">
        <f t="shared" si="139"/>
        <v>-100863806257.72032</v>
      </c>
      <c r="G629" s="17">
        <f t="shared" si="140"/>
        <v>16.07007580357234</v>
      </c>
      <c r="H629" s="16">
        <f t="shared" si="141"/>
        <v>1.4563503749006987E-11</v>
      </c>
      <c r="I629" s="16">
        <f t="shared" si="142"/>
        <v>68664795040.697884</v>
      </c>
      <c r="J629" s="16">
        <f t="shared" si="143"/>
        <v>-64211920436.088692</v>
      </c>
      <c r="K629" s="18">
        <f t="shared" si="144"/>
        <v>-24324542172.268406</v>
      </c>
      <c r="L629" s="17">
        <f t="shared" si="145"/>
        <v>14.786488292708446</v>
      </c>
      <c r="M629" s="16">
        <f t="shared" si="146"/>
        <v>1.5788945049690849E-11</v>
      </c>
      <c r="N629" s="16">
        <f t="shared" si="147"/>
        <v>95003180724.184631</v>
      </c>
      <c r="O629" s="16">
        <f t="shared" si="149"/>
        <v>-88842276136.133591</v>
      </c>
      <c r="P629" s="18">
        <f t="shared" si="148"/>
        <v>-33654930079.604572</v>
      </c>
    </row>
    <row r="630" spans="1:16" x14ac:dyDescent="0.4">
      <c r="A630" s="14">
        <v>0.61699999999999999</v>
      </c>
      <c r="B630" s="44">
        <f t="shared" si="150"/>
        <v>3.8767253345298047</v>
      </c>
      <c r="C630" s="40">
        <f t="shared" si="136"/>
        <v>6.6035500803289068E-12</v>
      </c>
      <c r="D630" s="15">
        <f t="shared" si="137"/>
        <v>151433696698.82059</v>
      </c>
      <c r="E630" s="15">
        <f t="shared" si="138"/>
        <v>-112324698641.76376</v>
      </c>
      <c r="F630" s="29">
        <f t="shared" si="139"/>
        <v>-101564396177.53526</v>
      </c>
      <c r="G630" s="17">
        <f t="shared" si="140"/>
        <v>16.096163588967748</v>
      </c>
      <c r="H630" s="16">
        <f t="shared" si="141"/>
        <v>1.4598945639602521E-11</v>
      </c>
      <c r="I630" s="16">
        <f t="shared" si="142"/>
        <v>68498097375.422966</v>
      </c>
      <c r="J630" s="16">
        <f t="shared" si="143"/>
        <v>-63401275792.057228</v>
      </c>
      <c r="K630" s="18">
        <f t="shared" si="144"/>
        <v>-25928123186.849148</v>
      </c>
      <c r="L630" s="17">
        <f t="shared" si="145"/>
        <v>14.810492332144658</v>
      </c>
      <c r="M630" s="16">
        <f t="shared" si="146"/>
        <v>1.5718708179925663E-11</v>
      </c>
      <c r="N630" s="16">
        <f t="shared" si="147"/>
        <v>95427689275.105164</v>
      </c>
      <c r="O630" s="16">
        <f t="shared" si="149"/>
        <v>-88327084660.02594</v>
      </c>
      <c r="P630" s="18">
        <f t="shared" si="148"/>
        <v>-36121600128.546806</v>
      </c>
    </row>
    <row r="631" spans="1:16" x14ac:dyDescent="0.4">
      <c r="A631" s="14">
        <v>0.61799999999999999</v>
      </c>
      <c r="B631" s="44">
        <f t="shared" si="150"/>
        <v>3.8830085198369844</v>
      </c>
      <c r="C631" s="40">
        <f t="shared" si="136"/>
        <v>6.6040225838934128E-12</v>
      </c>
      <c r="D631" s="15">
        <f t="shared" si="137"/>
        <v>151422861944.61319</v>
      </c>
      <c r="E631" s="15">
        <f t="shared" si="138"/>
        <v>-111676346952.06807</v>
      </c>
      <c r="F631" s="29">
        <f t="shared" si="139"/>
        <v>-102260826570.77782</v>
      </c>
      <c r="G631" s="17">
        <f t="shared" si="140"/>
        <v>16.122251374363159</v>
      </c>
      <c r="H631" s="16">
        <f t="shared" si="141"/>
        <v>1.4636723054385758E-11</v>
      </c>
      <c r="I631" s="16">
        <f t="shared" si="142"/>
        <v>68321303633.627151</v>
      </c>
      <c r="J631" s="16">
        <f t="shared" si="143"/>
        <v>-62541534297.485748</v>
      </c>
      <c r="K631" s="18">
        <f t="shared" si="144"/>
        <v>-27501945711.434452</v>
      </c>
      <c r="L631" s="17">
        <f t="shared" si="145"/>
        <v>14.834496371580876</v>
      </c>
      <c r="M631" s="16">
        <f t="shared" si="146"/>
        <v>1.5649803485482766E-11</v>
      </c>
      <c r="N631" s="16">
        <f t="shared" si="147"/>
        <v>95847848913.339111</v>
      </c>
      <c r="O631" s="16">
        <f t="shared" si="149"/>
        <v>-87739419644.261642</v>
      </c>
      <c r="P631" s="18">
        <f t="shared" si="148"/>
        <v>-38582436182.833702</v>
      </c>
    </row>
    <row r="632" spans="1:16" x14ac:dyDescent="0.4">
      <c r="A632" s="14">
        <v>0.61899999999999999</v>
      </c>
      <c r="B632" s="44">
        <f t="shared" si="150"/>
        <v>3.889291705144164</v>
      </c>
      <c r="C632" s="40">
        <f t="shared" si="136"/>
        <v>6.6044983408084068E-12</v>
      </c>
      <c r="D632" s="15">
        <f t="shared" si="137"/>
        <v>151411954155.71829</v>
      </c>
      <c r="E632" s="15">
        <f t="shared" si="138"/>
        <v>-111023624866.68561</v>
      </c>
      <c r="F632" s="29">
        <f t="shared" si="139"/>
        <v>-102953069807.1447</v>
      </c>
      <c r="G632" s="17">
        <f t="shared" si="140"/>
        <v>16.148339159758571</v>
      </c>
      <c r="H632" s="16">
        <f t="shared" si="141"/>
        <v>1.4676810284543395E-11</v>
      </c>
      <c r="I632" s="16">
        <f t="shared" si="142"/>
        <v>68134695523.940308</v>
      </c>
      <c r="J632" s="16">
        <f t="shared" si="143"/>
        <v>-61634065891.128693</v>
      </c>
      <c r="K632" s="18">
        <f t="shared" si="144"/>
        <v>-29044425555.828403</v>
      </c>
      <c r="L632" s="17">
        <f t="shared" si="145"/>
        <v>14.858500411017092</v>
      </c>
      <c r="M632" s="16">
        <f t="shared" si="146"/>
        <v>1.5582270666921101E-11</v>
      </c>
      <c r="N632" s="16">
        <f t="shared" si="147"/>
        <v>96263248923.296036</v>
      </c>
      <c r="O632" s="16">
        <f t="shared" si="149"/>
        <v>-87078915982.648743</v>
      </c>
      <c r="P632" s="18">
        <f t="shared" si="148"/>
        <v>-41035051901.456848</v>
      </c>
    </row>
    <row r="633" spans="1:16" x14ac:dyDescent="0.4">
      <c r="A633" s="14">
        <v>0.62</v>
      </c>
      <c r="B633" s="44">
        <f t="shared" si="150"/>
        <v>3.8955748904513436</v>
      </c>
      <c r="C633" s="40">
        <f t="shared" si="136"/>
        <v>6.6049773322918201E-12</v>
      </c>
      <c r="D633" s="15">
        <f t="shared" si="137"/>
        <v>151400973794.56354</v>
      </c>
      <c r="E633" s="15">
        <f t="shared" si="138"/>
        <v>-110366560057.28809</v>
      </c>
      <c r="F633" s="29">
        <f t="shared" si="139"/>
        <v>-103641098445.85371</v>
      </c>
      <c r="G633" s="17">
        <f t="shared" si="140"/>
        <v>16.174426945153979</v>
      </c>
      <c r="H633" s="16">
        <f t="shared" si="141"/>
        <v>1.4719180049354378E-11</v>
      </c>
      <c r="I633" s="16">
        <f t="shared" si="142"/>
        <v>67938567002.165497</v>
      </c>
      <c r="J633" s="16">
        <f t="shared" si="143"/>
        <v>-60680300069.295883</v>
      </c>
      <c r="K633" s="18">
        <f t="shared" si="144"/>
        <v>-30554051610.350159</v>
      </c>
      <c r="L633" s="17">
        <f t="shared" si="145"/>
        <v>14.882504450453306</v>
      </c>
      <c r="M633" s="16">
        <f t="shared" si="146"/>
        <v>1.5516148634371036E-11</v>
      </c>
      <c r="N633" s="16">
        <f t="shared" si="147"/>
        <v>96673474542.337936</v>
      </c>
      <c r="O633" s="16">
        <f t="shared" si="149"/>
        <v>-86345292560.903168</v>
      </c>
      <c r="P633" s="18">
        <f t="shared" si="148"/>
        <v>-43477018442.622086</v>
      </c>
    </row>
    <row r="634" spans="1:16" x14ac:dyDescent="0.4">
      <c r="A634" s="14">
        <v>0.621</v>
      </c>
      <c r="B634" s="44">
        <f t="shared" si="150"/>
        <v>3.9018580757585228</v>
      </c>
      <c r="C634" s="40">
        <f t="shared" si="136"/>
        <v>6.6054595394338886E-12</v>
      </c>
      <c r="D634" s="15">
        <f t="shared" si="137"/>
        <v>151389921326.45831</v>
      </c>
      <c r="E634" s="15">
        <f t="shared" si="138"/>
        <v>-109705180367.98878</v>
      </c>
      <c r="F634" s="29">
        <f t="shared" si="139"/>
        <v>-104324885236.73672</v>
      </c>
      <c r="G634" s="17">
        <f t="shared" si="140"/>
        <v>16.200514730549386</v>
      </c>
      <c r="H634" s="16">
        <f t="shared" si="141"/>
        <v>1.4763803514755313E-11</v>
      </c>
      <c r="I634" s="16">
        <f t="shared" si="142"/>
        <v>67733223284.946526</v>
      </c>
      <c r="J634" s="16">
        <f t="shared" si="143"/>
        <v>-59681721089.353111</v>
      </c>
      <c r="K634" s="18">
        <f t="shared" si="144"/>
        <v>-32029388136.227116</v>
      </c>
      <c r="L634" s="17">
        <f t="shared" si="145"/>
        <v>14.90650848988952</v>
      </c>
      <c r="M634" s="16">
        <f t="shared" si="146"/>
        <v>1.5451475485115652E-11</v>
      </c>
      <c r="N634" s="16">
        <f t="shared" si="147"/>
        <v>97078107617.938782</v>
      </c>
      <c r="O634" s="16">
        <f t="shared" si="149"/>
        <v>-85538355650.995239</v>
      </c>
      <c r="P634" s="18">
        <f t="shared" si="148"/>
        <v>-45905867720.847572</v>
      </c>
    </row>
    <row r="635" spans="1:16" x14ac:dyDescent="0.4">
      <c r="A635" s="14">
        <v>0.622</v>
      </c>
      <c r="B635" s="44">
        <f t="shared" si="150"/>
        <v>3.9081412610657025</v>
      </c>
      <c r="C635" s="40">
        <f t="shared" si="136"/>
        <v>6.6059449431978996E-12</v>
      </c>
      <c r="D635" s="15">
        <f t="shared" si="137"/>
        <v>151378797219.57019</v>
      </c>
      <c r="E635" s="15">
        <f t="shared" si="138"/>
        <v>-109039513813.93283</v>
      </c>
      <c r="F635" s="29">
        <f t="shared" si="139"/>
        <v>-105004403121.32108</v>
      </c>
      <c r="G635" s="17">
        <f t="shared" si="140"/>
        <v>16.226602515944798</v>
      </c>
      <c r="H635" s="16">
        <f t="shared" si="141"/>
        <v>1.4810650312963076E-11</v>
      </c>
      <c r="I635" s="16">
        <f t="shared" si="142"/>
        <v>67518979846.870483</v>
      </c>
      <c r="J635" s="16">
        <f t="shared" si="143"/>
        <v>-58639863092.669228</v>
      </c>
      <c r="K635" s="18">
        <f t="shared" si="144"/>
        <v>-33469076713.215618</v>
      </c>
      <c r="L635" s="17">
        <f t="shared" si="145"/>
        <v>14.930512529325735</v>
      </c>
      <c r="M635" s="16">
        <f t="shared" si="146"/>
        <v>1.5388288481640379E-11</v>
      </c>
      <c r="N635" s="16">
        <f t="shared" si="147"/>
        <v>97476727303.990677</v>
      </c>
      <c r="O635" s="16">
        <f t="shared" si="149"/>
        <v>-84658002191.252075</v>
      </c>
      <c r="P635" s="18">
        <f t="shared" si="148"/>
        <v>-48319095923.687576</v>
      </c>
    </row>
    <row r="636" spans="1:16" x14ac:dyDescent="0.4">
      <c r="A636" s="14">
        <v>0.623</v>
      </c>
      <c r="B636" s="44">
        <f t="shared" si="150"/>
        <v>3.9144244463728821</v>
      </c>
      <c r="C636" s="40">
        <f t="shared" si="136"/>
        <v>6.6064335244209451E-12</v>
      </c>
      <c r="D636" s="15">
        <f t="shared" si="137"/>
        <v>151367601944.90115</v>
      </c>
      <c r="E636" s="15">
        <f t="shared" si="138"/>
        <v>-108369588579.88104</v>
      </c>
      <c r="F636" s="29">
        <f t="shared" si="139"/>
        <v>-105679625233.89908</v>
      </c>
      <c r="G636" s="17">
        <f t="shared" si="140"/>
        <v>16.252690301340206</v>
      </c>
      <c r="H636" s="16">
        <f t="shared" si="141"/>
        <v>1.4859688563141034E-11</v>
      </c>
      <c r="I636" s="16">
        <f t="shared" si="142"/>
        <v>67296161406.80545</v>
      </c>
      <c r="J636" s="16">
        <f t="shared" si="143"/>
        <v>-57556305175.212654</v>
      </c>
      <c r="K636" s="18">
        <f t="shared" si="144"/>
        <v>-34871837844.722214</v>
      </c>
      <c r="L636" s="17">
        <f t="shared" si="145"/>
        <v>14.954516568761949</v>
      </c>
      <c r="M636" s="16">
        <f t="shared" si="146"/>
        <v>1.5326624030163642E-11</v>
      </c>
      <c r="N636" s="16">
        <f t="shared" si="147"/>
        <v>97868910795.222565</v>
      </c>
      <c r="O636" s="16">
        <f t="shared" si="149"/>
        <v>-83704222932.4814</v>
      </c>
      <c r="P636" s="18">
        <f t="shared" si="148"/>
        <v>-50714167286.002914</v>
      </c>
    </row>
    <row r="637" spans="1:16" x14ac:dyDescent="0.4">
      <c r="A637" s="14">
        <v>0.624</v>
      </c>
      <c r="B637" s="44">
        <f t="shared" si="150"/>
        <v>3.9207076316800618</v>
      </c>
      <c r="C637" s="40">
        <f t="shared" si="136"/>
        <v>6.606925263814674E-12</v>
      </c>
      <c r="D637" s="15">
        <f t="shared" si="137"/>
        <v>151356335976.26392</v>
      </c>
      <c r="E637" s="15">
        <f t="shared" si="138"/>
        <v>-107695433018.78708</v>
      </c>
      <c r="F637" s="29">
        <f t="shared" si="139"/>
        <v>-106350524902.58629</v>
      </c>
      <c r="G637" s="17">
        <f t="shared" si="140"/>
        <v>16.278778086735617</v>
      </c>
      <c r="H637" s="16">
        <f t="shared" si="141"/>
        <v>1.4910884893095143E-11</v>
      </c>
      <c r="I637" s="16">
        <f t="shared" si="142"/>
        <v>67065100909.140205</v>
      </c>
      <c r="J637" s="16">
        <f t="shared" si="143"/>
        <v>-56432666433.358337</v>
      </c>
      <c r="K637" s="18">
        <f t="shared" si="144"/>
        <v>-36236472223.085815</v>
      </c>
      <c r="L637" s="17">
        <f t="shared" si="145"/>
        <v>14.978520608198165</v>
      </c>
      <c r="M637" s="16">
        <f t="shared" si="146"/>
        <v>1.5266517659660769E-11</v>
      </c>
      <c r="N637" s="16">
        <f t="shared" si="147"/>
        <v>98254234098.421814</v>
      </c>
      <c r="O637" s="16">
        <f t="shared" si="149"/>
        <v>-82677105430.04126</v>
      </c>
      <c r="P637" s="18">
        <f t="shared" si="148"/>
        <v>-53088518118.113991</v>
      </c>
    </row>
    <row r="638" spans="1:16" x14ac:dyDescent="0.4">
      <c r="A638" s="14">
        <v>0.625</v>
      </c>
      <c r="B638" s="44">
        <f t="shared" si="150"/>
        <v>3.9269908169872414</v>
      </c>
      <c r="C638" s="40">
        <f t="shared" si="136"/>
        <v>6.6074201419660574E-12</v>
      </c>
      <c r="D638" s="15">
        <f t="shared" si="137"/>
        <v>151344999790.25809</v>
      </c>
      <c r="E638" s="15">
        <f t="shared" si="138"/>
        <v>-107017075650.36813</v>
      </c>
      <c r="F638" s="29">
        <f t="shared" si="139"/>
        <v>-107017075650.3681</v>
      </c>
      <c r="G638" s="17">
        <f t="shared" si="140"/>
        <v>16.304865872131028</v>
      </c>
      <c r="H638" s="16">
        <f t="shared" si="141"/>
        <v>1.4964204461984769E-11</v>
      </c>
      <c r="I638" s="16">
        <f t="shared" si="142"/>
        <v>66826138505.418785</v>
      </c>
      <c r="J638" s="16">
        <f t="shared" si="143"/>
        <v>-55270601011.613129</v>
      </c>
      <c r="K638" s="18">
        <f t="shared" si="144"/>
        <v>-37561861659.940193</v>
      </c>
      <c r="L638" s="17">
        <f t="shared" si="145"/>
        <v>15.002524647634383</v>
      </c>
      <c r="M638" s="16">
        <f t="shared" si="146"/>
        <v>1.520800400139345E-11</v>
      </c>
      <c r="N638" s="16">
        <f t="shared" si="147"/>
        <v>98632272838.865692</v>
      </c>
      <c r="O638" s="16">
        <f t="shared" si="149"/>
        <v>-81576836861.574234</v>
      </c>
      <c r="P638" s="18">
        <f t="shared" si="148"/>
        <v>-55439561082.502693</v>
      </c>
    </row>
    <row r="639" spans="1:16" x14ac:dyDescent="0.4">
      <c r="A639" s="14">
        <v>0.626</v>
      </c>
      <c r="B639" s="44">
        <f t="shared" si="150"/>
        <v>3.933274002294421</v>
      </c>
      <c r="C639" s="40">
        <f t="shared" si="136"/>
        <v>6.607918139338153E-12</v>
      </c>
      <c r="D639" s="15">
        <f t="shared" si="137"/>
        <v>151333593866.246</v>
      </c>
      <c r="E639" s="15">
        <f t="shared" si="138"/>
        <v>-106334545159.66908</v>
      </c>
      <c r="F639" s="29">
        <f t="shared" si="139"/>
        <v>-107679251196.13428</v>
      </c>
      <c r="G639" s="17">
        <f t="shared" si="140"/>
        <v>16.330953657526436</v>
      </c>
      <c r="H639" s="16">
        <f t="shared" si="141"/>
        <v>1.5019610984033106E-11</v>
      </c>
      <c r="I639" s="16">
        <f t="shared" si="142"/>
        <v>66579620541.641838</v>
      </c>
      <c r="J639" s="16">
        <f t="shared" si="143"/>
        <v>-54071793177.899689</v>
      </c>
      <c r="K639" s="18">
        <f t="shared" si="144"/>
        <v>-38846969688.708748</v>
      </c>
      <c r="L639" s="17">
        <f t="shared" si="145"/>
        <v>15.026528687070595</v>
      </c>
      <c r="M639" s="16">
        <f t="shared" si="146"/>
        <v>1.5151116768956357E-11</v>
      </c>
      <c r="N639" s="16">
        <f t="shared" si="147"/>
        <v>99002603100.08313</v>
      </c>
      <c r="O639" s="16">
        <f t="shared" si="149"/>
        <v>-80403706650.043579</v>
      </c>
      <c r="P639" s="18">
        <f t="shared" si="148"/>
        <v>-57764689712.023285</v>
      </c>
    </row>
    <row r="640" spans="1:16" x14ac:dyDescent="0.4">
      <c r="A640" s="14">
        <v>0.627</v>
      </c>
      <c r="B640" s="44">
        <f t="shared" si="150"/>
        <v>3.9395571876016007</v>
      </c>
      <c r="C640" s="40">
        <f t="shared" si="136"/>
        <v>6.6084192362708777E-12</v>
      </c>
      <c r="D640" s="15">
        <f t="shared" si="137"/>
        <v>151322118686.3288</v>
      </c>
      <c r="E640" s="15">
        <f t="shared" si="138"/>
        <v>-105647870395.62076</v>
      </c>
      <c r="F640" s="29">
        <f t="shared" si="139"/>
        <v>-108337025455.70235</v>
      </c>
      <c r="G640" s="17">
        <f t="shared" si="140"/>
        <v>16.357041442921847</v>
      </c>
      <c r="H640" s="16">
        <f t="shared" si="141"/>
        <v>1.5077066753220895E-11</v>
      </c>
      <c r="I640" s="16">
        <f t="shared" si="142"/>
        <v>66325898556.254066</v>
      </c>
      <c r="J640" s="16">
        <f t="shared" si="143"/>
        <v>-52837952450.806099</v>
      </c>
      <c r="K640" s="18">
        <f t="shared" si="144"/>
        <v>-40090841848.243332</v>
      </c>
      <c r="L640" s="17">
        <f t="shared" si="145"/>
        <v>15.050532726506813</v>
      </c>
      <c r="M640" s="16">
        <f t="shared" si="146"/>
        <v>1.509588873885246E-11</v>
      </c>
      <c r="N640" s="16">
        <f t="shared" si="147"/>
        <v>99364802294.77533</v>
      </c>
      <c r="O640" s="16">
        <f t="shared" si="149"/>
        <v>-79158108871.78743</v>
      </c>
      <c r="P640" s="18">
        <f t="shared" si="148"/>
        <v>-60061283160.801994</v>
      </c>
    </row>
    <row r="641" spans="1:16" x14ac:dyDescent="0.4">
      <c r="A641" s="14">
        <v>0.628</v>
      </c>
      <c r="B641" s="44">
        <f t="shared" si="150"/>
        <v>3.9458403729087803</v>
      </c>
      <c r="C641" s="40">
        <f t="shared" si="136"/>
        <v>6.6089234129817822E-12</v>
      </c>
      <c r="D641" s="15">
        <f t="shared" si="137"/>
        <v>151310574735.32211</v>
      </c>
      <c r="E641" s="15">
        <f t="shared" si="138"/>
        <v>-104957080369.59166</v>
      </c>
      <c r="F641" s="29">
        <f t="shared" si="139"/>
        <v>-108990372542.82864</v>
      </c>
      <c r="G641" s="17">
        <f t="shared" si="140"/>
        <v>16.383129228317255</v>
      </c>
      <c r="H641" s="16">
        <f t="shared" si="141"/>
        <v>1.513653266894659E-11</v>
      </c>
      <c r="I641" s="16">
        <f t="shared" si="142"/>
        <v>66065328293.549927</v>
      </c>
      <c r="J641" s="16">
        <f t="shared" si="143"/>
        <v>-51570808801.81369</v>
      </c>
      <c r="K641" s="18">
        <f t="shared" si="144"/>
        <v>-41292605658.414253</v>
      </c>
      <c r="L641" s="17">
        <f t="shared" si="145"/>
        <v>15.074536765943025</v>
      </c>
      <c r="M641" s="16">
        <f t="shared" si="146"/>
        <v>1.5042351731608411E-11</v>
      </c>
      <c r="N641" s="16">
        <f t="shared" si="147"/>
        <v>99718450064.430969</v>
      </c>
      <c r="O641" s="16">
        <f t="shared" si="149"/>
        <v>-77840544429.536301</v>
      </c>
      <c r="P641" s="18">
        <f t="shared" si="148"/>
        <v>-62326711177.197517</v>
      </c>
    </row>
    <row r="642" spans="1:16" x14ac:dyDescent="0.4">
      <c r="A642" s="14">
        <v>0.629</v>
      </c>
      <c r="B642" s="44">
        <f t="shared" si="150"/>
        <v>3.95212355821596</v>
      </c>
      <c r="C642" s="40">
        <f t="shared" si="136"/>
        <v>6.6094306495668332E-12</v>
      </c>
      <c r="D642" s="15">
        <f t="shared" si="137"/>
        <v>151298962500.73184</v>
      </c>
      <c r="E642" s="15">
        <f t="shared" si="138"/>
        <v>-104262204253.93394</v>
      </c>
      <c r="F642" s="29">
        <f t="shared" si="139"/>
        <v>-109639266770.20793</v>
      </c>
      <c r="G642" s="17">
        <f t="shared" si="140"/>
        <v>16.409217013712666</v>
      </c>
      <c r="H642" s="16">
        <f t="shared" si="141"/>
        <v>1.5197968262635728E-11</v>
      </c>
      <c r="I642" s="16">
        <f t="shared" si="142"/>
        <v>65798268736.914291</v>
      </c>
      <c r="J642" s="16">
        <f t="shared" si="143"/>
        <v>-50272107953.982101</v>
      </c>
      <c r="K642" s="18">
        <f t="shared" si="144"/>
        <v>-42451470300.077499</v>
      </c>
      <c r="L642" s="17">
        <f t="shared" si="145"/>
        <v>15.098540805379242</v>
      </c>
      <c r="M642" s="16">
        <f t="shared" si="146"/>
        <v>1.499053659344052E-11</v>
      </c>
      <c r="N642" s="16">
        <f t="shared" si="147"/>
        <v>100063129204.8853</v>
      </c>
      <c r="O642" s="16">
        <f t="shared" si="149"/>
        <v>-76451622970.728653</v>
      </c>
      <c r="P642" s="18">
        <f t="shared" si="148"/>
        <v>-64558339286.37822</v>
      </c>
    </row>
    <row r="643" spans="1:16" x14ac:dyDescent="0.4">
      <c r="A643" s="14">
        <v>0.63</v>
      </c>
      <c r="B643" s="44">
        <f t="shared" si="150"/>
        <v>3.9584067435231391</v>
      </c>
      <c r="C643" s="40">
        <f t="shared" si="136"/>
        <v>6.6099409260011981E-12</v>
      </c>
      <c r="D643" s="15">
        <f t="shared" si="137"/>
        <v>151287282472.72974</v>
      </c>
      <c r="E643" s="15">
        <f t="shared" si="138"/>
        <v>-103563271380.52321</v>
      </c>
      <c r="F643" s="29">
        <f t="shared" si="139"/>
        <v>-110283682650.46114</v>
      </c>
      <c r="G643" s="17">
        <f t="shared" si="140"/>
        <v>16.435304799108074</v>
      </c>
      <c r="H643" s="16">
        <f t="shared" si="141"/>
        <v>1.5261331725281076E-11</v>
      </c>
      <c r="I643" s="16">
        <f t="shared" si="142"/>
        <v>65525081165.980782</v>
      </c>
      <c r="J643" s="16">
        <f t="shared" si="143"/>
        <v>-48943606796.944473</v>
      </c>
      <c r="K643" s="18">
        <f t="shared" si="144"/>
        <v>-43566726013.259941</v>
      </c>
      <c r="L643" s="17">
        <f t="shared" si="145"/>
        <v>15.122544844815454</v>
      </c>
      <c r="M643" s="16">
        <f t="shared" si="146"/>
        <v>1.4940473178482303E-11</v>
      </c>
      <c r="N643" s="16">
        <f t="shared" si="147"/>
        <v>100398426614.78372</v>
      </c>
      <c r="O643" s="16">
        <f t="shared" si="149"/>
        <v>-74992064532.031906</v>
      </c>
      <c r="P643" s="18">
        <f t="shared" si="148"/>
        <v>-66753534168.219696</v>
      </c>
    </row>
    <row r="644" spans="1:16" x14ac:dyDescent="0.4">
      <c r="A644" s="14">
        <v>0.63100000000000001</v>
      </c>
      <c r="B644" s="44">
        <f t="shared" si="150"/>
        <v>3.9646899288303188</v>
      </c>
      <c r="C644" s="40">
        <f t="shared" si="136"/>
        <v>6.6104542221400392E-12</v>
      </c>
      <c r="D644" s="15">
        <f t="shared" si="137"/>
        <v>151275535144.12878</v>
      </c>
      <c r="E644" s="15">
        <f t="shared" si="138"/>
        <v>-102860311239.29248</v>
      </c>
      <c r="F644" s="29">
        <f t="shared" si="139"/>
        <v>-110923594897.11118</v>
      </c>
      <c r="G644" s="17">
        <f t="shared" si="140"/>
        <v>16.461392584503486</v>
      </c>
      <c r="H644" s="16">
        <f t="shared" si="141"/>
        <v>1.5326579935895167E-11</v>
      </c>
      <c r="I644" s="16">
        <f t="shared" si="142"/>
        <v>65246128241.433647</v>
      </c>
      <c r="J644" s="16">
        <f t="shared" si="143"/>
        <v>-47587068936.332619</v>
      </c>
      <c r="K644" s="18">
        <f t="shared" si="144"/>
        <v>-44637743228.643768</v>
      </c>
      <c r="L644" s="17">
        <f t="shared" si="145"/>
        <v>15.146548884251672</v>
      </c>
      <c r="M644" s="16">
        <f t="shared" si="146"/>
        <v>1.4892190331583456E-11</v>
      </c>
      <c r="N644" s="16">
        <f t="shared" si="147"/>
        <v>100723934263.63817</v>
      </c>
      <c r="O644" s="16">
        <f t="shared" si="149"/>
        <v>-73462700891.706818</v>
      </c>
      <c r="P644" s="18">
        <f t="shared" si="148"/>
        <v>-68909669214.42392</v>
      </c>
    </row>
    <row r="645" spans="1:16" x14ac:dyDescent="0.4">
      <c r="A645" s="14">
        <v>0.63200000000000001</v>
      </c>
      <c r="B645" s="44">
        <f t="shared" si="150"/>
        <v>3.9709731141374984</v>
      </c>
      <c r="C645" s="40">
        <f t="shared" si="136"/>
        <v>6.6109705177193016E-12</v>
      </c>
      <c r="D645" s="15">
        <f t="shared" si="137"/>
        <v>151263721010.35886</v>
      </c>
      <c r="E645" s="15">
        <f t="shared" si="138"/>
        <v>-102153353476.76088</v>
      </c>
      <c r="F645" s="29">
        <f t="shared" si="139"/>
        <v>-111558978425.54684</v>
      </c>
      <c r="G645" s="17">
        <f t="shared" si="140"/>
        <v>16.487480369898893</v>
      </c>
      <c r="H645" s="16">
        <f t="shared" si="141"/>
        <v>1.5393668490855518E-11</v>
      </c>
      <c r="I645" s="16">
        <f t="shared" si="142"/>
        <v>64961773120.815338</v>
      </c>
      <c r="J645" s="16">
        <f t="shared" si="143"/>
        <v>-46204260393.981514</v>
      </c>
      <c r="K645" s="18">
        <f t="shared" si="144"/>
        <v>-45663971448.456352</v>
      </c>
      <c r="L645" s="17">
        <f t="shared" si="145"/>
        <v>15.170552923687884</v>
      </c>
      <c r="M645" s="16">
        <f t="shared" si="146"/>
        <v>1.4845715871690514E-11</v>
      </c>
      <c r="N645" s="16">
        <f t="shared" si="147"/>
        <v>101039250175.89548</v>
      </c>
      <c r="O645" s="16">
        <f t="shared" si="149"/>
        <v>-71864476612.382278</v>
      </c>
      <c r="P645" s="18">
        <f t="shared" si="148"/>
        <v>-71024130246.948853</v>
      </c>
    </row>
    <row r="646" spans="1:16" x14ac:dyDescent="0.4">
      <c r="A646" s="14">
        <v>0.63300000000000001</v>
      </c>
      <c r="B646" s="44">
        <f t="shared" si="150"/>
        <v>3.9772562994446781</v>
      </c>
      <c r="C646" s="40">
        <f t="shared" si="136"/>
        <v>6.6114897923565216E-12</v>
      </c>
      <c r="D646" s="15">
        <f t="shared" si="137"/>
        <v>151251840569.44174</v>
      </c>
      <c r="E646" s="15">
        <f t="shared" si="138"/>
        <v>-101442427894.55611</v>
      </c>
      <c r="F646" s="29">
        <f t="shared" si="139"/>
        <v>-112189808353.97485</v>
      </c>
      <c r="G646" s="17">
        <f t="shared" si="140"/>
        <v>16.513568155294305</v>
      </c>
      <c r="H646" s="16">
        <f t="shared" si="141"/>
        <v>1.5462551734122878E-11</v>
      </c>
      <c r="I646" s="16">
        <f t="shared" si="142"/>
        <v>64672378608.324547</v>
      </c>
      <c r="J646" s="16">
        <f t="shared" si="143"/>
        <v>-44796945473.428535</v>
      </c>
      <c r="K646" s="18">
        <f t="shared" si="144"/>
        <v>-46644937893.721603</v>
      </c>
      <c r="L646" s="17">
        <f t="shared" si="145"/>
        <v>15.194556963124102</v>
      </c>
      <c r="M646" s="16">
        <f t="shared" si="146"/>
        <v>1.4801076575818407E-11</v>
      </c>
      <c r="N646" s="16">
        <f t="shared" si="147"/>
        <v>101343979427.1897</v>
      </c>
      <c r="O646" s="16">
        <f t="shared" si="149"/>
        <v>-70198449757.895706</v>
      </c>
      <c r="P646" s="18">
        <f t="shared" si="148"/>
        <v>-73094321378.112823</v>
      </c>
    </row>
    <row r="647" spans="1:16" x14ac:dyDescent="0.4">
      <c r="A647" s="14">
        <v>0.63400000000000001</v>
      </c>
      <c r="B647" s="44">
        <f t="shared" si="150"/>
        <v>3.9835394847518577</v>
      </c>
      <c r="C647" s="40">
        <f t="shared" si="136"/>
        <v>6.6120120255516246E-12</v>
      </c>
      <c r="D647" s="15">
        <f t="shared" si="137"/>
        <v>151239894321.96658</v>
      </c>
      <c r="E647" s="15">
        <f t="shared" si="138"/>
        <v>-100727564447.93184</v>
      </c>
      <c r="F647" s="29">
        <f t="shared" si="139"/>
        <v>-112816060004.36002</v>
      </c>
      <c r="G647" s="17">
        <f t="shared" si="140"/>
        <v>16.539655940689713</v>
      </c>
      <c r="H647" s="16">
        <f t="shared" si="141"/>
        <v>1.5533182788311633E-11</v>
      </c>
      <c r="I647" s="16">
        <f t="shared" si="142"/>
        <v>64378306341.214066</v>
      </c>
      <c r="J647" s="16">
        <f t="shared" si="143"/>
        <v>-43366882803.395729</v>
      </c>
      <c r="K647" s="18">
        <f t="shared" si="144"/>
        <v>-47580245935.469307</v>
      </c>
      <c r="L647" s="17">
        <f t="shared" si="145"/>
        <v>15.218561002560314</v>
      </c>
      <c r="M647" s="16">
        <f t="shared" si="146"/>
        <v>1.4758298163622557E-11</v>
      </c>
      <c r="N647" s="16">
        <f t="shared" si="147"/>
        <v>101637735148.71254</v>
      </c>
      <c r="O647" s="16">
        <f t="shared" si="149"/>
        <v>-68465792269.142647</v>
      </c>
      <c r="P647" s="18">
        <f t="shared" si="148"/>
        <v>-75117670991.042068</v>
      </c>
    </row>
    <row r="648" spans="1:16" x14ac:dyDescent="0.4">
      <c r="A648" s="14">
        <v>0.63500000000000001</v>
      </c>
      <c r="B648" s="44">
        <f t="shared" si="150"/>
        <v>3.9898226700590373</v>
      </c>
      <c r="C648" s="40">
        <f t="shared" si="136"/>
        <v>6.6125371966877382E-12</v>
      </c>
      <c r="D648" s="15">
        <f t="shared" si="137"/>
        <v>151227882771.065</v>
      </c>
      <c r="E648" s="15">
        <f t="shared" si="138"/>
        <v>-100008793244.27956</v>
      </c>
      <c r="F648" s="29">
        <f t="shared" si="139"/>
        <v>-113437708903.3533</v>
      </c>
      <c r="G648" s="17">
        <f t="shared" si="140"/>
        <v>16.565743726085124</v>
      </c>
      <c r="H648" s="16">
        <f t="shared" si="141"/>
        <v>1.5605513586591541E-11</v>
      </c>
      <c r="I648" s="16">
        <f t="shared" si="142"/>
        <v>64079916015.017471</v>
      </c>
      <c r="J648" s="16">
        <f t="shared" si="143"/>
        <v>-41915821570.09568</v>
      </c>
      <c r="K648" s="18">
        <f t="shared" si="144"/>
        <v>-48469573327.971375</v>
      </c>
      <c r="L648" s="17">
        <f t="shared" si="145"/>
        <v>15.242565041996532</v>
      </c>
      <c r="M648" s="16">
        <f t="shared" si="146"/>
        <v>1.4717405282579993E-11</v>
      </c>
      <c r="N648" s="16">
        <f t="shared" si="147"/>
        <v>101920139535.42813</v>
      </c>
      <c r="O648" s="16">
        <f t="shared" si="149"/>
        <v>-66667789985.32206</v>
      </c>
      <c r="P648" s="18">
        <f t="shared" si="148"/>
        <v>-77091637817.561844</v>
      </c>
    </row>
    <row r="649" spans="1:16" x14ac:dyDescent="0.4">
      <c r="A649" s="14">
        <v>0.63600000000000001</v>
      </c>
      <c r="B649" s="44">
        <f t="shared" si="150"/>
        <v>3.996105855366217</v>
      </c>
      <c r="C649" s="40">
        <f t="shared" si="136"/>
        <v>6.613065285032006E-12</v>
      </c>
      <c r="D649" s="15">
        <f t="shared" si="137"/>
        <v>151215806422.38589</v>
      </c>
      <c r="E649" s="15">
        <f t="shared" si="138"/>
        <v>-99286144541.63501</v>
      </c>
      <c r="F649" s="29">
        <f t="shared" si="139"/>
        <v>-114054730783.20795</v>
      </c>
      <c r="G649" s="17">
        <f t="shared" si="140"/>
        <v>16.591831511480532</v>
      </c>
      <c r="H649" s="16">
        <f t="shared" si="141"/>
        <v>1.5679494905398766E-11</v>
      </c>
      <c r="I649" s="16">
        <f t="shared" si="142"/>
        <v>63777564649.463287</v>
      </c>
      <c r="J649" s="16">
        <f t="shared" si="143"/>
        <v>-40445497947.399132</v>
      </c>
      <c r="K649" s="18">
        <f t="shared" si="144"/>
        <v>-49312670262.351463</v>
      </c>
      <c r="L649" s="17">
        <f t="shared" si="145"/>
        <v>15.266569081432745</v>
      </c>
      <c r="M649" s="16">
        <f t="shared" si="146"/>
        <v>1.4678421493788372E-11</v>
      </c>
      <c r="N649" s="16">
        <f t="shared" si="147"/>
        <v>102190824853.66504</v>
      </c>
      <c r="O649" s="16">
        <f t="shared" si="149"/>
        <v>-64805842298.600769</v>
      </c>
      <c r="P649" s="18">
        <f t="shared" si="148"/>
        <v>-79013717089.131622</v>
      </c>
    </row>
    <row r="650" spans="1:16" x14ac:dyDescent="0.4">
      <c r="A650" s="14">
        <v>0.63700000000000001</v>
      </c>
      <c r="B650" s="44">
        <f t="shared" si="150"/>
        <v>4.0023890406733962</v>
      </c>
      <c r="C650" s="40">
        <f t="shared" si="136"/>
        <v>6.6135962697364037E-12</v>
      </c>
      <c r="D650" s="15">
        <f t="shared" si="137"/>
        <v>151203665784.07071</v>
      </c>
      <c r="E650" s="15">
        <f t="shared" si="138"/>
        <v>-98559648747.179871</v>
      </c>
      <c r="F650" s="29">
        <f t="shared" si="139"/>
        <v>-114667101582.68359</v>
      </c>
      <c r="G650" s="17">
        <f t="shared" si="140"/>
        <v>16.617919296875943</v>
      </c>
      <c r="H650" s="16">
        <f t="shared" si="141"/>
        <v>1.5755076397934243E-11</v>
      </c>
      <c r="I650" s="16">
        <f t="shared" si="142"/>
        <v>63471605896.567848</v>
      </c>
      <c r="J650" s="16">
        <f t="shared" si="143"/>
        <v>-38957631732.115395</v>
      </c>
      <c r="K650" s="18">
        <f t="shared" si="144"/>
        <v>-50109357259.039978</v>
      </c>
      <c r="L650" s="17">
        <f t="shared" si="145"/>
        <v>15.290573120868961</v>
      </c>
      <c r="M650" s="16">
        <f t="shared" si="146"/>
        <v>1.4641369258390815E-11</v>
      </c>
      <c r="N650" s="16">
        <f t="shared" si="147"/>
        <v>102449434443.45998</v>
      </c>
      <c r="O650" s="16">
        <f t="shared" si="149"/>
        <v>-62881461431.994911</v>
      </c>
      <c r="P650" s="18">
        <f t="shared" si="148"/>
        <v>-80881446735.090851</v>
      </c>
    </row>
    <row r="651" spans="1:16" x14ac:dyDescent="0.4">
      <c r="A651" s="14">
        <v>0.63800000000000001</v>
      </c>
      <c r="B651" s="44">
        <f t="shared" si="150"/>
        <v>4.0086722259805763</v>
      </c>
      <c r="C651" s="40">
        <f t="shared" si="136"/>
        <v>6.6141301298385646E-12</v>
      </c>
      <c r="D651" s="15">
        <f t="shared" si="137"/>
        <v>151191461366.72815</v>
      </c>
      <c r="E651" s="15">
        <f t="shared" si="138"/>
        <v>-97829336415.737762</v>
      </c>
      <c r="F651" s="29">
        <f t="shared" si="139"/>
        <v>-115274797447.93852</v>
      </c>
      <c r="G651" s="17">
        <f t="shared" si="140"/>
        <v>16.644007082271354</v>
      </c>
      <c r="H651" s="16">
        <f t="shared" si="141"/>
        <v>1.5832206628426352E-11</v>
      </c>
      <c r="I651" s="16">
        <f t="shared" si="142"/>
        <v>63162389392.046188</v>
      </c>
      <c r="J651" s="16">
        <f t="shared" si="143"/>
        <v>-37453923189.927979</v>
      </c>
      <c r="K651" s="18">
        <f t="shared" si="144"/>
        <v>-50859522917.497406</v>
      </c>
      <c r="L651" s="17">
        <f t="shared" si="145"/>
        <v>15.314577160305177</v>
      </c>
      <c r="M651" s="16">
        <f t="shared" si="146"/>
        <v>1.4606269924634596E-11</v>
      </c>
      <c r="N651" s="16">
        <f t="shared" si="147"/>
        <v>102695623710.89246</v>
      </c>
      <c r="O651" s="16">
        <f t="shared" si="149"/>
        <v>-60896271332.222122</v>
      </c>
      <c r="P651" s="18">
        <f t="shared" si="148"/>
        <v>-82692413601.258484</v>
      </c>
    </row>
    <row r="652" spans="1:16" x14ac:dyDescent="0.4">
      <c r="A652" s="14">
        <v>0.63900000000000001</v>
      </c>
      <c r="B652" s="44">
        <f t="shared" si="150"/>
        <v>4.0149554112877555</v>
      </c>
      <c r="C652" s="40">
        <f t="shared" si="136"/>
        <v>6.6146668442626061E-12</v>
      </c>
      <c r="D652" s="15">
        <f t="shared" si="137"/>
        <v>151179193683.40894</v>
      </c>
      <c r="E652" s="15">
        <f t="shared" si="138"/>
        <v>-97095238248.266159</v>
      </c>
      <c r="F652" s="29">
        <f t="shared" si="139"/>
        <v>-115877794733.40915</v>
      </c>
      <c r="G652" s="17">
        <f t="shared" si="140"/>
        <v>16.670094867666762</v>
      </c>
      <c r="H652" s="16">
        <f t="shared" si="141"/>
        <v>1.5910833107134697E-11</v>
      </c>
      <c r="I652" s="16">
        <f t="shared" si="142"/>
        <v>62850260150.839142</v>
      </c>
      <c r="J652" s="16">
        <f t="shared" si="143"/>
        <v>-35936050115.864304</v>
      </c>
      <c r="K652" s="18">
        <f t="shared" si="144"/>
        <v>-51563121541.449059</v>
      </c>
      <c r="L652" s="17">
        <f t="shared" si="145"/>
        <v>15.338581199741391</v>
      </c>
      <c r="M652" s="16">
        <f t="shared" si="146"/>
        <v>1.4573143715570987E-11</v>
      </c>
      <c r="N652" s="16">
        <f t="shared" si="147"/>
        <v>102929061105.55219</v>
      </c>
      <c r="O652" s="16">
        <f t="shared" si="149"/>
        <v>-58852006171.347519</v>
      </c>
      <c r="P652" s="18">
        <f t="shared" si="148"/>
        <v>-84444259660.903946</v>
      </c>
    </row>
    <row r="653" spans="1:16" x14ac:dyDescent="0.4">
      <c r="A653" s="14">
        <v>0.64</v>
      </c>
      <c r="B653" s="44">
        <f t="shared" si="150"/>
        <v>4.0212385965949355</v>
      </c>
      <c r="C653" s="40">
        <f t="shared" ref="C653:C716" si="151">((semiejeMayorTierra*(1-(excentricidadTierra^2)))^-1)*(1+excentricidadTierra*COS(Φ))</f>
        <v>6.6152063918199608E-12</v>
      </c>
      <c r="D653" s="15">
        <f t="shared" ref="D653:D716" si="152">1/u0Tierra</f>
        <v>151166863249.58066</v>
      </c>
      <c r="E653" s="15">
        <f t="shared" ref="E653:E716" si="153">r0Tierra*COS(Φ)</f>
        <v>-96357385090.342255</v>
      </c>
      <c r="F653" s="29">
        <f t="shared" ref="F653:F716" si="154">r0Tierra*SIN(Φ)</f>
        <v>-116476070002.6787</v>
      </c>
      <c r="G653" s="17">
        <f t="shared" ref="G653:G716" si="155">Φ*relaciónOrbitas</f>
        <v>16.696182653062174</v>
      </c>
      <c r="H653" s="16">
        <f t="shared" ref="H653:H716" si="156">((semiejeMayorMercurio*(1-(excentricidadMercurio^2)))^-1)*(1+excentricidadMercurio*COS(ΦMercurio))</f>
        <v>1.5990902326071213E-11</v>
      </c>
      <c r="I653" s="16">
        <f t="shared" ref="I653:I716" si="157">1/u0Mercurio</f>
        <v>62535558007.231537</v>
      </c>
      <c r="J653" s="16">
        <f t="shared" ref="J653:J716" si="158">r0Mercurio*COS(ΦMercurio)</f>
        <v>-34405665111.611366</v>
      </c>
      <c r="K653" s="18">
        <f t="shared" ref="K653:K716" si="159">r0Mercurio*SIN(ΦMercurio)</f>
        <v>-52220170657.548294</v>
      </c>
      <c r="L653" s="17">
        <f t="shared" ref="L653:L716" si="160">ΦMercurio*(1-(simulaciónÁngulo*((3/2)*rsSol*((semiejeMayorMercurio*(1-(excentricidadMercurio^2)))^-1))))</f>
        <v>15.362585239177609</v>
      </c>
      <c r="M653" s="16">
        <f t="shared" ref="M653:M716" si="161">((semiejeMayorMercurio*(1-(excentricidadMercurio^2)))^-1)*(1+excentricidadMercurio*COS(ΦLPMercurio))</f>
        <v>1.4542009717403403E-11</v>
      </c>
      <c r="N653" s="16">
        <f t="shared" ref="N653:N716" si="162">1*simulaciónRadio/uMercurio</f>
        <v>103149429078.21393</v>
      </c>
      <c r="O653" s="16">
        <f t="shared" si="149"/>
        <v>-56750508453.263382</v>
      </c>
      <c r="P653" s="18">
        <f t="shared" ref="P653:P716" si="163">rMercurio*SIN(ΦMercurio)</f>
        <v>-86134688189.239792</v>
      </c>
    </row>
    <row r="654" spans="1:16" x14ac:dyDescent="0.4">
      <c r="A654" s="14">
        <v>0.64100000000000001</v>
      </c>
      <c r="B654" s="44">
        <f t="shared" si="150"/>
        <v>4.0275217819021147</v>
      </c>
      <c r="C654" s="40">
        <f t="shared" si="151"/>
        <v>6.6157487512102166E-12</v>
      </c>
      <c r="D654" s="15">
        <f t="shared" si="152"/>
        <v>151154470583.10223</v>
      </c>
      <c r="E654" s="15">
        <f t="shared" si="153"/>
        <v>-95615807930.645615</v>
      </c>
      <c r="F654" s="29">
        <f t="shared" si="154"/>
        <v>-117069600029.33215</v>
      </c>
      <c r="G654" s="17">
        <f t="shared" si="155"/>
        <v>16.722270438457581</v>
      </c>
      <c r="H654" s="16">
        <f t="shared" si="156"/>
        <v>1.6072359795414079E-11</v>
      </c>
      <c r="I654" s="16">
        <f t="shared" si="157"/>
        <v>62218617099.732277</v>
      </c>
      <c r="J654" s="16">
        <f t="shared" si="158"/>
        <v>-32864393080.506359</v>
      </c>
      <c r="K654" s="18">
        <f t="shared" si="159"/>
        <v>-52830748444.945053</v>
      </c>
      <c r="L654" s="17">
        <f t="shared" si="160"/>
        <v>15.386589278613821</v>
      </c>
      <c r="M654" s="16">
        <f t="shared" si="161"/>
        <v>1.4512885868490618E-11</v>
      </c>
      <c r="N654" s="16">
        <f t="shared" si="162"/>
        <v>103356425013.76636</v>
      </c>
      <c r="O654" s="16">
        <f t="shared" ref="O654:O717" si="164">rMercurio*COS(ΦMercurio)</f>
        <v>-54593726723.362251</v>
      </c>
      <c r="P654" s="18">
        <f t="shared" si="163"/>
        <v>-87761469871.927002</v>
      </c>
    </row>
    <row r="655" spans="1:16" x14ac:dyDescent="0.4">
      <c r="A655" s="14">
        <v>0.64200000000000002</v>
      </c>
      <c r="B655" s="44">
        <f t="shared" ref="B655:B718" si="165">A655*2*PI()</f>
        <v>4.0338049672092948</v>
      </c>
      <c r="C655" s="40">
        <f t="shared" si="151"/>
        <v>6.6162939010219527E-12</v>
      </c>
      <c r="D655" s="15">
        <f t="shared" si="152"/>
        <v>151142016204.19855</v>
      </c>
      <c r="E655" s="15">
        <f t="shared" si="153"/>
        <v>-94870537899.434464</v>
      </c>
      <c r="F655" s="29">
        <f t="shared" si="154"/>
        <v>-117658361797.80077</v>
      </c>
      <c r="G655" s="17">
        <f t="shared" si="155"/>
        <v>16.748358223852993</v>
      </c>
      <c r="H655" s="16">
        <f t="shared" si="156"/>
        <v>1.6155150080590004E-11</v>
      </c>
      <c r="I655" s="16">
        <f t="shared" si="157"/>
        <v>61899765400.599663</v>
      </c>
      <c r="J655" s="16">
        <f t="shared" si="158"/>
        <v>-31313828939.635624</v>
      </c>
      <c r="K655" s="18">
        <f t="shared" si="159"/>
        <v>-53394991092.690643</v>
      </c>
      <c r="L655" s="17">
        <f t="shared" si="160"/>
        <v>15.410593318050038</v>
      </c>
      <c r="M655" s="16">
        <f t="shared" si="161"/>
        <v>1.4485788949011237E-11</v>
      </c>
      <c r="N655" s="16">
        <f t="shared" si="162"/>
        <v>103549762134.4529</v>
      </c>
      <c r="O655" s="16">
        <f t="shared" si="164"/>
        <v>-52383712882.162292</v>
      </c>
      <c r="P655" s="18">
        <f t="shared" si="163"/>
        <v>-89322448817.645828</v>
      </c>
    </row>
    <row r="656" spans="1:16" x14ac:dyDescent="0.4">
      <c r="A656" s="14">
        <v>0.64300000000000002</v>
      </c>
      <c r="B656" s="44">
        <f t="shared" si="165"/>
        <v>4.040088152516474</v>
      </c>
      <c r="C656" s="40">
        <f t="shared" si="151"/>
        <v>6.6168418197335872E-12</v>
      </c>
      <c r="D656" s="15">
        <f t="shared" si="152"/>
        <v>151129500635.435</v>
      </c>
      <c r="E656" s="15">
        <f t="shared" si="153"/>
        <v>-94121606267.019363</v>
      </c>
      <c r="F656" s="29">
        <f t="shared" si="154"/>
        <v>-118242332504.19298</v>
      </c>
      <c r="G656" s="17">
        <f t="shared" si="155"/>
        <v>16.7744460092484</v>
      </c>
      <c r="H656" s="16">
        <f t="shared" si="156"/>
        <v>1.6239216839999208E-11</v>
      </c>
      <c r="I656" s="16">
        <f t="shared" si="157"/>
        <v>61579324289.634201</v>
      </c>
      <c r="J656" s="16">
        <f t="shared" si="158"/>
        <v>-29755535547.204353</v>
      </c>
      <c r="K656" s="18">
        <f t="shared" si="159"/>
        <v>-53913090101.263817</v>
      </c>
      <c r="L656" s="17">
        <f t="shared" si="160"/>
        <v>15.434597357486251</v>
      </c>
      <c r="M656" s="16">
        <f t="shared" si="161"/>
        <v>1.4460734571295563E-11</v>
      </c>
      <c r="N656" s="16">
        <f t="shared" si="162"/>
        <v>103729170368.52937</v>
      </c>
      <c r="O656" s="16">
        <f t="shared" si="164"/>
        <v>-50122619106.139709</v>
      </c>
      <c r="P656" s="18">
        <f t="shared" si="163"/>
        <v>-90815548444.549026</v>
      </c>
    </row>
    <row r="657" spans="1:16" x14ac:dyDescent="0.4">
      <c r="A657" s="14">
        <v>0.64400000000000002</v>
      </c>
      <c r="B657" s="44">
        <f t="shared" si="165"/>
        <v>4.0463713378236532</v>
      </c>
      <c r="C657" s="40">
        <f t="shared" si="151"/>
        <v>6.6173924857142291E-12</v>
      </c>
      <c r="D657" s="15">
        <f t="shared" si="152"/>
        <v>151116924401.69171</v>
      </c>
      <c r="E657" s="15">
        <f t="shared" si="153"/>
        <v>-93369044442.230606</v>
      </c>
      <c r="F657" s="29">
        <f t="shared" si="154"/>
        <v>-118821489557.11409</v>
      </c>
      <c r="G657" s="17">
        <f t="shared" si="155"/>
        <v>16.800533794643808</v>
      </c>
      <c r="H657" s="16">
        <f t="shared" si="156"/>
        <v>1.6324502863357902E-11</v>
      </c>
      <c r="I657" s="16">
        <f t="shared" si="157"/>
        <v>61257608171.615891</v>
      </c>
      <c r="J657" s="16">
        <f t="shared" si="158"/>
        <v>-28191041842.148426</v>
      </c>
      <c r="K657" s="18">
        <f t="shared" si="159"/>
        <v>-54385289543.786179</v>
      </c>
      <c r="L657" s="17">
        <f t="shared" si="160"/>
        <v>15.458601396922464</v>
      </c>
      <c r="M657" s="16">
        <f t="shared" si="161"/>
        <v>1.4437737170830272E-11</v>
      </c>
      <c r="N657" s="16">
        <f t="shared" si="162"/>
        <v>103894397179.53665</v>
      </c>
      <c r="O657" s="16">
        <f t="shared" si="164"/>
        <v>-47812694381.531952</v>
      </c>
      <c r="P657" s="18">
        <f t="shared" si="163"/>
        <v>-92238777210.441895</v>
      </c>
    </row>
    <row r="658" spans="1:16" x14ac:dyDescent="0.4">
      <c r="A658" s="14">
        <v>0.64500000000000002</v>
      </c>
      <c r="B658" s="44">
        <f t="shared" si="165"/>
        <v>4.0526545231308333</v>
      </c>
      <c r="C658" s="40">
        <f t="shared" si="151"/>
        <v>6.6179458772245275E-12</v>
      </c>
      <c r="D658" s="15">
        <f t="shared" si="152"/>
        <v>151104288030.13809</v>
      </c>
      <c r="E658" s="15">
        <f t="shared" si="153"/>
        <v>-92612883970.88266</v>
      </c>
      <c r="F658" s="29">
        <f t="shared" si="154"/>
        <v>-119395810578.47365</v>
      </c>
      <c r="G658" s="17">
        <f t="shared" si="155"/>
        <v>16.82662158003922</v>
      </c>
      <c r="H658" s="16">
        <f t="shared" si="156"/>
        <v>1.6410950110631795E-11</v>
      </c>
      <c r="I658" s="16">
        <f t="shared" si="157"/>
        <v>60934924136.546631</v>
      </c>
      <c r="J658" s="16">
        <f t="shared" si="158"/>
        <v>-26621841191.905773</v>
      </c>
      <c r="K658" s="18">
        <f t="shared" si="159"/>
        <v>-54811883301.704224</v>
      </c>
      <c r="L658" s="17">
        <f t="shared" si="160"/>
        <v>15.48260543635868</v>
      </c>
      <c r="M658" s="16">
        <f t="shared" si="161"/>
        <v>1.4416809997941201E-11</v>
      </c>
      <c r="N658" s="16">
        <f t="shared" si="162"/>
        <v>104045208351.51521</v>
      </c>
      <c r="O658" s="16">
        <f t="shared" si="164"/>
        <v>-45456280659.443909</v>
      </c>
      <c r="P658" s="18">
        <f t="shared" si="163"/>
        <v>-93590234156.775558</v>
      </c>
    </row>
    <row r="659" spans="1:16" x14ac:dyDescent="0.4">
      <c r="A659" s="14">
        <v>0.64600000000000002</v>
      </c>
      <c r="B659" s="44">
        <f t="shared" si="165"/>
        <v>4.0589377084380125</v>
      </c>
      <c r="C659" s="40">
        <f t="shared" si="151"/>
        <v>6.6185019724175325E-12</v>
      </c>
      <c r="D659" s="15">
        <f t="shared" si="152"/>
        <v>151091592050.20697</v>
      </c>
      <c r="E659" s="15">
        <f t="shared" si="153"/>
        <v>-91853156534.234253</v>
      </c>
      <c r="F659" s="29">
        <f t="shared" si="154"/>
        <v>-119965273404.27989</v>
      </c>
      <c r="G659" s="17">
        <f t="shared" si="155"/>
        <v>16.852709365434627</v>
      </c>
      <c r="H659" s="16">
        <f t="shared" si="156"/>
        <v>1.6498499751534251E-11</v>
      </c>
      <c r="I659" s="16">
        <f t="shared" si="157"/>
        <v>60611571661.660118</v>
      </c>
      <c r="J659" s="16">
        <f t="shared" si="158"/>
        <v>-25049389943.30098</v>
      </c>
      <c r="K659" s="18">
        <f t="shared" si="159"/>
        <v>-55193212288.876717</v>
      </c>
      <c r="L659" s="17">
        <f t="shared" si="160"/>
        <v>15.506609475794894</v>
      </c>
      <c r="M659" s="16">
        <f t="shared" si="161"/>
        <v>1.4397965110158928E-11</v>
      </c>
      <c r="N659" s="16">
        <f t="shared" si="162"/>
        <v>104181388725.66296</v>
      </c>
      <c r="O659" s="16">
        <f t="shared" si="164"/>
        <v>-43055808643.129219</v>
      </c>
      <c r="P659" s="18">
        <f t="shared" si="163"/>
        <v>-94868114237.04982</v>
      </c>
    </row>
    <row r="660" spans="1:16" x14ac:dyDescent="0.4">
      <c r="A660" s="14">
        <v>0.64700000000000002</v>
      </c>
      <c r="B660" s="44">
        <f t="shared" si="165"/>
        <v>4.0652208937451926</v>
      </c>
      <c r="C660" s="40">
        <f t="shared" si="151"/>
        <v>6.6190607493395588E-12</v>
      </c>
      <c r="D660" s="15">
        <f t="shared" si="152"/>
        <v>151078836993.56873</v>
      </c>
      <c r="E660" s="15">
        <f t="shared" si="153"/>
        <v>-91089893947.443237</v>
      </c>
      <c r="F660" s="29">
        <f t="shared" si="154"/>
        <v>-120529856085.42331</v>
      </c>
      <c r="G660" s="17">
        <f t="shared" si="155"/>
        <v>16.878797150830039</v>
      </c>
      <c r="H660" s="16">
        <f t="shared" si="156"/>
        <v>1.6587092205562395E-11</v>
      </c>
      <c r="I660" s="16">
        <f t="shared" si="157"/>
        <v>60287842353.987473</v>
      </c>
      <c r="J660" s="16">
        <f t="shared" si="158"/>
        <v>-23475106170.651619</v>
      </c>
      <c r="K660" s="18">
        <f t="shared" si="159"/>
        <v>-55529661677.124237</v>
      </c>
      <c r="L660" s="17">
        <f t="shared" si="160"/>
        <v>15.53061351523111</v>
      </c>
      <c r="M660" s="16">
        <f t="shared" si="161"/>
        <v>1.4381213365271653E-11</v>
      </c>
      <c r="N660" s="16">
        <f t="shared" si="162"/>
        <v>104302742884.14786</v>
      </c>
      <c r="O660" s="16">
        <f t="shared" si="164"/>
        <v>-40613793220.841682</v>
      </c>
      <c r="P660" s="18">
        <f t="shared" si="163"/>
        <v>-96070713400.970276</v>
      </c>
    </row>
    <row r="661" spans="1:16" x14ac:dyDescent="0.4">
      <c r="A661" s="14">
        <v>0.64800000000000002</v>
      </c>
      <c r="B661" s="44">
        <f t="shared" si="165"/>
        <v>4.0715040790523718</v>
      </c>
      <c r="C661" s="40">
        <f t="shared" si="151"/>
        <v>6.6196221859310501E-12</v>
      </c>
      <c r="D661" s="15">
        <f t="shared" si="152"/>
        <v>151066023394.10553</v>
      </c>
      <c r="E661" s="15">
        <f t="shared" si="153"/>
        <v>-90323128158.01944</v>
      </c>
      <c r="F661" s="29">
        <f t="shared" si="154"/>
        <v>-121089536888.44644</v>
      </c>
      <c r="G661" s="17">
        <f t="shared" si="155"/>
        <v>16.904884936225447</v>
      </c>
      <c r="H661" s="16">
        <f t="shared" si="156"/>
        <v>1.6676667182543577E-11</v>
      </c>
      <c r="I661" s="16">
        <f t="shared" si="157"/>
        <v>59964019732.117538</v>
      </c>
      <c r="J661" s="16">
        <f t="shared" si="158"/>
        <v>-21900368614.476845</v>
      </c>
      <c r="K661" s="18">
        <f t="shared" si="159"/>
        <v>-55821658135.385223</v>
      </c>
      <c r="L661" s="17">
        <f t="shared" si="160"/>
        <v>15.554617554667324</v>
      </c>
      <c r="M661" s="16">
        <f t="shared" si="161"/>
        <v>1.4366564415069289E-11</v>
      </c>
      <c r="N661" s="16">
        <f t="shared" si="162"/>
        <v>104409095777.04111</v>
      </c>
      <c r="O661" s="16">
        <f t="shared" si="164"/>
        <v>-38132828560.13546</v>
      </c>
      <c r="P661" s="18">
        <f t="shared" si="163"/>
        <v>-97196433406.697906</v>
      </c>
    </row>
    <row r="662" spans="1:16" x14ac:dyDescent="0.4">
      <c r="A662" s="14">
        <v>0.64900000000000002</v>
      </c>
      <c r="B662" s="44">
        <f t="shared" si="165"/>
        <v>4.0777872643595519</v>
      </c>
      <c r="C662" s="40">
        <f t="shared" si="151"/>
        <v>6.6201862600274515E-12</v>
      </c>
      <c r="D662" s="15">
        <f t="shared" si="152"/>
        <v>151053151787.88541</v>
      </c>
      <c r="E662" s="15">
        <f t="shared" si="153"/>
        <v>-89552891244.27153</v>
      </c>
      <c r="F662" s="29">
        <f t="shared" si="154"/>
        <v>-121644294296.30321</v>
      </c>
      <c r="G662" s="17">
        <f t="shared" si="155"/>
        <v>16.930972721620861</v>
      </c>
      <c r="H662" s="16">
        <f t="shared" si="156"/>
        <v>1.676716372366497E-11</v>
      </c>
      <c r="I662" s="16">
        <f t="shared" si="157"/>
        <v>59640379045.658882</v>
      </c>
      <c r="J662" s="16">
        <f t="shared" si="158"/>
        <v>-20326515803.547096</v>
      </c>
      <c r="K662" s="18">
        <f t="shared" si="159"/>
        <v>-56069667093.697083</v>
      </c>
      <c r="L662" s="17">
        <f t="shared" si="160"/>
        <v>15.578621594103543</v>
      </c>
      <c r="M662" s="16">
        <f t="shared" si="161"/>
        <v>1.4354026699782446E-11</v>
      </c>
      <c r="N662" s="16">
        <f t="shared" si="162"/>
        <v>104500293288.62364</v>
      </c>
      <c r="O662" s="16">
        <f t="shared" si="164"/>
        <v>-35615582881.865112</v>
      </c>
      <c r="P662" s="18">
        <f t="shared" si="163"/>
        <v>-98243786334.777206</v>
      </c>
    </row>
    <row r="663" spans="1:16" x14ac:dyDescent="0.4">
      <c r="A663" s="14">
        <v>0.65</v>
      </c>
      <c r="B663" s="44">
        <f t="shared" si="165"/>
        <v>4.0840704496667311</v>
      </c>
      <c r="C663" s="40">
        <f t="shared" si="151"/>
        <v>6.6207529493600834E-12</v>
      </c>
      <c r="D663" s="15">
        <f t="shared" si="152"/>
        <v>151040222713.13614</v>
      </c>
      <c r="E663" s="15">
        <f t="shared" si="153"/>
        <v>-88779215413.752075</v>
      </c>
      <c r="F663" s="29">
        <f t="shared" si="154"/>
        <v>-122194107009.10405</v>
      </c>
      <c r="G663" s="17">
        <f t="shared" si="155"/>
        <v>16.957060507016269</v>
      </c>
      <c r="H663" s="16">
        <f t="shared" si="156"/>
        <v>1.6858520242957983E-11</v>
      </c>
      <c r="I663" s="16">
        <f t="shared" si="157"/>
        <v>59317187130.804832</v>
      </c>
      <c r="J663" s="16">
        <f t="shared" si="158"/>
        <v>-18754845352.502621</v>
      </c>
      <c r="K663" s="18">
        <f t="shared" si="159"/>
        <v>-56274190042.279854</v>
      </c>
      <c r="L663" s="17">
        <f t="shared" si="160"/>
        <v>15.602625633539757</v>
      </c>
      <c r="M663" s="16">
        <f t="shared" si="161"/>
        <v>1.4343607443219436E-11</v>
      </c>
      <c r="N663" s="16">
        <f t="shared" si="162"/>
        <v>104576202739.64522</v>
      </c>
      <c r="O663" s="16">
        <f t="shared" si="164"/>
        <v>-33064792934.4487</v>
      </c>
      <c r="P663" s="18">
        <f t="shared" si="163"/>
        <v>-99211398778.796646</v>
      </c>
    </row>
    <row r="664" spans="1:16" x14ac:dyDescent="0.4">
      <c r="A664" s="14">
        <v>0.65100000000000002</v>
      </c>
      <c r="B664" s="44">
        <f t="shared" si="165"/>
        <v>4.0903536349739111</v>
      </c>
      <c r="C664" s="40">
        <f t="shared" si="151"/>
        <v>6.6213222315570215E-12</v>
      </c>
      <c r="D664" s="15">
        <f t="shared" si="152"/>
        <v>151027236710.21933</v>
      </c>
      <c r="E664" s="15">
        <f t="shared" si="153"/>
        <v>-88002133001.697235</v>
      </c>
      <c r="F664" s="29">
        <f t="shared" si="154"/>
        <v>-122738953944.85083</v>
      </c>
      <c r="G664" s="17">
        <f t="shared" si="155"/>
        <v>16.983148292411681</v>
      </c>
      <c r="H664" s="16">
        <f t="shared" si="156"/>
        <v>1.6950674569209771E-11</v>
      </c>
      <c r="I664" s="16">
        <f t="shared" si="157"/>
        <v>58994702300.312012</v>
      </c>
      <c r="J664" s="16">
        <f t="shared" si="158"/>
        <v>-17186613426.823009</v>
      </c>
      <c r="K664" s="18">
        <f t="shared" si="159"/>
        <v>-56435761875.068069</v>
      </c>
      <c r="L664" s="17">
        <f t="shared" si="160"/>
        <v>15.626629672975973</v>
      </c>
      <c r="M664" s="16">
        <f t="shared" si="161"/>
        <v>1.4335312648604172E-11</v>
      </c>
      <c r="N664" s="16">
        <f t="shared" si="162"/>
        <v>104636713322.47189</v>
      </c>
      <c r="O664" s="16">
        <f t="shared" si="164"/>
        <v>-30483258191.085308</v>
      </c>
      <c r="P664" s="18">
        <f t="shared" si="163"/>
        <v>-100098015689.547</v>
      </c>
    </row>
    <row r="665" spans="1:16" x14ac:dyDescent="0.4">
      <c r="A665" s="14">
        <v>0.65200000000000002</v>
      </c>
      <c r="B665" s="44">
        <f t="shared" si="165"/>
        <v>4.0966368202810903</v>
      </c>
      <c r="C665" s="40">
        <f t="shared" si="151"/>
        <v>6.6218940841439785E-12</v>
      </c>
      <c r="D665" s="15">
        <f t="shared" si="152"/>
        <v>151014194321.60419</v>
      </c>
      <c r="E665" s="15">
        <f t="shared" si="153"/>
        <v>-87221676469.464584</v>
      </c>
      <c r="F665" s="29">
        <f t="shared" si="154"/>
        <v>-123278814240.15758</v>
      </c>
      <c r="G665" s="17">
        <f t="shared" si="155"/>
        <v>17.009236077807088</v>
      </c>
      <c r="H665" s="16">
        <f t="shared" si="156"/>
        <v>1.7043563988272704E-11</v>
      </c>
      <c r="I665" s="16">
        <f t="shared" si="157"/>
        <v>58673174266.138092</v>
      </c>
      <c r="J665" s="16">
        <f t="shared" si="158"/>
        <v>-15623034366.617355</v>
      </c>
      <c r="K665" s="18">
        <f t="shared" si="159"/>
        <v>-56554948286.105812</v>
      </c>
      <c r="L665" s="17">
        <f t="shared" si="160"/>
        <v>15.650633712412187</v>
      </c>
      <c r="M665" s="16">
        <f t="shared" si="161"/>
        <v>1.4329147095117304E-11</v>
      </c>
      <c r="N665" s="16">
        <f t="shared" si="162"/>
        <v>104681736466.44531</v>
      </c>
      <c r="O665" s="16">
        <f t="shared" si="164"/>
        <v>-27873834794.657047</v>
      </c>
      <c r="P665" s="18">
        <f t="shared" si="163"/>
        <v>-100902503851.34392</v>
      </c>
    </row>
    <row r="666" spans="1:16" x14ac:dyDescent="0.4">
      <c r="A666" s="14">
        <v>0.65300000000000002</v>
      </c>
      <c r="B666" s="44">
        <f t="shared" si="165"/>
        <v>4.1029200055882695</v>
      </c>
      <c r="C666" s="40">
        <f t="shared" si="151"/>
        <v>6.6224684845451938E-12</v>
      </c>
      <c r="D666" s="15">
        <f t="shared" si="152"/>
        <v>151001096091.84137</v>
      </c>
      <c r="E666" s="15">
        <f t="shared" si="153"/>
        <v>-86437878402.965881</v>
      </c>
      <c r="F666" s="29">
        <f t="shared" si="154"/>
        <v>-123813667250.9606</v>
      </c>
      <c r="G666" s="17">
        <f t="shared" si="155"/>
        <v>17.035323863202496</v>
      </c>
      <c r="H666" s="16">
        <f t="shared" si="156"/>
        <v>1.7137125285743574E-11</v>
      </c>
      <c r="I666" s="16">
        <f t="shared" si="157"/>
        <v>58352844092.92981</v>
      </c>
      <c r="J666" s="16">
        <f t="shared" si="158"/>
        <v>-14065280460.438148</v>
      </c>
      <c r="K666" s="18">
        <f t="shared" si="159"/>
        <v>-56632343226.313622</v>
      </c>
      <c r="L666" s="17">
        <f t="shared" si="160"/>
        <v>15.674637751848401</v>
      </c>
      <c r="M666" s="16">
        <f t="shared" si="161"/>
        <v>1.4325114335142621E-11</v>
      </c>
      <c r="N666" s="16">
        <f t="shared" si="162"/>
        <v>104711206131.19113</v>
      </c>
      <c r="O666" s="16">
        <f t="shared" si="164"/>
        <v>-25239429276.83968</v>
      </c>
      <c r="P666" s="18">
        <f t="shared" si="163"/>
        <v>-101623854971.30193</v>
      </c>
    </row>
    <row r="667" spans="1:16" x14ac:dyDescent="0.4">
      <c r="A667" s="14">
        <v>0.65400000000000003</v>
      </c>
      <c r="B667" s="44">
        <f t="shared" si="165"/>
        <v>4.1092031908954496</v>
      </c>
      <c r="C667" s="40">
        <f t="shared" si="151"/>
        <v>6.6230454100843235E-12</v>
      </c>
      <c r="D667" s="15">
        <f t="shared" si="152"/>
        <v>150987942567.5368</v>
      </c>
      <c r="E667" s="15">
        <f t="shared" si="153"/>
        <v>-85650771511.097656</v>
      </c>
      <c r="F667" s="29">
        <f t="shared" si="154"/>
        <v>-124343492553.21539</v>
      </c>
      <c r="G667" s="17">
        <f t="shared" si="155"/>
        <v>17.061411648597907</v>
      </c>
      <c r="H667" s="16">
        <f t="shared" si="156"/>
        <v>1.7231294789983114E-11</v>
      </c>
      <c r="I667" s="16">
        <f t="shared" si="157"/>
        <v>58033944180.522026</v>
      </c>
      <c r="J667" s="16">
        <f t="shared" si="158"/>
        <v>-12514481860.175119</v>
      </c>
      <c r="K667" s="18">
        <f t="shared" si="159"/>
        <v>-56668566427.246902</v>
      </c>
      <c r="L667" s="17">
        <f t="shared" si="160"/>
        <v>15.698641791284617</v>
      </c>
      <c r="M667" s="16">
        <f t="shared" si="161"/>
        <v>1.4323216692220287E-11</v>
      </c>
      <c r="N667" s="16">
        <f t="shared" si="162"/>
        <v>104725079026.04944</v>
      </c>
      <c r="O667" s="16">
        <f t="shared" si="164"/>
        <v>-22582992079.603863</v>
      </c>
      <c r="P667" s="18">
        <f t="shared" si="163"/>
        <v>-102261188364.62273</v>
      </c>
    </row>
    <row r="668" spans="1:16" x14ac:dyDescent="0.4">
      <c r="A668" s="14">
        <v>0.65500000000000003</v>
      </c>
      <c r="B668" s="44">
        <f t="shared" si="165"/>
        <v>4.1154863762026288</v>
      </c>
      <c r="C668" s="40">
        <f t="shared" si="151"/>
        <v>6.6236248379853349E-12</v>
      </c>
      <c r="D668" s="15">
        <f t="shared" si="152"/>
        <v>150974734297.32526</v>
      </c>
      <c r="E668" s="15">
        <f t="shared" si="153"/>
        <v>-84860388624.168533</v>
      </c>
      <c r="F668" s="29">
        <f t="shared" si="154"/>
        <v>-124868269943.58113</v>
      </c>
      <c r="G668" s="17">
        <f t="shared" si="155"/>
        <v>17.087499433993315</v>
      </c>
      <c r="H668" s="16">
        <f t="shared" si="156"/>
        <v>1.7326008415446657E-11</v>
      </c>
      <c r="I668" s="16">
        <f t="shared" si="157"/>
        <v>57716698273.589081</v>
      </c>
      <c r="J668" s="16">
        <f t="shared" si="158"/>
        <v>-10971726627.989094</v>
      </c>
      <c r="K668" s="18">
        <f t="shared" si="159"/>
        <v>-56664260997.609383</v>
      </c>
      <c r="L668" s="17">
        <f t="shared" si="160"/>
        <v>15.722645830720831</v>
      </c>
      <c r="M668" s="16">
        <f t="shared" si="161"/>
        <v>1.4323455259708094E-11</v>
      </c>
      <c r="N668" s="16">
        <f t="shared" si="162"/>
        <v>104723334754.25464</v>
      </c>
      <c r="O668" s="16">
        <f t="shared" si="164"/>
        <v>-19907510908.690475</v>
      </c>
      <c r="P668" s="18">
        <f t="shared" si="163"/>
        <v>-102813753221.40538</v>
      </c>
    </row>
    <row r="669" spans="1:16" x14ac:dyDescent="0.4">
      <c r="A669" s="14">
        <v>0.65600000000000003</v>
      </c>
      <c r="B669" s="44">
        <f t="shared" si="165"/>
        <v>4.1217695615098089</v>
      </c>
      <c r="C669" s="40">
        <f t="shared" si="151"/>
        <v>6.6242067453734074E-12</v>
      </c>
      <c r="D669" s="15">
        <f t="shared" si="152"/>
        <v>150961471831.84421</v>
      </c>
      <c r="E669" s="15">
        <f t="shared" si="153"/>
        <v>-84066762692.322449</v>
      </c>
      <c r="F669" s="29">
        <f t="shared" si="154"/>
        <v>-125387979440.09401</v>
      </c>
      <c r="G669" s="17">
        <f t="shared" si="155"/>
        <v>17.113587219388727</v>
      </c>
      <c r="H669" s="16">
        <f t="shared" si="156"/>
        <v>1.7421201706296624E-11</v>
      </c>
      <c r="I669" s="16">
        <f t="shared" si="157"/>
        <v>57401321496.585709</v>
      </c>
      <c r="J669" s="16">
        <f t="shared" si="158"/>
        <v>-9438060906.2284336</v>
      </c>
      <c r="K669" s="18">
        <f t="shared" si="159"/>
        <v>-56620091097.460411</v>
      </c>
      <c r="L669" s="17">
        <f t="shared" si="160"/>
        <v>15.746649870157047</v>
      </c>
      <c r="M669" s="16">
        <f t="shared" si="161"/>
        <v>1.4325829900151515E-11</v>
      </c>
      <c r="N669" s="16">
        <f t="shared" si="162"/>
        <v>104705975880.95999</v>
      </c>
      <c r="O669" s="16">
        <f t="shared" si="164"/>
        <v>-17216003949.828335</v>
      </c>
      <c r="P669" s="18">
        <f t="shared" si="163"/>
        <v>-103280930443.05745</v>
      </c>
    </row>
    <row r="670" spans="1:16" x14ac:dyDescent="0.4">
      <c r="A670" s="14">
        <v>0.65700000000000003</v>
      </c>
      <c r="B670" s="44">
        <f t="shared" si="165"/>
        <v>4.1280527468169881</v>
      </c>
      <c r="C670" s="40">
        <f t="shared" si="151"/>
        <v>6.6247911092758325E-12</v>
      </c>
      <c r="D670" s="15">
        <f t="shared" si="152"/>
        <v>150948155723.70731</v>
      </c>
      <c r="E670" s="15">
        <f t="shared" si="153"/>
        <v>-83269926783.960403</v>
      </c>
      <c r="F670" s="29">
        <f t="shared" si="154"/>
        <v>-125902601282.82681</v>
      </c>
      <c r="G670" s="17">
        <f t="shared" si="155"/>
        <v>17.139675004784134</v>
      </c>
      <c r="H670" s="16">
        <f t="shared" si="156"/>
        <v>1.7516809880266803E-11</v>
      </c>
      <c r="I670" s="16">
        <f t="shared" si="157"/>
        <v>57088020412.125908</v>
      </c>
      <c r="J670" s="16">
        <f t="shared" si="158"/>
        <v>-7914489201.3235378</v>
      </c>
      <c r="K670" s="18">
        <f t="shared" si="159"/>
        <v>-56536739694.268166</v>
      </c>
      <c r="L670" s="17">
        <f t="shared" si="160"/>
        <v>15.770653909593261</v>
      </c>
      <c r="M670" s="16">
        <f t="shared" si="161"/>
        <v>1.4330339245362878E-11</v>
      </c>
      <c r="N670" s="16">
        <f t="shared" si="162"/>
        <v>104673027924.67957</v>
      </c>
      <c r="O670" s="16">
        <f t="shared" si="164"/>
        <v>-14511512979.415701</v>
      </c>
      <c r="P670" s="18">
        <f t="shared" si="163"/>
        <v>-103662234039.06071</v>
      </c>
    </row>
    <row r="671" spans="1:16" x14ac:dyDescent="0.4">
      <c r="A671" s="14">
        <v>0.65800000000000003</v>
      </c>
      <c r="B671" s="44">
        <f t="shared" si="165"/>
        <v>4.1343359321241682</v>
      </c>
      <c r="C671" s="40">
        <f t="shared" si="151"/>
        <v>6.6253779066229239E-12</v>
      </c>
      <c r="D671" s="15">
        <f t="shared" si="152"/>
        <v>150934786527.478</v>
      </c>
      <c r="E671" s="15">
        <f t="shared" si="153"/>
        <v>-82469914084.157669</v>
      </c>
      <c r="F671" s="29">
        <f t="shared" si="154"/>
        <v>-126412115934.53773</v>
      </c>
      <c r="G671" s="17">
        <f t="shared" si="155"/>
        <v>17.165762790179546</v>
      </c>
      <c r="H671" s="16">
        <f t="shared" si="156"/>
        <v>1.761276787274899E-11</v>
      </c>
      <c r="I671" s="16">
        <f t="shared" si="157"/>
        <v>56776993100.96685</v>
      </c>
      <c r="J671" s="16">
        <f t="shared" si="158"/>
        <v>-6401974772.7455473</v>
      </c>
      <c r="K671" s="18">
        <f t="shared" si="159"/>
        <v>-56414906404.215256</v>
      </c>
      <c r="L671" s="17">
        <f t="shared" si="160"/>
        <v>15.794657949029476</v>
      </c>
      <c r="M671" s="16">
        <f t="shared" si="161"/>
        <v>1.4336980697209701E-11</v>
      </c>
      <c r="N671" s="16">
        <f t="shared" si="162"/>
        <v>104624539272.20071</v>
      </c>
      <c r="O671" s="16">
        <f t="shared" si="164"/>
        <v>-11797096402.052134</v>
      </c>
      <c r="P671" s="18">
        <f t="shared" si="163"/>
        <v>-103957312077.60693</v>
      </c>
    </row>
    <row r="672" spans="1:16" x14ac:dyDescent="0.4">
      <c r="A672" s="14">
        <v>0.65900000000000003</v>
      </c>
      <c r="B672" s="44">
        <f t="shared" si="165"/>
        <v>4.1406191174313474</v>
      </c>
      <c r="C672" s="40">
        <f t="shared" si="151"/>
        <v>6.6259671142489282E-12</v>
      </c>
      <c r="D672" s="15">
        <f t="shared" si="152"/>
        <v>150921364799.64294</v>
      </c>
      <c r="E672" s="15">
        <f t="shared" si="153"/>
        <v>-81666757893.079803</v>
      </c>
      <c r="F672" s="29">
        <f t="shared" si="154"/>
        <v>-126916504081.30533</v>
      </c>
      <c r="G672" s="17">
        <f t="shared" si="155"/>
        <v>17.191850575574954</v>
      </c>
      <c r="H672" s="16">
        <f t="shared" si="156"/>
        <v>1.7709010381071552E-11</v>
      </c>
      <c r="I672" s="16">
        <f t="shared" si="157"/>
        <v>56468429261.798828</v>
      </c>
      <c r="J672" s="16">
        <f t="shared" si="158"/>
        <v>-4901440118.281126</v>
      </c>
      <c r="K672" s="18">
        <f t="shared" si="159"/>
        <v>-56255305421.459427</v>
      </c>
      <c r="L672" s="17">
        <f t="shared" si="160"/>
        <v>15.81866198846569</v>
      </c>
      <c r="M672" s="16">
        <f t="shared" si="161"/>
        <v>1.434575042911162E-11</v>
      </c>
      <c r="N672" s="16">
        <f t="shared" si="162"/>
        <v>104560581017.50272</v>
      </c>
      <c r="O672" s="16">
        <f t="shared" si="164"/>
        <v>-9075822247.7542648</v>
      </c>
      <c r="P672" s="18">
        <f t="shared" si="163"/>
        <v>-104165947186.42421</v>
      </c>
    </row>
    <row r="673" spans="1:16" x14ac:dyDescent="0.4">
      <c r="A673" s="14">
        <v>0.66</v>
      </c>
      <c r="B673" s="44">
        <f t="shared" si="165"/>
        <v>4.1469023027385274</v>
      </c>
      <c r="C673" s="40">
        <f t="shared" si="151"/>
        <v>6.626558708892936E-12</v>
      </c>
      <c r="D673" s="15">
        <f t="shared" si="152"/>
        <v>150907891098.58572</v>
      </c>
      <c r="E673" s="15">
        <f t="shared" si="153"/>
        <v>-80860491624.394592</v>
      </c>
      <c r="F673" s="29">
        <f t="shared" si="154"/>
        <v>-127415746633.15292</v>
      </c>
      <c r="G673" s="17">
        <f t="shared" si="155"/>
        <v>17.217938360970365</v>
      </c>
      <c r="H673" s="16">
        <f t="shared" si="156"/>
        <v>1.7805471908940218E-11</v>
      </c>
      <c r="I673" s="16">
        <f t="shared" si="157"/>
        <v>56162510329.08007</v>
      </c>
      <c r="J673" s="16">
        <f t="shared" si="158"/>
        <v>-3413767547.0589871</v>
      </c>
      <c r="K673" s="18">
        <f t="shared" si="159"/>
        <v>-56058663537.393326</v>
      </c>
      <c r="L673" s="17">
        <f t="shared" si="160"/>
        <v>15.842666027901906</v>
      </c>
      <c r="M673" s="16">
        <f t="shared" si="161"/>
        <v>1.4356643388245153E-11</v>
      </c>
      <c r="N673" s="16">
        <f t="shared" si="162"/>
        <v>104481246725.69084</v>
      </c>
      <c r="O673" s="16">
        <f t="shared" si="164"/>
        <v>-6350761161.8233852</v>
      </c>
      <c r="P673" s="18">
        <f t="shared" si="163"/>
        <v>-104288056602.95027</v>
      </c>
    </row>
    <row r="674" spans="1:16" x14ac:dyDescent="0.4">
      <c r="A674" s="14">
        <v>0.66100000000000003</v>
      </c>
      <c r="B674" s="44">
        <f t="shared" si="165"/>
        <v>4.1531854880457066</v>
      </c>
      <c r="C674" s="40">
        <f t="shared" si="151"/>
        <v>6.6271526671998048E-12</v>
      </c>
      <c r="D674" s="15">
        <f t="shared" si="152"/>
        <v>150894365984.55997</v>
      </c>
      <c r="E674" s="15">
        <f t="shared" si="153"/>
        <v>-80051148803.682678</v>
      </c>
      <c r="F674" s="29">
        <f t="shared" si="154"/>
        <v>-127909824724.65898</v>
      </c>
      <c r="G674" s="17">
        <f t="shared" si="155"/>
        <v>17.244026146365776</v>
      </c>
      <c r="H674" s="16">
        <f t="shared" si="156"/>
        <v>1.7902086811010443E-11</v>
      </c>
      <c r="I674" s="16">
        <f t="shared" si="157"/>
        <v>55859409607.206413</v>
      </c>
      <c r="J674" s="16">
        <f t="shared" si="158"/>
        <v>-1939799832.0120301</v>
      </c>
      <c r="K674" s="18">
        <f t="shared" si="159"/>
        <v>-55825718251.334572</v>
      </c>
      <c r="L674" s="17">
        <f t="shared" si="160"/>
        <v>15.866670067338124</v>
      </c>
      <c r="M674" s="16">
        <f t="shared" si="161"/>
        <v>1.4369653298454959E-11</v>
      </c>
      <c r="N674" s="16">
        <f t="shared" si="162"/>
        <v>104386652123.42191</v>
      </c>
      <c r="O674" s="16">
        <f t="shared" si="164"/>
        <v>-3624979420.2477379</v>
      </c>
      <c r="P674" s="18">
        <f t="shared" si="163"/>
        <v>-104323691775.83337</v>
      </c>
    </row>
    <row r="675" spans="1:16" x14ac:dyDescent="0.4">
      <c r="A675" s="14">
        <v>0.66200000000000003</v>
      </c>
      <c r="B675" s="44">
        <f t="shared" si="165"/>
        <v>4.1594686733528867</v>
      </c>
      <c r="C675" s="40">
        <f t="shared" si="151"/>
        <v>6.6277489657210774E-12</v>
      </c>
      <c r="D675" s="15">
        <f t="shared" si="152"/>
        <v>150880790019.66293</v>
      </c>
      <c r="E675" s="15">
        <f t="shared" si="153"/>
        <v>-79238763066.844376</v>
      </c>
      <c r="F675" s="29">
        <f t="shared" si="154"/>
        <v>-128398719715.55681</v>
      </c>
      <c r="G675" s="17">
        <f t="shared" si="155"/>
        <v>17.270113931761188</v>
      </c>
      <c r="H675" s="16">
        <f t="shared" si="156"/>
        <v>1.7998789337561346E-11</v>
      </c>
      <c r="I675" s="16">
        <f t="shared" si="157"/>
        <v>55559292419.358353</v>
      </c>
      <c r="J675" s="16">
        <f t="shared" si="158"/>
        <v>-480340933.71509427</v>
      </c>
      <c r="K675" s="18">
        <f t="shared" si="159"/>
        <v>-55557215973.509407</v>
      </c>
      <c r="L675" s="17">
        <f t="shared" si="160"/>
        <v>15.890674106774339</v>
      </c>
      <c r="M675" s="16">
        <f t="shared" si="161"/>
        <v>1.4384772663869948E-11</v>
      </c>
      <c r="N675" s="16">
        <f t="shared" si="162"/>
        <v>104276934717.74713</v>
      </c>
      <c r="O675" s="16">
        <f t="shared" si="164"/>
        <v>-901532003.12929857</v>
      </c>
      <c r="P675" s="18">
        <f t="shared" si="163"/>
        <v>-104273037522.53807</v>
      </c>
    </row>
    <row r="676" spans="1:16" x14ac:dyDescent="0.4">
      <c r="A676" s="14">
        <v>0.66300000000000003</v>
      </c>
      <c r="B676" s="44">
        <f t="shared" si="165"/>
        <v>4.1657518586600659</v>
      </c>
      <c r="C676" s="40">
        <f t="shared" si="151"/>
        <v>6.6283475809159084E-12</v>
      </c>
      <c r="D676" s="15">
        <f t="shared" si="152"/>
        <v>150867163767.80884</v>
      </c>
      <c r="E676" s="15">
        <f t="shared" si="153"/>
        <v>-78423368158.505768</v>
      </c>
      <c r="F676" s="29">
        <f t="shared" si="154"/>
        <v>-128882413191.32071</v>
      </c>
      <c r="G676" s="17">
        <f t="shared" si="155"/>
        <v>17.296201717156595</v>
      </c>
      <c r="H676" s="16">
        <f t="shared" si="156"/>
        <v>1.8095513679240596E-11</v>
      </c>
      <c r="I676" s="16">
        <f t="shared" si="157"/>
        <v>55262316269.430511</v>
      </c>
      <c r="J676" s="16">
        <f t="shared" si="158"/>
        <v>963843212.15785539</v>
      </c>
      <c r="K676" s="18">
        <f t="shared" si="159"/>
        <v>-55253910320.672707</v>
      </c>
      <c r="L676" s="17">
        <f t="shared" si="160"/>
        <v>15.914678146210553</v>
      </c>
      <c r="M676" s="16">
        <f t="shared" si="161"/>
        <v>1.4401992773222151E-11</v>
      </c>
      <c r="N676" s="16">
        <f t="shared" si="162"/>
        <v>104152253345.72958</v>
      </c>
      <c r="O676" s="16">
        <f t="shared" si="164"/>
        <v>1816544241.9893205</v>
      </c>
      <c r="P676" s="18">
        <f t="shared" si="163"/>
        <v>-104136410750.56282</v>
      </c>
    </row>
    <row r="677" spans="1:16" x14ac:dyDescent="0.4">
      <c r="A677" s="14">
        <v>0.66400000000000003</v>
      </c>
      <c r="B677" s="44">
        <f t="shared" si="165"/>
        <v>4.1720350439672451</v>
      </c>
      <c r="C677" s="40">
        <f t="shared" si="151"/>
        <v>6.6289484891519959E-12</v>
      </c>
      <c r="D677" s="15">
        <f t="shared" si="152"/>
        <v>150853487794.70218</v>
      </c>
      <c r="E677" s="15">
        <f t="shared" si="153"/>
        <v>-77604997930.420807</v>
      </c>
      <c r="F677" s="29">
        <f t="shared" si="154"/>
        <v>-129360886963.74088</v>
      </c>
      <c r="G677" s="17">
        <f t="shared" si="155"/>
        <v>17.322289502552003</v>
      </c>
      <c r="H677" s="16">
        <f t="shared" si="156"/>
        <v>1.8192194011849954E-11</v>
      </c>
      <c r="I677" s="16">
        <f t="shared" si="157"/>
        <v>54968631015.512711</v>
      </c>
      <c r="J677" s="16">
        <f t="shared" si="158"/>
        <v>2392023851.2018514</v>
      </c>
      <c r="K677" s="18">
        <f t="shared" si="159"/>
        <v>-54916560504.231026</v>
      </c>
      <c r="L677" s="17">
        <f t="shared" si="160"/>
        <v>15.938682185646766</v>
      </c>
      <c r="M677" s="16">
        <f t="shared" si="161"/>
        <v>1.442130370486585E-11</v>
      </c>
      <c r="N677" s="16">
        <f t="shared" si="162"/>
        <v>104012787657.60196</v>
      </c>
      <c r="O677" s="16">
        <f t="shared" si="164"/>
        <v>4526237315.9113827</v>
      </c>
      <c r="P677" s="18">
        <f t="shared" si="163"/>
        <v>-103914258752.42264</v>
      </c>
    </row>
    <row r="678" spans="1:16" x14ac:dyDescent="0.4">
      <c r="A678" s="14">
        <v>0.66500000000000004</v>
      </c>
      <c r="B678" s="44">
        <f t="shared" si="165"/>
        <v>4.1783182292744252</v>
      </c>
      <c r="C678" s="40">
        <f t="shared" si="151"/>
        <v>6.6295516667065114E-12</v>
      </c>
      <c r="D678" s="15">
        <f t="shared" si="152"/>
        <v>150839762667.81085</v>
      </c>
      <c r="E678" s="15">
        <f t="shared" si="153"/>
        <v>-76783686339.872406</v>
      </c>
      <c r="F678" s="29">
        <f t="shared" si="154"/>
        <v>-129834123071.48532</v>
      </c>
      <c r="G678" s="17">
        <f t="shared" si="155"/>
        <v>17.348377287947415</v>
      </c>
      <c r="H678" s="16">
        <f t="shared" si="156"/>
        <v>1.8288764541140849E-11</v>
      </c>
      <c r="I678" s="16">
        <f t="shared" si="157"/>
        <v>54678379053.461212</v>
      </c>
      <c r="J678" s="16">
        <f t="shared" si="158"/>
        <v>3803508517.5804172</v>
      </c>
      <c r="K678" s="18">
        <f t="shared" si="159"/>
        <v>-54545929810.304626</v>
      </c>
      <c r="L678" s="17">
        <f t="shared" si="160"/>
        <v>15.962686225082983</v>
      </c>
      <c r="M678" s="16">
        <f t="shared" si="161"/>
        <v>1.4442694332494118E-11</v>
      </c>
      <c r="N678" s="16">
        <f t="shared" si="162"/>
        <v>103858737536.6106</v>
      </c>
      <c r="O678" s="16">
        <f t="shared" si="164"/>
        <v>7224566632.8077002</v>
      </c>
      <c r="P678" s="18">
        <f t="shared" si="163"/>
        <v>-103607157087.07912</v>
      </c>
    </row>
    <row r="679" spans="1:16" x14ac:dyDescent="0.4">
      <c r="A679" s="14">
        <v>0.66600000000000004</v>
      </c>
      <c r="B679" s="44">
        <f t="shared" si="165"/>
        <v>4.1846014145816044</v>
      </c>
      <c r="C679" s="40">
        <f t="shared" si="151"/>
        <v>6.6301570897670375E-12</v>
      </c>
      <c r="D679" s="15">
        <f t="shared" si="152"/>
        <v>150825988956.3396</v>
      </c>
      <c r="E679" s="15">
        <f t="shared" si="153"/>
        <v>-75959467448.071686</v>
      </c>
      <c r="F679" s="29">
        <f t="shared" si="154"/>
        <v>-130302103780.64972</v>
      </c>
      <c r="G679" s="17">
        <f t="shared" si="155"/>
        <v>17.374465073342822</v>
      </c>
      <c r="H679" s="16">
        <f t="shared" si="156"/>
        <v>1.8385159547589557E-11</v>
      </c>
      <c r="I679" s="16">
        <f t="shared" si="157"/>
        <v>54391695509.169952</v>
      </c>
      <c r="J679" s="16">
        <f t="shared" si="158"/>
        <v>5197640099.0178108</v>
      </c>
      <c r="K679" s="18">
        <f t="shared" si="159"/>
        <v>-54142784170.777</v>
      </c>
      <c r="L679" s="17">
        <f t="shared" si="160"/>
        <v>15.986690264519197</v>
      </c>
      <c r="M679" s="16">
        <f t="shared" si="161"/>
        <v>1.4466152331549387E-11</v>
      </c>
      <c r="N679" s="16">
        <f t="shared" si="162"/>
        <v>103690322459.0435</v>
      </c>
      <c r="O679" s="16">
        <f t="shared" si="164"/>
        <v>9908589405.9388237</v>
      </c>
      <c r="P679" s="18">
        <f t="shared" si="163"/>
        <v>-103215807062.89583</v>
      </c>
    </row>
    <row r="680" spans="1:16" x14ac:dyDescent="0.4">
      <c r="A680" s="14">
        <v>0.66700000000000004</v>
      </c>
      <c r="B680" s="44">
        <f t="shared" si="165"/>
        <v>4.1908845998887845</v>
      </c>
      <c r="C680" s="40">
        <f t="shared" si="151"/>
        <v>6.630764734432508E-12</v>
      </c>
      <c r="D680" s="15">
        <f t="shared" si="152"/>
        <v>150812167231.20319</v>
      </c>
      <c r="E680" s="15">
        <f t="shared" si="153"/>
        <v>-75132375418.553833</v>
      </c>
      <c r="F680" s="29">
        <f t="shared" si="154"/>
        <v>-130764811585.2957</v>
      </c>
      <c r="G680" s="17">
        <f t="shared" si="155"/>
        <v>17.400552858738234</v>
      </c>
      <c r="H680" s="16">
        <f t="shared" si="156"/>
        <v>1.8481313431121649E-11</v>
      </c>
      <c r="I680" s="16">
        <f t="shared" si="157"/>
        <v>54108708438.224297</v>
      </c>
      <c r="J680" s="16">
        <f t="shared" si="158"/>
        <v>6573795865.8901558</v>
      </c>
      <c r="K680" s="18">
        <f t="shared" si="159"/>
        <v>-53707890824.034142</v>
      </c>
      <c r="L680" s="17">
        <f t="shared" si="160"/>
        <v>16.010694303955411</v>
      </c>
      <c r="M680" s="16">
        <f t="shared" si="161"/>
        <v>1.4491664186324471E-11</v>
      </c>
      <c r="N680" s="16">
        <f t="shared" si="162"/>
        <v>103507780798.25529</v>
      </c>
      <c r="O680" s="16">
        <f t="shared" si="164"/>
        <v>12575406827.08939</v>
      </c>
      <c r="P680" s="18">
        <f t="shared" si="163"/>
        <v>-102741032839.43013</v>
      </c>
    </row>
    <row r="681" spans="1:16" x14ac:dyDescent="0.4">
      <c r="A681" s="14">
        <v>0.66800000000000004</v>
      </c>
      <c r="B681" s="44">
        <f t="shared" si="165"/>
        <v>4.1971677851959637</v>
      </c>
      <c r="C681" s="40">
        <f t="shared" si="151"/>
        <v>6.6313745767141534E-12</v>
      </c>
      <c r="D681" s="15">
        <f t="shared" si="152"/>
        <v>150798298064.99939</v>
      </c>
      <c r="E681" s="15">
        <f t="shared" si="153"/>
        <v>-74302444515.574051</v>
      </c>
      <c r="F681" s="29">
        <f t="shared" si="154"/>
        <v>-131222229207.97542</v>
      </c>
      <c r="G681" s="17">
        <f t="shared" si="155"/>
        <v>17.426640644133641</v>
      </c>
      <c r="H681" s="16">
        <f t="shared" si="156"/>
        <v>1.8577160755754986E-11</v>
      </c>
      <c r="I681" s="16">
        <f t="shared" si="157"/>
        <v>53829539031.695778</v>
      </c>
      <c r="J681" s="16">
        <f t="shared" si="158"/>
        <v>7931386470.4529161</v>
      </c>
      <c r="K681" s="18">
        <f t="shared" si="159"/>
        <v>-53242017063.792542</v>
      </c>
      <c r="L681" s="17">
        <f t="shared" si="160"/>
        <v>16.034698343391625</v>
      </c>
      <c r="M681" s="16">
        <f t="shared" si="161"/>
        <v>1.4519215197749847E-11</v>
      </c>
      <c r="N681" s="16">
        <f t="shared" si="162"/>
        <v>103311369076.78497</v>
      </c>
      <c r="O681" s="16">
        <f t="shared" si="164"/>
        <v>15222170014.443216</v>
      </c>
      <c r="P681" s="18">
        <f t="shared" si="163"/>
        <v>-102183778167.43257</v>
      </c>
    </row>
    <row r="682" spans="1:16" x14ac:dyDescent="0.4">
      <c r="A682" s="14">
        <v>0.66900000000000004</v>
      </c>
      <c r="B682" s="44">
        <f t="shared" si="165"/>
        <v>4.2034509705031438</v>
      </c>
      <c r="C682" s="40">
        <f t="shared" si="151"/>
        <v>6.6319865925364434E-12</v>
      </c>
      <c r="D682" s="15">
        <f t="shared" si="152"/>
        <v>150784382031.98236</v>
      </c>
      <c r="E682" s="15">
        <f t="shared" si="153"/>
        <v>-73469709102.499893</v>
      </c>
      <c r="F682" s="29">
        <f t="shared" si="154"/>
        <v>-131674339600.24577</v>
      </c>
      <c r="G682" s="17">
        <f t="shared" si="155"/>
        <v>17.452728429529053</v>
      </c>
      <c r="H682" s="16">
        <f t="shared" si="156"/>
        <v>1.8672636294131217E-11</v>
      </c>
      <c r="I682" s="16">
        <f t="shared" si="157"/>
        <v>53554301826.909065</v>
      </c>
      <c r="J682" s="16">
        <f t="shared" si="158"/>
        <v>9269854921.8889561</v>
      </c>
      <c r="K682" s="18">
        <f t="shared" si="159"/>
        <v>-52745929074.145683</v>
      </c>
      <c r="L682" s="17">
        <f t="shared" si="160"/>
        <v>16.058702382827843</v>
      </c>
      <c r="M682" s="16">
        <f t="shared" si="161"/>
        <v>1.4548789491862775E-11</v>
      </c>
      <c r="N682" s="16">
        <f t="shared" si="162"/>
        <v>103101361170.90422</v>
      </c>
      <c r="O682" s="16">
        <f t="shared" si="164"/>
        <v>17846085705.543377</v>
      </c>
      <c r="P682" s="18">
        <f t="shared" si="163"/>
        <v>-101545102788.28633</v>
      </c>
    </row>
    <row r="683" spans="1:16" x14ac:dyDescent="0.4">
      <c r="A683" s="14">
        <v>0.67</v>
      </c>
      <c r="B683" s="44">
        <f t="shared" si="165"/>
        <v>4.209734155810323</v>
      </c>
      <c r="C683" s="40">
        <f t="shared" si="151"/>
        <v>6.6326007577380422E-12</v>
      </c>
      <c r="D683" s="15">
        <f t="shared" si="152"/>
        <v>150770419708.03568</v>
      </c>
      <c r="E683" s="15">
        <f t="shared" si="153"/>
        <v>-72634203640.203842</v>
      </c>
      <c r="F683" s="29">
        <f t="shared" si="154"/>
        <v>-132121125943.16864</v>
      </c>
      <c r="G683" s="17">
        <f t="shared" si="155"/>
        <v>17.478816214924461</v>
      </c>
      <c r="H683" s="16">
        <f t="shared" si="156"/>
        <v>1.8767675071905107E-11</v>
      </c>
      <c r="I683" s="16">
        <f t="shared" si="157"/>
        <v>53283104922.089317</v>
      </c>
      <c r="J683" s="16">
        <f t="shared" si="158"/>
        <v>10588675542.486504</v>
      </c>
      <c r="K683" s="18">
        <f t="shared" si="159"/>
        <v>-52220390848.731941</v>
      </c>
      <c r="L683" s="17">
        <f t="shared" si="160"/>
        <v>16.082706422264057</v>
      </c>
      <c r="M683" s="16">
        <f t="shared" si="161"/>
        <v>1.4580370028953309E-11</v>
      </c>
      <c r="N683" s="16">
        <f t="shared" si="162"/>
        <v>102878047472.13823</v>
      </c>
      <c r="O683" s="16">
        <f t="shared" si="164"/>
        <v>20444421673.996559</v>
      </c>
      <c r="P683" s="18">
        <f t="shared" si="163"/>
        <v>-100826178515.77707</v>
      </c>
    </row>
    <row r="684" spans="1:16" x14ac:dyDescent="0.4">
      <c r="A684" s="14">
        <v>0.67100000000000004</v>
      </c>
      <c r="B684" s="44">
        <f t="shared" si="165"/>
        <v>4.216017341117503</v>
      </c>
      <c r="C684" s="40">
        <f t="shared" si="151"/>
        <v>6.6332170480727578E-12</v>
      </c>
      <c r="D684" s="15">
        <f t="shared" si="152"/>
        <v>150756411670.64542</v>
      </c>
      <c r="E684" s="15">
        <f t="shared" si="153"/>
        <v>-71795962685.452438</v>
      </c>
      <c r="F684" s="29">
        <f t="shared" si="154"/>
        <v>-132562571647.80048</v>
      </c>
      <c r="G684" s="17">
        <f t="shared" si="155"/>
        <v>17.504904000319872</v>
      </c>
      <c r="H684" s="16">
        <f t="shared" si="156"/>
        <v>1.8862212411961895E-11</v>
      </c>
      <c r="I684" s="16">
        <f t="shared" si="157"/>
        <v>53016050193.869492</v>
      </c>
      <c r="J684" s="16">
        <f t="shared" si="158"/>
        <v>11887352909.908714</v>
      </c>
      <c r="K684" s="18">
        <f t="shared" si="159"/>
        <v>-51666163191.727081</v>
      </c>
      <c r="L684" s="17">
        <f t="shared" si="160"/>
        <v>16.106710461700274</v>
      </c>
      <c r="M684" s="16">
        <f t="shared" si="161"/>
        <v>1.4613938613382051E-11</v>
      </c>
      <c r="N684" s="16">
        <f t="shared" si="162"/>
        <v>102641734010.46335</v>
      </c>
      <c r="O684" s="16">
        <f t="shared" si="164"/>
        <v>23014511850.761154</v>
      </c>
      <c r="P684" s="18">
        <f t="shared" si="163"/>
        <v>-100028285024.51636</v>
      </c>
    </row>
    <row r="685" spans="1:16" x14ac:dyDescent="0.4">
      <c r="A685" s="14">
        <v>0.67200000000000004</v>
      </c>
      <c r="B685" s="44">
        <f t="shared" si="165"/>
        <v>4.2223005264246822</v>
      </c>
      <c r="C685" s="40">
        <f t="shared" si="151"/>
        <v>6.6338354392105046E-12</v>
      </c>
      <c r="D685" s="15">
        <f t="shared" si="152"/>
        <v>150742358498.87323</v>
      </c>
      <c r="E685" s="15">
        <f t="shared" si="153"/>
        <v>-70955020889.295853</v>
      </c>
      <c r="F685" s="29">
        <f t="shared" si="154"/>
        <v>-132998660355.66829</v>
      </c>
      <c r="G685" s="17">
        <f t="shared" si="155"/>
        <v>17.53099178571528</v>
      </c>
      <c r="H685" s="16">
        <f t="shared" si="156"/>
        <v>1.8956183978432147E-11</v>
      </c>
      <c r="I685" s="16">
        <f t="shared" si="157"/>
        <v>52753233516.712753</v>
      </c>
      <c r="J685" s="16">
        <f t="shared" si="158"/>
        <v>13165420790.150993</v>
      </c>
      <c r="K685" s="18">
        <f t="shared" si="159"/>
        <v>-51084002798.205681</v>
      </c>
      <c r="L685" s="17">
        <f t="shared" si="160"/>
        <v>16.130714501136485</v>
      </c>
      <c r="M685" s="16">
        <f t="shared" si="161"/>
        <v>1.4649475904063797E-11</v>
      </c>
      <c r="N685" s="16">
        <f t="shared" si="162"/>
        <v>102392741544.00955</v>
      </c>
      <c r="O685" s="16">
        <f t="shared" si="164"/>
        <v>25553761133.087452</v>
      </c>
      <c r="P685" s="18">
        <f t="shared" si="163"/>
        <v>-99152805370.556458</v>
      </c>
    </row>
    <row r="686" spans="1:16" x14ac:dyDescent="0.4">
      <c r="A686" s="14">
        <v>0.67300000000000004</v>
      </c>
      <c r="B686" s="44">
        <f t="shared" si="165"/>
        <v>4.2285837117318614</v>
      </c>
      <c r="C686" s="40">
        <f t="shared" si="151"/>
        <v>6.6344559067382594E-12</v>
      </c>
      <c r="D686" s="15">
        <f t="shared" si="152"/>
        <v>150728260773.32941</v>
      </c>
      <c r="E686" s="15">
        <f t="shared" si="153"/>
        <v>-70111412995.454483</v>
      </c>
      <c r="F686" s="29">
        <f t="shared" si="154"/>
        <v>-133429375939.23465</v>
      </c>
      <c r="G686" s="17">
        <f t="shared" si="155"/>
        <v>17.557079571110688</v>
      </c>
      <c r="H686" s="16">
        <f t="shared" si="156"/>
        <v>1.9049525820474616E-11</v>
      </c>
      <c r="I686" s="16">
        <f t="shared" si="157"/>
        <v>52494744983.373299</v>
      </c>
      <c r="J686" s="16">
        <f t="shared" si="158"/>
        <v>14422441065.447479</v>
      </c>
      <c r="K686" s="18">
        <f t="shared" si="159"/>
        <v>-50474661411.277344</v>
      </c>
      <c r="L686" s="17">
        <f t="shared" si="160"/>
        <v>16.154718540572699</v>
      </c>
      <c r="M686" s="16">
        <f t="shared" si="161"/>
        <v>1.4686961425611309E-11</v>
      </c>
      <c r="N686" s="16">
        <f t="shared" si="162"/>
        <v>102131404620.17427</v>
      </c>
      <c r="O686" s="16">
        <f t="shared" si="164"/>
        <v>28059649866.52232</v>
      </c>
      <c r="P686" s="18">
        <f t="shared" si="163"/>
        <v>-98201221270.704819</v>
      </c>
    </row>
    <row r="687" spans="1:16" x14ac:dyDescent="0.4">
      <c r="A687" s="14">
        <v>0.67400000000000004</v>
      </c>
      <c r="B687" s="44">
        <f t="shared" si="165"/>
        <v>4.2348668970390415</v>
      </c>
      <c r="C687" s="40">
        <f t="shared" si="151"/>
        <v>6.6350784261610255E-12</v>
      </c>
      <c r="D687" s="15">
        <f t="shared" si="152"/>
        <v>150714119076.14597</v>
      </c>
      <c r="E687" s="15">
        <f t="shared" si="153"/>
        <v>-69265173838.70546</v>
      </c>
      <c r="F687" s="29">
        <f t="shared" si="154"/>
        <v>-133854702502.34998</v>
      </c>
      <c r="G687" s="17">
        <f t="shared" si="155"/>
        <v>17.583167356506102</v>
      </c>
      <c r="H687" s="16">
        <f t="shared" si="156"/>
        <v>1.914217441579691E-11</v>
      </c>
      <c r="I687" s="16">
        <f t="shared" si="157"/>
        <v>52240669125.591019</v>
      </c>
      <c r="J687" s="16">
        <f t="shared" si="158"/>
        <v>15658002661.041557</v>
      </c>
      <c r="K687" s="18">
        <f t="shared" si="159"/>
        <v>-49838885053.302444</v>
      </c>
      <c r="L687" s="17">
        <f t="shared" si="160"/>
        <v>16.17872258000892</v>
      </c>
      <c r="M687" s="16">
        <f t="shared" si="161"/>
        <v>1.4726373580132463E-11</v>
      </c>
      <c r="N687" s="16">
        <f t="shared" si="162"/>
        <v>101858070613.09846</v>
      </c>
      <c r="O687" s="16">
        <f t="shared" si="164"/>
        <v>30529737987.738899</v>
      </c>
      <c r="P687" s="18">
        <f t="shared" si="163"/>
        <v>-97175108167.79657</v>
      </c>
    </row>
    <row r="688" spans="1:16" x14ac:dyDescent="0.4">
      <c r="A688" s="14">
        <v>0.67500000000000004</v>
      </c>
      <c r="B688" s="44">
        <f t="shared" si="165"/>
        <v>4.2411500823462207</v>
      </c>
      <c r="C688" s="40">
        <f t="shared" si="151"/>
        <v>6.6357029729028025E-12</v>
      </c>
      <c r="D688" s="15">
        <f t="shared" si="152"/>
        <v>150699933990.94955</v>
      </c>
      <c r="E688" s="15">
        <f t="shared" si="153"/>
        <v>-68416338343.267921</v>
      </c>
      <c r="F688" s="29">
        <f t="shared" si="154"/>
        <v>-134274624380.69243</v>
      </c>
      <c r="G688" s="17">
        <f t="shared" si="155"/>
        <v>17.60925514190151</v>
      </c>
      <c r="H688" s="16">
        <f t="shared" si="156"/>
        <v>1.9234066713884491E-11</v>
      </c>
      <c r="I688" s="16">
        <f t="shared" si="157"/>
        <v>51991085134.280533</v>
      </c>
      <c r="J688" s="16">
        <f t="shared" si="158"/>
        <v>16871720474.414354</v>
      </c>
      <c r="K688" s="18">
        <f t="shared" si="159"/>
        <v>-49177413328.409554</v>
      </c>
      <c r="L688" s="17">
        <f t="shared" si="160"/>
        <v>16.202726619445134</v>
      </c>
      <c r="M688" s="16">
        <f t="shared" si="161"/>
        <v>1.4767689659674233E-11</v>
      </c>
      <c r="N688" s="16">
        <f t="shared" si="162"/>
        <v>101573098742.45348</v>
      </c>
      <c r="O688" s="16">
        <f t="shared" si="164"/>
        <v>32961668818.349388</v>
      </c>
      <c r="P688" s="18">
        <f t="shared" si="163"/>
        <v>-96076130109.68779</v>
      </c>
    </row>
    <row r="689" spans="1:16" x14ac:dyDescent="0.4">
      <c r="A689" s="14">
        <v>0.67600000000000005</v>
      </c>
      <c r="B689" s="44">
        <f t="shared" si="165"/>
        <v>4.2474332676534008</v>
      </c>
      <c r="C689" s="40">
        <f t="shared" si="151"/>
        <v>6.6363295223075537E-12</v>
      </c>
      <c r="D689" s="15">
        <f t="shared" si="152"/>
        <v>150685706102.83447</v>
      </c>
      <c r="E689" s="15">
        <f t="shared" si="153"/>
        <v>-67564941521.186279</v>
      </c>
      <c r="F689" s="29">
        <f t="shared" si="154"/>
        <v>-134689126142.19637</v>
      </c>
      <c r="G689" s="17">
        <f t="shared" si="155"/>
        <v>17.635342927296922</v>
      </c>
      <c r="H689" s="16">
        <f t="shared" si="156"/>
        <v>1.9325140178908848E-11</v>
      </c>
      <c r="I689" s="16">
        <f t="shared" si="157"/>
        <v>51746067078.539703</v>
      </c>
      <c r="J689" s="16">
        <f t="shared" si="158"/>
        <v>18063234310.254421</v>
      </c>
      <c r="K689" s="18">
        <f t="shared" si="159"/>
        <v>-48490978793.478462</v>
      </c>
      <c r="L689" s="17">
        <f t="shared" si="160"/>
        <v>16.226730658881348</v>
      </c>
      <c r="M689" s="16">
        <f t="shared" si="161"/>
        <v>1.4810885859306297E-11</v>
      </c>
      <c r="N689" s="16">
        <f t="shared" si="162"/>
        <v>101276859078.45192</v>
      </c>
      <c r="O689" s="16">
        <f t="shared" si="164"/>
        <v>35353172502.251564</v>
      </c>
      <c r="P689" s="18">
        <f t="shared" si="163"/>
        <v>-94906034470.009613</v>
      </c>
    </row>
    <row r="690" spans="1:16" x14ac:dyDescent="0.4">
      <c r="A690" s="14">
        <v>0.67700000000000005</v>
      </c>
      <c r="B690" s="44">
        <f t="shared" si="165"/>
        <v>4.25371645296058</v>
      </c>
      <c r="C690" s="40">
        <f t="shared" si="151"/>
        <v>6.636958049640183E-12</v>
      </c>
      <c r="D690" s="15">
        <f t="shared" si="152"/>
        <v>150671435998.33572</v>
      </c>
      <c r="E690" s="15">
        <f t="shared" si="153"/>
        <v>-66711018470.714203</v>
      </c>
      <c r="F690" s="29">
        <f t="shared" si="154"/>
        <v>-135098192587.46805</v>
      </c>
      <c r="G690" s="17">
        <f t="shared" si="155"/>
        <v>17.661430712692329</v>
      </c>
      <c r="H690" s="16">
        <f t="shared" si="156"/>
        <v>1.9415332832285118E-11</v>
      </c>
      <c r="I690" s="16">
        <f t="shared" si="157"/>
        <v>51505684122.866692</v>
      </c>
      <c r="J690" s="16">
        <f t="shared" si="158"/>
        <v>19232207824.138969</v>
      </c>
      <c r="K690" s="18">
        <f t="shared" si="159"/>
        <v>-47780306394.723442</v>
      </c>
      <c r="L690" s="17">
        <f t="shared" si="160"/>
        <v>16.250734698317562</v>
      </c>
      <c r="M690" s="16">
        <f t="shared" si="161"/>
        <v>1.4855937290836595E-11</v>
      </c>
      <c r="N690" s="16">
        <f t="shared" si="162"/>
        <v>100969731537.92366</v>
      </c>
      <c r="O690" s="16">
        <f t="shared" si="164"/>
        <v>37702069081.395721</v>
      </c>
      <c r="P690" s="18">
        <f t="shared" si="163"/>
        <v>-93666646538.786911</v>
      </c>
    </row>
    <row r="691" spans="1:16" x14ac:dyDescent="0.4">
      <c r="A691" s="14">
        <v>0.67800000000000005</v>
      </c>
      <c r="B691" s="44">
        <f t="shared" si="165"/>
        <v>4.2599996382677601</v>
      </c>
      <c r="C691" s="40">
        <f t="shared" si="151"/>
        <v>6.6375885300875063E-12</v>
      </c>
      <c r="D691" s="15">
        <f t="shared" si="152"/>
        <v>150657124265.40195</v>
      </c>
      <c r="E691" s="15">
        <f t="shared" si="153"/>
        <v>-65854604374.695976</v>
      </c>
      <c r="F691" s="29">
        <f t="shared" si="154"/>
        <v>-135501808750.18988</v>
      </c>
      <c r="G691" s="17">
        <f t="shared" si="155"/>
        <v>17.687518498087741</v>
      </c>
      <c r="H691" s="16">
        <f t="shared" si="156"/>
        <v>1.9504583294850713E-11</v>
      </c>
      <c r="I691" s="16">
        <f t="shared" si="157"/>
        <v>51270000742.030922</v>
      </c>
      <c r="J691" s="16">
        <f t="shared" si="158"/>
        <v>20378327477.624454</v>
      </c>
      <c r="K691" s="18">
        <f t="shared" si="159"/>
        <v>-47046112966.98748</v>
      </c>
      <c r="L691" s="17">
        <f t="shared" si="160"/>
        <v>16.274738737753779</v>
      </c>
      <c r="M691" s="16">
        <f t="shared" si="161"/>
        <v>1.4902817997151083E-11</v>
      </c>
      <c r="N691" s="16">
        <f t="shared" si="162"/>
        <v>100652104876.18848</v>
      </c>
      <c r="O691" s="16">
        <f t="shared" si="164"/>
        <v>40006271207.202644</v>
      </c>
      <c r="P691" s="18">
        <f t="shared" si="163"/>
        <v>-92359864010.851563</v>
      </c>
    </row>
    <row r="692" spans="1:16" x14ac:dyDescent="0.4">
      <c r="A692" s="14">
        <v>0.67900000000000005</v>
      </c>
      <c r="B692" s="44">
        <f t="shared" si="165"/>
        <v>4.2662828235749393</v>
      </c>
      <c r="C692" s="40">
        <f t="shared" si="151"/>
        <v>6.6382209387592356E-12</v>
      </c>
      <c r="D692" s="15">
        <f t="shared" si="152"/>
        <v>150642771493.36826</v>
      </c>
      <c r="E692" s="15">
        <f t="shared" si="153"/>
        <v>-64995734498.948952</v>
      </c>
      <c r="F692" s="29">
        <f t="shared" si="154"/>
        <v>-135899959897.51175</v>
      </c>
      <c r="G692" s="17">
        <f t="shared" si="155"/>
        <v>17.713606283483148</v>
      </c>
      <c r="H692" s="16">
        <f t="shared" si="156"/>
        <v>1.9592830828635823E-11</v>
      </c>
      <c r="I692" s="16">
        <f t="shared" si="157"/>
        <v>51039076933.102188</v>
      </c>
      <c r="J692" s="16">
        <f t="shared" si="158"/>
        <v>21501301507.156845</v>
      </c>
      <c r="K692" s="18">
        <f t="shared" si="159"/>
        <v>-46289106792.867134</v>
      </c>
      <c r="L692" s="17">
        <f t="shared" si="160"/>
        <v>16.298742777189993</v>
      </c>
      <c r="M692" s="16">
        <f t="shared" si="161"/>
        <v>1.4951500967169306E-11</v>
      </c>
      <c r="N692" s="16">
        <f t="shared" si="162"/>
        <v>100324375679.31935</v>
      </c>
      <c r="O692" s="16">
        <f t="shared" si="164"/>
        <v>42263786487.080742</v>
      </c>
      <c r="P692" s="18">
        <f t="shared" si="163"/>
        <v>-90987651399.624863</v>
      </c>
    </row>
    <row r="693" spans="1:16" x14ac:dyDescent="0.4">
      <c r="A693" s="14">
        <v>0.68</v>
      </c>
      <c r="B693" s="44">
        <f t="shared" si="165"/>
        <v>4.2725660088821193</v>
      </c>
      <c r="C693" s="40">
        <f t="shared" si="151"/>
        <v>6.638855250688959E-12</v>
      </c>
      <c r="D693" s="15">
        <f t="shared" si="152"/>
        <v>150628378272.92938</v>
      </c>
      <c r="E693" s="15">
        <f t="shared" si="153"/>
        <v>-64134444190.643578</v>
      </c>
      <c r="F693" s="29">
        <f t="shared" si="154"/>
        <v>-136292631530.43135</v>
      </c>
      <c r="G693" s="17">
        <f t="shared" si="155"/>
        <v>17.73969406887856</v>
      </c>
      <c r="H693" s="16">
        <f t="shared" si="156"/>
        <v>1.9680015378197777E-11</v>
      </c>
      <c r="I693" s="16">
        <f t="shared" si="157"/>
        <v>50812968424.193192</v>
      </c>
      <c r="J693" s="16">
        <f t="shared" si="158"/>
        <v>22600858908.963997</v>
      </c>
      <c r="K693" s="18">
        <f t="shared" si="159"/>
        <v>-45509987218.797997</v>
      </c>
      <c r="L693" s="17">
        <f t="shared" si="160"/>
        <v>16.322746816626207</v>
      </c>
      <c r="M693" s="16">
        <f t="shared" si="161"/>
        <v>1.5001958151407332E-11</v>
      </c>
      <c r="N693" s="16">
        <f t="shared" si="162"/>
        <v>99986947361.220657</v>
      </c>
      <c r="O693" s="16">
        <f t="shared" si="164"/>
        <v>44472719467.674736</v>
      </c>
      <c r="P693" s="18">
        <f t="shared" si="163"/>
        <v>-89552034403.273132</v>
      </c>
    </row>
    <row r="694" spans="1:16" x14ac:dyDescent="0.4">
      <c r="A694" s="14">
        <v>0.68100000000000005</v>
      </c>
      <c r="B694" s="44">
        <f t="shared" si="165"/>
        <v>4.2788491941892985</v>
      </c>
      <c r="C694" s="40">
        <f t="shared" si="151"/>
        <v>6.6394914408351285E-12</v>
      </c>
      <c r="D694" s="15">
        <f t="shared" si="152"/>
        <v>150613945196.11249</v>
      </c>
      <c r="E694" s="15">
        <f t="shared" si="153"/>
        <v>-63270768876.684761</v>
      </c>
      <c r="F694" s="29">
        <f t="shared" si="154"/>
        <v>-136679809384.16147</v>
      </c>
      <c r="G694" s="17">
        <f t="shared" si="155"/>
        <v>17.765781854273968</v>
      </c>
      <c r="H694" s="16">
        <f t="shared" si="156"/>
        <v>1.9766077611490706E-11</v>
      </c>
      <c r="I694" s="16">
        <f t="shared" si="157"/>
        <v>50591726879.523399</v>
      </c>
      <c r="J694" s="16">
        <f t="shared" si="158"/>
        <v>23676748441.837879</v>
      </c>
      <c r="K694" s="18">
        <f t="shared" si="159"/>
        <v>-44709444325.267769</v>
      </c>
      <c r="L694" s="17">
        <f t="shared" si="160"/>
        <v>16.346750856062421</v>
      </c>
      <c r="M694" s="16">
        <f t="shared" si="161"/>
        <v>1.505416047813888E-11</v>
      </c>
      <c r="N694" s="16">
        <f t="shared" si="162"/>
        <v>99640229169.753235</v>
      </c>
      <c r="O694" s="16">
        <f t="shared" si="164"/>
        <v>46631273258.517174</v>
      </c>
      <c r="P694" s="18">
        <f t="shared" si="163"/>
        <v>-88055094249.512024</v>
      </c>
    </row>
    <row r="695" spans="1:16" x14ac:dyDescent="0.4">
      <c r="A695" s="14">
        <v>0.68200000000000005</v>
      </c>
      <c r="B695" s="44">
        <f t="shared" si="165"/>
        <v>4.2851323794964777</v>
      </c>
      <c r="C695" s="40">
        <f t="shared" si="151"/>
        <v>6.6401294840820445E-12</v>
      </c>
      <c r="D695" s="15">
        <f t="shared" si="152"/>
        <v>150599472856.25012</v>
      </c>
      <c r="E695" s="15">
        <f t="shared" si="153"/>
        <v>-62404744062.091003</v>
      </c>
      <c r="F695" s="29">
        <f t="shared" si="154"/>
        <v>-137061479428.48616</v>
      </c>
      <c r="G695" s="17">
        <f t="shared" si="155"/>
        <v>17.791869639669375</v>
      </c>
      <c r="H695" s="16">
        <f t="shared" si="156"/>
        <v>1.9850958960243098E-11</v>
      </c>
      <c r="I695" s="16">
        <f t="shared" si="157"/>
        <v>50375400100.457108</v>
      </c>
      <c r="J695" s="16">
        <f t="shared" si="158"/>
        <v>24728737649.493828</v>
      </c>
      <c r="K695" s="18">
        <f t="shared" si="159"/>
        <v>-43888158648.360275</v>
      </c>
      <c r="L695" s="17">
        <f t="shared" si="160"/>
        <v>16.370754895498635</v>
      </c>
      <c r="M695" s="16">
        <f t="shared" si="161"/>
        <v>1.5108077870145474E-11</v>
      </c>
      <c r="N695" s="16">
        <f t="shared" si="162"/>
        <v>99284635205.918274</v>
      </c>
      <c r="O695" s="16">
        <f t="shared" si="164"/>
        <v>48737750801.716675</v>
      </c>
      <c r="P695" s="18">
        <f t="shared" si="163"/>
        <v>-86498962044.42012</v>
      </c>
    </row>
    <row r="696" spans="1:16" x14ac:dyDescent="0.4">
      <c r="A696" s="14">
        <v>0.68300000000000005</v>
      </c>
      <c r="B696" s="44">
        <f t="shared" si="165"/>
        <v>4.2914155648036578</v>
      </c>
      <c r="C696" s="40">
        <f t="shared" si="151"/>
        <v>6.6407693552408538E-12</v>
      </c>
      <c r="D696" s="15">
        <f t="shared" si="152"/>
        <v>150584961847.95309</v>
      </c>
      <c r="E696" s="15">
        <f t="shared" si="153"/>
        <v>-61536405328.37442</v>
      </c>
      <c r="F696" s="29">
        <f t="shared" si="154"/>
        <v>-137437627868.10423</v>
      </c>
      <c r="G696" s="17">
        <f t="shared" si="155"/>
        <v>17.817957425064787</v>
      </c>
      <c r="H696" s="16">
        <f t="shared" si="156"/>
        <v>1.9934601659815462E-11</v>
      </c>
      <c r="I696" s="16">
        <f t="shared" si="157"/>
        <v>50164032222.214828</v>
      </c>
      <c r="J696" s="16">
        <f t="shared" si="158"/>
        <v>25756611903.970062</v>
      </c>
      <c r="K696" s="18">
        <f t="shared" si="159"/>
        <v>-43046800949.892609</v>
      </c>
      <c r="L696" s="17">
        <f t="shared" si="160"/>
        <v>16.394758934934853</v>
      </c>
      <c r="M696" s="16">
        <f t="shared" si="161"/>
        <v>1.516367926204592E-11</v>
      </c>
      <c r="N696" s="16">
        <f t="shared" si="162"/>
        <v>98920583459.875717</v>
      </c>
      <c r="O696" s="16">
        <f t="shared" si="164"/>
        <v>50790555795.114006</v>
      </c>
      <c r="P696" s="18">
        <f t="shared" si="163"/>
        <v>-84885813149.581406</v>
      </c>
    </row>
    <row r="697" spans="1:16" x14ac:dyDescent="0.4">
      <c r="A697" s="14">
        <v>0.68400000000000005</v>
      </c>
      <c r="B697" s="44">
        <f t="shared" si="165"/>
        <v>4.297698750110837</v>
      </c>
      <c r="C697" s="40">
        <f t="shared" si="151"/>
        <v>6.6414110290505389E-12</v>
      </c>
      <c r="D697" s="15">
        <f t="shared" si="152"/>
        <v>150570412767.08344</v>
      </c>
      <c r="E697" s="15">
        <f t="shared" si="153"/>
        <v>-60665788331.920578</v>
      </c>
      <c r="F697" s="29">
        <f t="shared" si="154"/>
        <v>-137808241142.96103</v>
      </c>
      <c r="G697" s="17">
        <f t="shared" si="155"/>
        <v>17.844045210460195</v>
      </c>
      <c r="H697" s="16">
        <f t="shared" si="156"/>
        <v>2.0016948788511093E-11</v>
      </c>
      <c r="I697" s="16">
        <f t="shared" si="157"/>
        <v>49957663905.997452</v>
      </c>
      <c r="J697" s="16">
        <f t="shared" si="158"/>
        <v>26760173471.33514</v>
      </c>
      <c r="K697" s="18">
        <f t="shared" si="159"/>
        <v>-42186032033.466377</v>
      </c>
      <c r="L697" s="17">
        <f t="shared" si="160"/>
        <v>16.418762974371067</v>
      </c>
      <c r="M697" s="16">
        <f t="shared" si="161"/>
        <v>1.5220932618195123E-11</v>
      </c>
      <c r="N697" s="16">
        <f t="shared" si="162"/>
        <v>98548494867.318314</v>
      </c>
      <c r="O697" s="16">
        <f t="shared" si="164"/>
        <v>52788193278.025238</v>
      </c>
      <c r="P697" s="18">
        <f t="shared" si="163"/>
        <v>-83217861610.688568</v>
      </c>
    </row>
    <row r="698" spans="1:16" x14ac:dyDescent="0.4">
      <c r="A698" s="14">
        <v>0.68500000000000005</v>
      </c>
      <c r="B698" s="44">
        <f t="shared" si="165"/>
        <v>4.3039819354180171</v>
      </c>
      <c r="C698" s="40">
        <f t="shared" si="151"/>
        <v>6.6420544801789157E-12</v>
      </c>
      <c r="D698" s="15">
        <f t="shared" si="152"/>
        <v>150555826210.72739</v>
      </c>
      <c r="E698" s="15">
        <f t="shared" si="153"/>
        <v>-59792928802.366951</v>
      </c>
      <c r="F698" s="29">
        <f t="shared" si="154"/>
        <v>-138173305928.56863</v>
      </c>
      <c r="G698" s="17">
        <f t="shared" si="155"/>
        <v>17.870132995855606</v>
      </c>
      <c r="H698" s="16">
        <f t="shared" si="156"/>
        <v>2.0097944306313294E-11</v>
      </c>
      <c r="I698" s="16">
        <f t="shared" si="157"/>
        <v>49756332526.300896</v>
      </c>
      <c r="J698" s="16">
        <f t="shared" si="158"/>
        <v>27739240600.783558</v>
      </c>
      <c r="K698" s="18">
        <f t="shared" si="159"/>
        <v>-41306502603.823402</v>
      </c>
      <c r="L698" s="17">
        <f t="shared" si="160"/>
        <v>16.442767013807281</v>
      </c>
      <c r="M698" s="16">
        <f t="shared" si="161"/>
        <v>1.5279804951141965E-11</v>
      </c>
      <c r="N698" s="16">
        <f t="shared" si="162"/>
        <v>98168792389.453552</v>
      </c>
      <c r="O698" s="16">
        <f t="shared" si="164"/>
        <v>54729269890.21936</v>
      </c>
      <c r="P698" s="18">
        <f t="shared" si="163"/>
        <v>-81497354659.443771</v>
      </c>
    </row>
    <row r="699" spans="1:16" x14ac:dyDescent="0.4">
      <c r="A699" s="14">
        <v>0.68600000000000005</v>
      </c>
      <c r="B699" s="44">
        <f t="shared" si="165"/>
        <v>4.3102651207251963</v>
      </c>
      <c r="C699" s="40">
        <f t="shared" si="151"/>
        <v>6.642699683223636E-12</v>
      </c>
      <c r="D699" s="15">
        <f t="shared" si="152"/>
        <v>150541202777.16815</v>
      </c>
      <c r="E699" s="15">
        <f t="shared" si="153"/>
        <v>-58917862540.983139</v>
      </c>
      <c r="F699" s="29">
        <f t="shared" si="154"/>
        <v>-138532809136.31354</v>
      </c>
      <c r="G699" s="17">
        <f t="shared" si="155"/>
        <v>17.896220781251017</v>
      </c>
      <c r="H699" s="16">
        <f t="shared" si="156"/>
        <v>2.0177533093022437E-11</v>
      </c>
      <c r="I699" s="16">
        <f t="shared" si="157"/>
        <v>49560072353.235718</v>
      </c>
      <c r="J699" s="16">
        <f t="shared" si="158"/>
        <v>28693646638.022152</v>
      </c>
      <c r="K699" s="18">
        <f t="shared" si="159"/>
        <v>-40408853166.976654</v>
      </c>
      <c r="L699" s="17">
        <f t="shared" si="160"/>
        <v>16.466771053243498</v>
      </c>
      <c r="M699" s="16">
        <f t="shared" si="161"/>
        <v>1.5340262340635559E-11</v>
      </c>
      <c r="N699" s="16">
        <f t="shared" si="162"/>
        <v>97781900119.568222</v>
      </c>
      <c r="O699" s="16">
        <f t="shared" si="164"/>
        <v>56612493816.145218</v>
      </c>
      <c r="P699" s="18">
        <f t="shared" si="163"/>
        <v>-79726567309.210892</v>
      </c>
    </row>
    <row r="700" spans="1:16" x14ac:dyDescent="0.4">
      <c r="A700" s="14">
        <v>0.68700000000000006</v>
      </c>
      <c r="B700" s="44">
        <f t="shared" si="165"/>
        <v>4.3165483060323764</v>
      </c>
      <c r="C700" s="40">
        <f t="shared" si="151"/>
        <v>6.6433466127131881E-12</v>
      </c>
      <c r="D700" s="15">
        <f t="shared" si="152"/>
        <v>150526543065.85898</v>
      </c>
      <c r="E700" s="15">
        <f t="shared" si="153"/>
        <v>-58040625419.049301</v>
      </c>
      <c r="F700" s="29">
        <f t="shared" si="154"/>
        <v>-138886737913.75296</v>
      </c>
      <c r="G700" s="17">
        <f t="shared" si="155"/>
        <v>17.922308566646429</v>
      </c>
      <c r="H700" s="16">
        <f t="shared" si="156"/>
        <v>2.0255660985767164E-11</v>
      </c>
      <c r="I700" s="16">
        <f t="shared" si="157"/>
        <v>49368914729.697525</v>
      </c>
      <c r="J700" s="16">
        <f t="shared" si="158"/>
        <v>29623239163.697002</v>
      </c>
      <c r="K700" s="18">
        <f t="shared" si="159"/>
        <v>-39493713968.662827</v>
      </c>
      <c r="L700" s="17">
        <f t="shared" si="160"/>
        <v>16.490775092679716</v>
      </c>
      <c r="M700" s="16">
        <f t="shared" si="161"/>
        <v>1.5402269953168919E-11</v>
      </c>
      <c r="N700" s="16">
        <f t="shared" si="162"/>
        <v>97388242418.864014</v>
      </c>
      <c r="O700" s="16">
        <f t="shared" si="164"/>
        <v>58436674427.657318</v>
      </c>
      <c r="P700" s="18">
        <f t="shared" si="163"/>
        <v>-77907797063.396713</v>
      </c>
    </row>
    <row r="701" spans="1:16" x14ac:dyDescent="0.4">
      <c r="A701" s="14">
        <v>0.68799999999999994</v>
      </c>
      <c r="B701" s="44">
        <f t="shared" si="165"/>
        <v>4.3228314913395547</v>
      </c>
      <c r="C701" s="40">
        <f t="shared" si="151"/>
        <v>6.6439952431079037E-12</v>
      </c>
      <c r="D701" s="15">
        <f t="shared" si="152"/>
        <v>150511847677.39594</v>
      </c>
      <c r="E701" s="15">
        <f t="shared" si="153"/>
        <v>-57161253376.236641</v>
      </c>
      <c r="F701" s="29">
        <f t="shared" si="154"/>
        <v>-139235079644.8988</v>
      </c>
      <c r="G701" s="17">
        <f t="shared" si="155"/>
        <v>17.948396352041833</v>
      </c>
      <c r="H701" s="16">
        <f t="shared" si="156"/>
        <v>2.0332274815864048E-11</v>
      </c>
      <c r="I701" s="16">
        <f t="shared" si="157"/>
        <v>49182888243.26535</v>
      </c>
      <c r="J701" s="16">
        <f t="shared" si="158"/>
        <v>30527879157.457703</v>
      </c>
      <c r="K701" s="18">
        <f t="shared" si="159"/>
        <v>-38561704968.753502</v>
      </c>
      <c r="L701" s="17">
        <f t="shared" si="160"/>
        <v>16.514779132115926</v>
      </c>
      <c r="M701" s="16">
        <f t="shared" si="161"/>
        <v>1.5465792062048863E-11</v>
      </c>
      <c r="N701" s="16">
        <f t="shared" si="162"/>
        <v>96988243083.96167</v>
      </c>
      <c r="O701" s="16">
        <f t="shared" si="164"/>
        <v>60200721639.537819</v>
      </c>
      <c r="P701" s="18">
        <f t="shared" si="163"/>
        <v>-76043358754.019547</v>
      </c>
    </row>
    <row r="702" spans="1:16" x14ac:dyDescent="0.4">
      <c r="A702" s="14">
        <v>0.68899999999999995</v>
      </c>
      <c r="B702" s="44">
        <f t="shared" si="165"/>
        <v>4.3291146766467348</v>
      </c>
      <c r="C702" s="40">
        <f t="shared" si="151"/>
        <v>6.6446455488009644E-12</v>
      </c>
      <c r="D702" s="15">
        <f t="shared" si="152"/>
        <v>150497117213.491</v>
      </c>
      <c r="E702" s="15">
        <f t="shared" si="153"/>
        <v>-56279782418.985794</v>
      </c>
      <c r="F702" s="29">
        <f t="shared" si="154"/>
        <v>-139577821950.49063</v>
      </c>
      <c r="G702" s="17">
        <f t="shared" si="155"/>
        <v>17.974484137437244</v>
      </c>
      <c r="H702" s="16">
        <f t="shared" si="156"/>
        <v>2.0407322445000751E-11</v>
      </c>
      <c r="I702" s="16">
        <f t="shared" si="157"/>
        <v>49002018892.731972</v>
      </c>
      <c r="J702" s="16">
        <f t="shared" si="158"/>
        <v>31407440188.126667</v>
      </c>
      <c r="K702" s="18">
        <f t="shared" si="159"/>
        <v>-37613435849.346535</v>
      </c>
      <c r="L702" s="17">
        <f t="shared" si="160"/>
        <v>16.53878317155214</v>
      </c>
      <c r="M702" s="16">
        <f t="shared" si="161"/>
        <v>1.553079206798059E-11</v>
      </c>
      <c r="N702" s="16">
        <f t="shared" si="162"/>
        <v>96582324548.179932</v>
      </c>
      <c r="O702" s="16">
        <f t="shared" si="164"/>
        <v>61903644993.025307</v>
      </c>
      <c r="P702" s="18">
        <f t="shared" si="163"/>
        <v>-74135579526.3479</v>
      </c>
    </row>
    <row r="703" spans="1:16" x14ac:dyDescent="0.4">
      <c r="A703" s="14">
        <v>0.69</v>
      </c>
      <c r="B703" s="44">
        <f t="shared" si="165"/>
        <v>4.335397861953914</v>
      </c>
      <c r="C703" s="40">
        <f t="shared" si="151"/>
        <v>6.6452975041194149E-12</v>
      </c>
      <c r="D703" s="15">
        <f t="shared" si="152"/>
        <v>150482352276.94482</v>
      </c>
      <c r="E703" s="15">
        <f t="shared" si="153"/>
        <v>-55396248618.888535</v>
      </c>
      <c r="F703" s="29">
        <f t="shared" si="154"/>
        <v>-139914952688.25562</v>
      </c>
      <c r="G703" s="17">
        <f t="shared" si="155"/>
        <v>18.000571922832652</v>
      </c>
      <c r="H703" s="16">
        <f t="shared" si="156"/>
        <v>2.0480752800717781E-11</v>
      </c>
      <c r="I703" s="16">
        <f t="shared" si="157"/>
        <v>48826330249.196373</v>
      </c>
      <c r="J703" s="16">
        <f t="shared" si="158"/>
        <v>32261807630.312473</v>
      </c>
      <c r="K703" s="18">
        <f t="shared" si="159"/>
        <v>-36649506054.356316</v>
      </c>
      <c r="L703" s="17">
        <f t="shared" si="160"/>
        <v>16.562787210988354</v>
      </c>
      <c r="M703" s="16">
        <f t="shared" si="161"/>
        <v>1.5597232520154861E-11</v>
      </c>
      <c r="N703" s="16">
        <f t="shared" si="162"/>
        <v>96170907118.406342</v>
      </c>
      <c r="O703" s="16">
        <f t="shared" si="164"/>
        <v>63544552483.293381</v>
      </c>
      <c r="P703" s="18">
        <f t="shared" si="163"/>
        <v>-72186793983.907562</v>
      </c>
    </row>
    <row r="704" spans="1:16" x14ac:dyDescent="0.4">
      <c r="A704" s="14">
        <v>0.69099999999999995</v>
      </c>
      <c r="B704" s="44">
        <f t="shared" si="165"/>
        <v>4.3416810472610941</v>
      </c>
      <c r="C704" s="40">
        <f t="shared" si="151"/>
        <v>6.6459510833251776E-12</v>
      </c>
      <c r="D704" s="15">
        <f t="shared" si="152"/>
        <v>150467553471.61969</v>
      </c>
      <c r="E704" s="15">
        <f t="shared" si="153"/>
        <v>-54510688111.066887</v>
      </c>
      <c r="F704" s="29">
        <f t="shared" si="154"/>
        <v>-140246459953.1579</v>
      </c>
      <c r="G704" s="17">
        <f t="shared" si="155"/>
        <v>18.026659708228063</v>
      </c>
      <c r="H704" s="16">
        <f t="shared" si="156"/>
        <v>2.0552515911165178E-11</v>
      </c>
      <c r="I704" s="16">
        <f t="shared" si="157"/>
        <v>48655843611.669403</v>
      </c>
      <c r="J704" s="16">
        <f t="shared" si="158"/>
        <v>33090877907.705025</v>
      </c>
      <c r="K704" s="18">
        <f t="shared" si="159"/>
        <v>-35670504858.504448</v>
      </c>
      <c r="L704" s="17">
        <f t="shared" si="160"/>
        <v>16.586791250424572</v>
      </c>
      <c r="M704" s="16">
        <f t="shared" si="161"/>
        <v>1.5665075137825974E-11</v>
      </c>
      <c r="N704" s="16">
        <f t="shared" si="162"/>
        <v>95754408249.086288</v>
      </c>
      <c r="O704" s="16">
        <f t="shared" si="164"/>
        <v>65122649147.431801</v>
      </c>
      <c r="P704" s="18">
        <f t="shared" si="163"/>
        <v>-70199339506.530869</v>
      </c>
    </row>
    <row r="705" spans="1:16" x14ac:dyDescent="0.4">
      <c r="A705" s="14">
        <v>0.69199999999999995</v>
      </c>
      <c r="B705" s="44">
        <f t="shared" si="165"/>
        <v>4.3479642325682732</v>
      </c>
      <c r="C705" s="40">
        <f t="shared" si="151"/>
        <v>6.6466062606160626E-12</v>
      </c>
      <c r="D705" s="15">
        <f t="shared" si="152"/>
        <v>150452721402.41263</v>
      </c>
      <c r="E705" s="15">
        <f t="shared" si="153"/>
        <v>-53623137092.555267</v>
      </c>
      <c r="F705" s="29">
        <f t="shared" si="154"/>
        <v>-140572332077.63544</v>
      </c>
      <c r="G705" s="17">
        <f t="shared" si="155"/>
        <v>18.052747493623471</v>
      </c>
      <c r="H705" s="16">
        <f t="shared" si="156"/>
        <v>2.0622562939109944E-11</v>
      </c>
      <c r="I705" s="16">
        <f t="shared" si="157"/>
        <v>48490578157.166695</v>
      </c>
      <c r="J705" s="16">
        <f t="shared" si="158"/>
        <v>33894557763.179256</v>
      </c>
      <c r="K705" s="18">
        <f t="shared" si="159"/>
        <v>-34677011463.717522</v>
      </c>
      <c r="L705" s="17">
        <f t="shared" si="160"/>
        <v>16.610795289860786</v>
      </c>
      <c r="M705" s="16">
        <f t="shared" si="161"/>
        <v>1.5734280832367745E-11</v>
      </c>
      <c r="N705" s="16">
        <f t="shared" si="162"/>
        <v>95333241854.580215</v>
      </c>
      <c r="O705" s="16">
        <f t="shared" si="164"/>
        <v>66637235429.90255</v>
      </c>
      <c r="P705" s="18">
        <f t="shared" si="163"/>
        <v>-68175551752.542679</v>
      </c>
    </row>
    <row r="706" spans="1:16" x14ac:dyDescent="0.4">
      <c r="A706" s="14">
        <v>0.69299999999999995</v>
      </c>
      <c r="B706" s="44">
        <f t="shared" si="165"/>
        <v>4.3542474178754533</v>
      </c>
      <c r="C706" s="40">
        <f t="shared" si="151"/>
        <v>6.6472630101267944E-12</v>
      </c>
      <c r="D706" s="15">
        <f t="shared" si="152"/>
        <v>150437856675.22809</v>
      </c>
      <c r="E706" s="15">
        <f t="shared" si="153"/>
        <v>-52733631820.681152</v>
      </c>
      <c r="F706" s="29">
        <f t="shared" si="154"/>
        <v>-140892557631.82565</v>
      </c>
      <c r="G706" s="17">
        <f t="shared" si="155"/>
        <v>18.078835279018882</v>
      </c>
      <c r="H706" s="16">
        <f t="shared" si="156"/>
        <v>2.0690846215171519E-11</v>
      </c>
      <c r="I706" s="16">
        <f t="shared" si="157"/>
        <v>48330551085.27906</v>
      </c>
      <c r="J706" s="16">
        <f t="shared" si="158"/>
        <v>34672763555.754677</v>
      </c>
      <c r="K706" s="18">
        <f t="shared" si="159"/>
        <v>-33669595121.021275</v>
      </c>
      <c r="L706" s="17">
        <f t="shared" si="160"/>
        <v>16.634799329297</v>
      </c>
      <c r="M706" s="16">
        <f t="shared" si="161"/>
        <v>1.5804809729795163E-11</v>
      </c>
      <c r="N706" s="16">
        <f t="shared" si="162"/>
        <v>94907817660.860931</v>
      </c>
      <c r="O706" s="16">
        <f t="shared" si="164"/>
        <v>68087705342.760384</v>
      </c>
      <c r="P706" s="18">
        <f t="shared" si="163"/>
        <v>-66117760354.572403</v>
      </c>
    </row>
    <row r="707" spans="1:16" x14ac:dyDescent="0.4">
      <c r="A707" s="14">
        <v>0.69399999999999995</v>
      </c>
      <c r="B707" s="44">
        <f t="shared" si="165"/>
        <v>4.3605306031826325</v>
      </c>
      <c r="C707" s="40">
        <f t="shared" si="151"/>
        <v>6.6479213059300236E-12</v>
      </c>
      <c r="D707" s="15">
        <f t="shared" si="152"/>
        <v>150422959896.95129</v>
      </c>
      <c r="E707" s="15">
        <f t="shared" si="153"/>
        <v>-51842208611.448509</v>
      </c>
      <c r="F707" s="29">
        <f t="shared" si="154"/>
        <v>-141207125423.77905</v>
      </c>
      <c r="G707" s="17">
        <f t="shared" si="155"/>
        <v>18.10492306441429</v>
      </c>
      <c r="H707" s="16">
        <f t="shared" si="156"/>
        <v>2.0757319270262345E-11</v>
      </c>
      <c r="I707" s="16">
        <f t="shared" si="157"/>
        <v>48175777757.228729</v>
      </c>
      <c r="J707" s="16">
        <f t="shared" si="158"/>
        <v>35425420584.369911</v>
      </c>
      <c r="K707" s="18">
        <f t="shared" si="159"/>
        <v>-32648815276.122875</v>
      </c>
      <c r="L707" s="17">
        <f t="shared" si="160"/>
        <v>16.658803368733214</v>
      </c>
      <c r="M707" s="16">
        <f t="shared" si="161"/>
        <v>1.5876621193738361E-11</v>
      </c>
      <c r="N707" s="16">
        <f t="shared" si="162"/>
        <v>94478540597.264511</v>
      </c>
      <c r="O707" s="16">
        <f t="shared" si="164"/>
        <v>69473544438.073074</v>
      </c>
      <c r="P707" s="18">
        <f t="shared" si="163"/>
        <v>-64028284816.946655</v>
      </c>
    </row>
    <row r="708" spans="1:16" x14ac:dyDescent="0.4">
      <c r="A708" s="14">
        <v>0.69499999999999995</v>
      </c>
      <c r="B708" s="44">
        <f t="shared" si="165"/>
        <v>4.3668137884898117</v>
      </c>
      <c r="C708" s="40">
        <f t="shared" si="151"/>
        <v>6.6485811220373623E-12</v>
      </c>
      <c r="D708" s="15">
        <f t="shared" si="152"/>
        <v>150408031675.42075</v>
      </c>
      <c r="E708" s="15">
        <f t="shared" si="153"/>
        <v>-50948903837.920059</v>
      </c>
      <c r="F708" s="29">
        <f t="shared" si="154"/>
        <v>-141516024499.66132</v>
      </c>
      <c r="G708" s="17">
        <f t="shared" si="155"/>
        <v>18.131010849809698</v>
      </c>
      <c r="H708" s="16">
        <f t="shared" si="156"/>
        <v>2.082193686721172E-11</v>
      </c>
      <c r="I708" s="16">
        <f t="shared" si="157"/>
        <v>48026271829.432877</v>
      </c>
      <c r="J708" s="16">
        <f t="shared" si="158"/>
        <v>36152462438.368187</v>
      </c>
      <c r="K708" s="18">
        <f t="shared" si="159"/>
        <v>-31615221736.956955</v>
      </c>
      <c r="L708" s="17">
        <f t="shared" si="160"/>
        <v>16.682807408169428</v>
      </c>
      <c r="M708" s="16">
        <f t="shared" si="161"/>
        <v>1.5949673848855939E-11</v>
      </c>
      <c r="N708" s="16">
        <f t="shared" si="162"/>
        <v>94045810228.752365</v>
      </c>
      <c r="O708" s="16">
        <f t="shared" si="164"/>
        <v>70794327610.022644</v>
      </c>
      <c r="P708" s="18">
        <f t="shared" si="163"/>
        <v>-61909430621.087852</v>
      </c>
    </row>
    <row r="709" spans="1:16" x14ac:dyDescent="0.4">
      <c r="A709" s="14">
        <v>0.69599999999999995</v>
      </c>
      <c r="B709" s="44">
        <f t="shared" si="165"/>
        <v>4.3730969737969918</v>
      </c>
      <c r="C709" s="40">
        <f t="shared" si="151"/>
        <v>6.6492424324003986E-12</v>
      </c>
      <c r="D709" s="15">
        <f t="shared" si="152"/>
        <v>150393072619.40164</v>
      </c>
      <c r="E709" s="15">
        <f t="shared" si="153"/>
        <v>-50053753928.601761</v>
      </c>
      <c r="F709" s="29">
        <f t="shared" si="154"/>
        <v>-141819244143.944</v>
      </c>
      <c r="G709" s="17">
        <f t="shared" si="155"/>
        <v>18.157098635205109</v>
      </c>
      <c r="H709" s="16">
        <f t="shared" si="156"/>
        <v>2.0884655031551194E-11</v>
      </c>
      <c r="I709" s="16">
        <f t="shared" si="157"/>
        <v>47882045381.60981</v>
      </c>
      <c r="J709" s="16">
        <f t="shared" si="158"/>
        <v>36853830374.521446</v>
      </c>
      <c r="K709" s="18">
        <f t="shared" si="159"/>
        <v>-30569354861.569153</v>
      </c>
      <c r="L709" s="17">
        <f t="shared" si="160"/>
        <v>16.706811447605645</v>
      </c>
      <c r="M709" s="16">
        <f t="shared" si="161"/>
        <v>1.6023925604674059E-11</v>
      </c>
      <c r="N709" s="16">
        <f t="shared" si="162"/>
        <v>93610020228.904526</v>
      </c>
      <c r="O709" s="16">
        <f t="shared" si="164"/>
        <v>72049716744.067429</v>
      </c>
      <c r="P709" s="18">
        <f t="shared" si="163"/>
        <v>-59763485543.89682</v>
      </c>
    </row>
    <row r="710" spans="1:16" x14ac:dyDescent="0.4">
      <c r="A710" s="14">
        <v>0.69699999999999995</v>
      </c>
      <c r="B710" s="44">
        <f t="shared" si="165"/>
        <v>4.379380159104171</v>
      </c>
      <c r="C710" s="40">
        <f t="shared" si="151"/>
        <v>6.6499052109117316E-12</v>
      </c>
      <c r="D710" s="15">
        <f t="shared" si="152"/>
        <v>150378083338.55869</v>
      </c>
      <c r="E710" s="15">
        <f t="shared" si="153"/>
        <v>-49156795365.828285</v>
      </c>
      <c r="F710" s="29">
        <f t="shared" si="154"/>
        <v>-142116773879.58322</v>
      </c>
      <c r="G710" s="17">
        <f t="shared" si="155"/>
        <v>18.183186420600517</v>
      </c>
      <c r="H710" s="16">
        <f t="shared" si="156"/>
        <v>2.094543108144067E-11</v>
      </c>
      <c r="I710" s="16">
        <f t="shared" si="157"/>
        <v>47743109039.473534</v>
      </c>
      <c r="J710" s="16">
        <f t="shared" si="158"/>
        <v>37529472720.371582</v>
      </c>
      <c r="K710" s="18">
        <f t="shared" si="159"/>
        <v>-29511745764.79583</v>
      </c>
      <c r="L710" s="17">
        <f t="shared" si="160"/>
        <v>16.730815487041859</v>
      </c>
      <c r="M710" s="16">
        <f t="shared" si="161"/>
        <v>1.60993336798375E-11</v>
      </c>
      <c r="N710" s="16">
        <f t="shared" si="162"/>
        <v>93171557893.639511</v>
      </c>
      <c r="O710" s="16">
        <f t="shared" si="164"/>
        <v>73239458230.356247</v>
      </c>
      <c r="P710" s="18">
        <f t="shared" si="163"/>
        <v>-57592716192.689873</v>
      </c>
    </row>
    <row r="711" spans="1:16" x14ac:dyDescent="0.4">
      <c r="A711" s="14">
        <v>0.69799999999999995</v>
      </c>
      <c r="B711" s="44">
        <f t="shared" si="165"/>
        <v>4.3856633444113511</v>
      </c>
      <c r="C711" s="40">
        <f t="shared" si="151"/>
        <v>6.6505694314060018E-12</v>
      </c>
      <c r="D711" s="15">
        <f t="shared" si="152"/>
        <v>150363064443.42905</v>
      </c>
      <c r="E711" s="15">
        <f t="shared" si="153"/>
        <v>-48258064684.148232</v>
      </c>
      <c r="F711" s="29">
        <f t="shared" si="154"/>
        <v>-142408603468.18713</v>
      </c>
      <c r="G711" s="17">
        <f t="shared" si="155"/>
        <v>18.209274205995932</v>
      </c>
      <c r="H711" s="16">
        <f t="shared" si="156"/>
        <v>2.1004223656714902E-11</v>
      </c>
      <c r="I711" s="16">
        <f t="shared" si="157"/>
        <v>47609472092.071686</v>
      </c>
      <c r="J711" s="16">
        <f t="shared" si="158"/>
        <v>38179344303.619995</v>
      </c>
      <c r="K711" s="18">
        <f t="shared" si="159"/>
        <v>-28442916542.285042</v>
      </c>
      <c r="L711" s="17">
        <f t="shared" si="160"/>
        <v>16.754819526478077</v>
      </c>
      <c r="M711" s="16">
        <f t="shared" si="161"/>
        <v>1.6175854626758912E-11</v>
      </c>
      <c r="N711" s="16">
        <f t="shared" si="162"/>
        <v>92730803695.442749</v>
      </c>
      <c r="O711" s="16">
        <f t="shared" si="164"/>
        <v>74363380358.281311</v>
      </c>
      <c r="P711" s="18">
        <f t="shared" si="163"/>
        <v>-55399364758.924072</v>
      </c>
    </row>
    <row r="712" spans="1:16" x14ac:dyDescent="0.4">
      <c r="A712" s="14">
        <v>0.69899999999999995</v>
      </c>
      <c r="B712" s="44">
        <f t="shared" si="165"/>
        <v>4.3919465297185303</v>
      </c>
      <c r="C712" s="40">
        <f t="shared" si="151"/>
        <v>6.6512350676609198E-12</v>
      </c>
      <c r="D712" s="15">
        <f t="shared" si="152"/>
        <v>150348016545.39569</v>
      </c>
      <c r="E712" s="15">
        <f t="shared" si="153"/>
        <v>-47357598468.712471</v>
      </c>
      <c r="F712" s="29">
        <f t="shared" si="154"/>
        <v>-142694722910.17206</v>
      </c>
      <c r="G712" s="17">
        <f t="shared" si="155"/>
        <v>18.23536199139134</v>
      </c>
      <c r="H712" s="16">
        <f t="shared" si="156"/>
        <v>2.1060992747030417E-11</v>
      </c>
      <c r="I712" s="16">
        <f t="shared" si="157"/>
        <v>47481142603.830925</v>
      </c>
      <c r="J712" s="16">
        <f t="shared" si="158"/>
        <v>38803405907.254921</v>
      </c>
      <c r="K712" s="18">
        <f t="shared" si="159"/>
        <v>-27363380510.495083</v>
      </c>
      <c r="L712" s="17">
        <f t="shared" si="160"/>
        <v>16.778823565914291</v>
      </c>
      <c r="M712" s="16">
        <f t="shared" si="161"/>
        <v>1.6253444356651758E-11</v>
      </c>
      <c r="N712" s="16">
        <f t="shared" si="162"/>
        <v>92288130877.694336</v>
      </c>
      <c r="O712" s="16">
        <f t="shared" si="164"/>
        <v>75421390608.660416</v>
      </c>
      <c r="P712" s="18">
        <f t="shared" si="163"/>
        <v>-53185645991.69883</v>
      </c>
    </row>
    <row r="713" spans="1:16" x14ac:dyDescent="0.4">
      <c r="A713" s="14">
        <v>0.7</v>
      </c>
      <c r="B713" s="44">
        <f t="shared" si="165"/>
        <v>4.3982297150257104</v>
      </c>
      <c r="C713" s="40">
        <f t="shared" si="151"/>
        <v>6.6519020933983074E-12</v>
      </c>
      <c r="D713" s="15">
        <f t="shared" si="152"/>
        <v>150332940256.6601</v>
      </c>
      <c r="E713" s="15">
        <f t="shared" si="153"/>
        <v>-46455433353.661659</v>
      </c>
      <c r="F713" s="29">
        <f t="shared" si="154"/>
        <v>-142975122444.90659</v>
      </c>
      <c r="G713" s="17">
        <f t="shared" si="155"/>
        <v>18.261449776786751</v>
      </c>
      <c r="H713" s="16">
        <f t="shared" si="156"/>
        <v>2.1115699719093997E-11</v>
      </c>
      <c r="I713" s="16">
        <f t="shared" si="157"/>
        <v>47358127521.37899</v>
      </c>
      <c r="J713" s="16">
        <f t="shared" si="158"/>
        <v>39401623750.079979</v>
      </c>
      <c r="K713" s="18">
        <f t="shared" si="159"/>
        <v>-26273642461.378048</v>
      </c>
      <c r="L713" s="17">
        <f t="shared" si="160"/>
        <v>16.802827605350508</v>
      </c>
      <c r="M713" s="16">
        <f t="shared" si="161"/>
        <v>1.6332058164932889E-11</v>
      </c>
      <c r="N713" s="16">
        <f t="shared" si="162"/>
        <v>91843905088.502594</v>
      </c>
      <c r="O713" s="16">
        <f t="shared" si="164"/>
        <v>76413472859.57605</v>
      </c>
      <c r="P713" s="18">
        <f t="shared" si="163"/>
        <v>-50953744390.816917</v>
      </c>
    </row>
    <row r="714" spans="1:16" x14ac:dyDescent="0.4">
      <c r="A714" s="14">
        <v>0.70099999999999996</v>
      </c>
      <c r="B714" s="44">
        <f t="shared" si="165"/>
        <v>4.4045129003328896</v>
      </c>
      <c r="C714" s="40">
        <f t="shared" si="151"/>
        <v>6.65257048228513E-12</v>
      </c>
      <c r="D714" s="15">
        <f t="shared" si="152"/>
        <v>150317836190.21564</v>
      </c>
      <c r="E714" s="15">
        <f t="shared" si="153"/>
        <v>-45551606020.517227</v>
      </c>
      <c r="F714" s="29">
        <f t="shared" si="154"/>
        <v>-143249792550.84485</v>
      </c>
      <c r="G714" s="17">
        <f t="shared" si="155"/>
        <v>18.287537562182159</v>
      </c>
      <c r="H714" s="16">
        <f t="shared" si="156"/>
        <v>2.1168307342953859E-11</v>
      </c>
      <c r="I714" s="16">
        <f t="shared" si="157"/>
        <v>47240432775.219635</v>
      </c>
      <c r="J714" s="16">
        <f t="shared" si="158"/>
        <v>39973968992.272583</v>
      </c>
      <c r="K714" s="18">
        <f t="shared" si="159"/>
        <v>-25174198930.549419</v>
      </c>
      <c r="L714" s="17">
        <f t="shared" si="160"/>
        <v>16.826831644786722</v>
      </c>
      <c r="M714" s="16">
        <f t="shared" si="161"/>
        <v>1.6411650756979695E-11</v>
      </c>
      <c r="N714" s="16">
        <f t="shared" si="162"/>
        <v>91398484053.291626</v>
      </c>
      <c r="O714" s="16">
        <f t="shared" si="164"/>
        <v>77339684521.338791</v>
      </c>
      <c r="P714" s="18">
        <f t="shared" si="163"/>
        <v>-48705811618.11795</v>
      </c>
    </row>
    <row r="715" spans="1:16" x14ac:dyDescent="0.4">
      <c r="A715" s="14">
        <v>0.70199999999999996</v>
      </c>
      <c r="B715" s="44">
        <f t="shared" si="165"/>
        <v>4.4107960856400696</v>
      </c>
      <c r="C715" s="40">
        <f t="shared" si="151"/>
        <v>6.6532402079345391E-12</v>
      </c>
      <c r="D715" s="15">
        <f t="shared" si="152"/>
        <v>150302704959.82053</v>
      </c>
      <c r="E715" s="15">
        <f t="shared" si="153"/>
        <v>-44646153196.571548</v>
      </c>
      <c r="F715" s="29">
        <f t="shared" si="154"/>
        <v>-143518723945.64801</v>
      </c>
      <c r="G715" s="17">
        <f t="shared" si="155"/>
        <v>18.31362534757757</v>
      </c>
      <c r="H715" s="16">
        <f t="shared" si="156"/>
        <v>2.1218779817335979E-11</v>
      </c>
      <c r="I715" s="16">
        <f t="shared" si="157"/>
        <v>47128063376.339333</v>
      </c>
      <c r="J715" s="16">
        <f t="shared" si="158"/>
        <v>40520417265.589005</v>
      </c>
      <c r="K715" s="18">
        <f t="shared" si="159"/>
        <v>-24065538477.807083</v>
      </c>
      <c r="L715" s="17">
        <f t="shared" si="160"/>
        <v>16.850835684222936</v>
      </c>
      <c r="M715" s="16">
        <f t="shared" si="161"/>
        <v>1.6492176274227448E-11</v>
      </c>
      <c r="N715" s="16">
        <f t="shared" si="162"/>
        <v>90952217285.239105</v>
      </c>
      <c r="O715" s="16">
        <f t="shared" si="164"/>
        <v>78200153615.450134</v>
      </c>
      <c r="P715" s="18">
        <f t="shared" si="163"/>
        <v>-46443964124.753052</v>
      </c>
    </row>
    <row r="716" spans="1:16" x14ac:dyDescent="0.4">
      <c r="A716" s="14">
        <v>0.70299999999999996</v>
      </c>
      <c r="B716" s="44">
        <f t="shared" si="165"/>
        <v>4.4170792709472488</v>
      </c>
      <c r="C716" s="40">
        <f t="shared" si="151"/>
        <v>6.6539112439069127E-12</v>
      </c>
      <c r="D716" s="15">
        <f t="shared" si="152"/>
        <v>150287547179.97104</v>
      </c>
      <c r="E716" s="15">
        <f t="shared" si="153"/>
        <v>-43739111653.281891</v>
      </c>
      <c r="F716" s="29">
        <f t="shared" si="154"/>
        <v>-143781907586.29459</v>
      </c>
      <c r="G716" s="17">
        <f t="shared" si="155"/>
        <v>18.339713132972978</v>
      </c>
      <c r="H716" s="16">
        <f t="shared" si="156"/>
        <v>2.1267082794008024E-11</v>
      </c>
      <c r="I716" s="16">
        <f t="shared" si="157"/>
        <v>47021023507.829147</v>
      </c>
      <c r="J716" s="16">
        <f t="shared" si="158"/>
        <v>41040948227.810394</v>
      </c>
      <c r="K716" s="18">
        <f t="shared" si="159"/>
        <v>-22948141978.94915</v>
      </c>
      <c r="L716" s="17">
        <f t="shared" si="160"/>
        <v>16.87483972365915</v>
      </c>
      <c r="M716" s="16">
        <f t="shared" si="161"/>
        <v>1.6573588320591392E-11</v>
      </c>
      <c r="N716" s="16">
        <f t="shared" si="162"/>
        <v>90505445832.533859</v>
      </c>
      <c r="O716" s="16">
        <f t="shared" si="164"/>
        <v>78995075811.768661</v>
      </c>
      <c r="P716" s="18">
        <f t="shared" si="163"/>
        <v>-44170280991.166924</v>
      </c>
    </row>
    <row r="717" spans="1:16" x14ac:dyDescent="0.4">
      <c r="A717" s="14">
        <v>0.70399999999999996</v>
      </c>
      <c r="B717" s="44">
        <f t="shared" si="165"/>
        <v>4.423362456254428</v>
      </c>
      <c r="C717" s="40">
        <f t="shared" ref="C717:C780" si="166">((semiejeMayorTierra*(1-(excentricidadTierra^2)))^-1)*(1+excentricidadTierra*COS(Φ))</f>
        <v>6.6545835637108989E-12</v>
      </c>
      <c r="D717" s="15">
        <f t="shared" ref="D717:D780" si="167">1/u0Tierra</f>
        <v>150272363465.87469</v>
      </c>
      <c r="E717" s="15">
        <f t="shared" ref="E717:E780" si="168">r0Tierra*COS(Φ)</f>
        <v>-42830518204.66391</v>
      </c>
      <c r="F717" s="29">
        <f t="shared" ref="F717:F780" si="169">r0Tierra*SIN(Φ)</f>
        <v>-144039334669.17953</v>
      </c>
      <c r="G717" s="17">
        <f t="shared" ref="G717:G780" si="170">Φ*relaciónOrbitas</f>
        <v>18.365800918368386</v>
      </c>
      <c r="H717" s="16">
        <f t="shared" ref="H717:H780" si="171">((semiejeMayorMercurio*(1-(excentricidadMercurio^2)))^-1)*(1+excentricidadMercurio*COS(ΦMercurio))</f>
        <v>2.1313183401154509E-11</v>
      </c>
      <c r="I717" s="16">
        <f t="shared" ref="I717:I780" si="172">1/u0Mercurio</f>
        <v>46919316611.606277</v>
      </c>
      <c r="J717" s="16">
        <f t="shared" ref="J717:J780" si="173">r0Mercurio*COS(ΦMercurio)</f>
        <v>41535545141.019386</v>
      </c>
      <c r="K717" s="18">
        <f t="shared" ref="K717:K780" si="174">r0Mercurio*SIN(ΦMercurio)</f>
        <v>-21822482927.900158</v>
      </c>
      <c r="L717" s="17">
        <f t="shared" ref="L717:L780" si="175">ΦMercurio*(1-(simulaciónÁngulo*((3/2)*rsSol*((semiejeMayorMercurio*(1-(excentricidadMercurio^2)))^-1))))</f>
        <v>16.898843763095364</v>
      </c>
      <c r="M717" s="16">
        <f t="shared" ref="M717:M780" si="176">((semiejeMayorMercurio*(1-(excentricidadMercurio^2)))^-1)*(1+excentricidadMercurio*COS(ΦLPMercurio))</f>
        <v>1.665583998919863E-11</v>
      </c>
      <c r="N717" s="16">
        <f t="shared" ref="N717:N780" si="177">1*simulaciónRadio/uMercurio</f>
        <v>90058502061.304337</v>
      </c>
      <c r="O717" s="16">
        <f t="shared" si="164"/>
        <v>79724711437.390945</v>
      </c>
      <c r="P717" s="18">
        <f t="shared" ref="P717:P780" si="178">rMercurio*SIN(ΦMercurio)</f>
        <v>-41886801975.690437</v>
      </c>
    </row>
    <row r="718" spans="1:16" x14ac:dyDescent="0.4">
      <c r="A718" s="14">
        <v>0.70499999999999996</v>
      </c>
      <c r="B718" s="44">
        <f t="shared" si="165"/>
        <v>4.4296456415616081</v>
      </c>
      <c r="C718" s="40">
        <f t="shared" si="166"/>
        <v>6.6552571408044642E-12</v>
      </c>
      <c r="D718" s="15">
        <f t="shared" si="167"/>
        <v>150257154433.42337</v>
      </c>
      <c r="E718" s="15">
        <f t="shared" si="168"/>
        <v>-41920409705.688118</v>
      </c>
      <c r="F718" s="29">
        <f t="shared" si="169"/>
        <v>-144290996630.20175</v>
      </c>
      <c r="G718" s="17">
        <f t="shared" si="170"/>
        <v>18.391888703763797</v>
      </c>
      <c r="H718" s="16">
        <f t="shared" si="171"/>
        <v>2.1357050265747185E-11</v>
      </c>
      <c r="I718" s="16">
        <f t="shared" si="172"/>
        <v>46822945470.321701</v>
      </c>
      <c r="J718" s="16">
        <f t="shared" si="173"/>
        <v>42004194473.286285</v>
      </c>
      <c r="K718" s="18">
        <f t="shared" si="174"/>
        <v>-20689027748.230831</v>
      </c>
      <c r="L718" s="17">
        <f t="shared" si="175"/>
        <v>16.922847802531582</v>
      </c>
      <c r="M718" s="16">
        <f t="shared" si="176"/>
        <v>1.6738883889414276E-11</v>
      </c>
      <c r="N718" s="16">
        <f t="shared" si="177"/>
        <v>89611709472.971786</v>
      </c>
      <c r="O718" s="16">
        <f t="shared" ref="O718:O781" si="179">rMercurio*COS(ΦMercurio)</f>
        <v>80389382470.014786</v>
      </c>
      <c r="P718" s="18">
        <f t="shared" si="178"/>
        <v>-39595525766.909317</v>
      </c>
    </row>
    <row r="719" spans="1:16" x14ac:dyDescent="0.4">
      <c r="A719" s="14">
        <v>0.70599999999999996</v>
      </c>
      <c r="B719" s="44">
        <f t="shared" ref="B719:B782" si="180">A719*2*PI()</f>
        <v>4.4359288268687873</v>
      </c>
      <c r="C719" s="40">
        <f t="shared" si="166"/>
        <v>6.6559319485959371E-12</v>
      </c>
      <c r="D719" s="15">
        <f t="shared" si="167"/>
        <v>150241920699.16656</v>
      </c>
      <c r="E719" s="15">
        <f t="shared" si="168"/>
        <v>-41008823050.678108</v>
      </c>
      <c r="F719" s="29">
        <f t="shared" si="169"/>
        <v>-144536885144.84055</v>
      </c>
      <c r="G719" s="17">
        <f t="shared" si="170"/>
        <v>18.417976489159205</v>
      </c>
      <c r="H719" s="16">
        <f t="shared" si="171"/>
        <v>2.1398653534895432E-11</v>
      </c>
      <c r="I719" s="16">
        <f t="shared" si="172"/>
        <v>46731912284.54023</v>
      </c>
      <c r="J719" s="16">
        <f t="shared" si="173"/>
        <v>42446885523.344841</v>
      </c>
      <c r="K719" s="18">
        <f t="shared" si="174"/>
        <v>-19548236113.215443</v>
      </c>
      <c r="L719" s="17">
        <f t="shared" si="175"/>
        <v>16.946851841967796</v>
      </c>
      <c r="M719" s="16">
        <f t="shared" si="176"/>
        <v>1.68226721741463E-11</v>
      </c>
      <c r="N719" s="16">
        <f t="shared" si="177"/>
        <v>89165382554.696335</v>
      </c>
      <c r="O719" s="16">
        <f t="shared" si="179"/>
        <v>80989469527.796814</v>
      </c>
      <c r="P719" s="18">
        <f t="shared" si="178"/>
        <v>-37298408434.294052</v>
      </c>
    </row>
    <row r="720" spans="1:16" x14ac:dyDescent="0.4">
      <c r="A720" s="14">
        <v>0.70699999999999996</v>
      </c>
      <c r="B720" s="44">
        <f t="shared" si="180"/>
        <v>4.4422120121759674</v>
      </c>
      <c r="C720" s="40">
        <f t="shared" si="166"/>
        <v>6.6566079604450627E-12</v>
      </c>
      <c r="D720" s="15">
        <f t="shared" si="167"/>
        <v>150226662880.2847</v>
      </c>
      <c r="E720" s="15">
        <f t="shared" si="168"/>
        <v>-40095795171.709442</v>
      </c>
      <c r="F720" s="29">
        <f t="shared" si="169"/>
        <v>-144776992128.22122</v>
      </c>
      <c r="G720" s="17">
        <f t="shared" si="170"/>
        <v>18.444064274554616</v>
      </c>
      <c r="H720" s="16">
        <f t="shared" si="171"/>
        <v>2.1437964896162193E-11</v>
      </c>
      <c r="I720" s="16">
        <f t="shared" si="172"/>
        <v>46646218745.279282</v>
      </c>
      <c r="J720" s="16">
        <f t="shared" si="173"/>
        <v>42863610067.839317</v>
      </c>
      <c r="K720" s="18">
        <f t="shared" si="174"/>
        <v>-18400561273.631516</v>
      </c>
      <c r="L720" s="17">
        <f t="shared" si="175"/>
        <v>16.97085588140401</v>
      </c>
      <c r="M720" s="16">
        <f t="shared" si="176"/>
        <v>1.6907156567413478E-11</v>
      </c>
      <c r="N720" s="16">
        <f t="shared" si="177"/>
        <v>88719826661.513901</v>
      </c>
      <c r="O720" s="16">
        <f t="shared" si="179"/>
        <v>81525408866.935974</v>
      </c>
      <c r="P720" s="18">
        <f t="shared" si="178"/>
        <v>-34997362070.990288</v>
      </c>
    </row>
    <row r="721" spans="1:16" x14ac:dyDescent="0.4">
      <c r="A721" s="14">
        <v>0.70799999999999996</v>
      </c>
      <c r="B721" s="44">
        <f t="shared" si="180"/>
        <v>4.4484951974831466</v>
      </c>
      <c r="C721" s="40">
        <f t="shared" si="166"/>
        <v>6.6572851496640494E-12</v>
      </c>
      <c r="D721" s="15">
        <f t="shared" si="167"/>
        <v>150211381594.56241</v>
      </c>
      <c r="E721" s="15">
        <f t="shared" si="168"/>
        <v>-39181363037.012253</v>
      </c>
      <c r="F721" s="29">
        <f t="shared" si="169"/>
        <v>-145011309735.16891</v>
      </c>
      <c r="G721" s="17">
        <f t="shared" si="170"/>
        <v>18.470152059950024</v>
      </c>
      <c r="H721" s="16">
        <f t="shared" si="171"/>
        <v>2.1474957596831517E-11</v>
      </c>
      <c r="I721" s="16">
        <f t="shared" si="172"/>
        <v>46565866101.991425</v>
      </c>
      <c r="J721" s="16">
        <f t="shared" si="173"/>
        <v>43254362030.727562</v>
      </c>
      <c r="K721" s="18">
        <f t="shared" si="174"/>
        <v>-17246450392.569122</v>
      </c>
      <c r="L721" s="17">
        <f t="shared" si="175"/>
        <v>16.994859920840224</v>
      </c>
      <c r="M721" s="16">
        <f t="shared" si="176"/>
        <v>1.6992288392160341E-11</v>
      </c>
      <c r="N721" s="16">
        <f t="shared" si="177"/>
        <v>88275337928.707031</v>
      </c>
      <c r="O721" s="16">
        <f t="shared" si="179"/>
        <v>81997689397.423615</v>
      </c>
      <c r="P721" s="18">
        <f t="shared" si="178"/>
        <v>-32694253622.1744</v>
      </c>
    </row>
    <row r="722" spans="1:16" x14ac:dyDescent="0.4">
      <c r="A722" s="14">
        <v>0.70899999999999996</v>
      </c>
      <c r="B722" s="44">
        <f t="shared" si="180"/>
        <v>4.4547783827903267</v>
      </c>
      <c r="C722" s="40">
        <f t="shared" si="166"/>
        <v>6.6579634895186281E-12</v>
      </c>
      <c r="D722" s="15">
        <f t="shared" si="167"/>
        <v>150196077460.36169</v>
      </c>
      <c r="E722" s="15">
        <f t="shared" si="168"/>
        <v>-38265563649.373856</v>
      </c>
      <c r="F722" s="29">
        <f t="shared" si="169"/>
        <v>-145239830360.25168</v>
      </c>
      <c r="G722" s="17">
        <f t="shared" si="170"/>
        <v>18.496239845345436</v>
      </c>
      <c r="H722" s="16">
        <f t="shared" si="171"/>
        <v>2.1509606462114725E-11</v>
      </c>
      <c r="I722" s="16">
        <f t="shared" si="172"/>
        <v>46490855226.073936</v>
      </c>
      <c r="J722" s="16">
        <f t="shared" si="173"/>
        <v>43619137174.436638</v>
      </c>
      <c r="K722" s="18">
        <f t="shared" si="174"/>
        <v>-16086344886.562838</v>
      </c>
      <c r="L722" s="17">
        <f t="shared" si="175"/>
        <v>17.018863960276441</v>
      </c>
      <c r="M722" s="16">
        <f t="shared" si="176"/>
        <v>1.7078018598303253E-11</v>
      </c>
      <c r="N722" s="16">
        <f t="shared" si="177"/>
        <v>87832203212.908371</v>
      </c>
      <c r="O722" s="16">
        <f t="shared" si="179"/>
        <v>82406849726.614044</v>
      </c>
      <c r="P722" s="18">
        <f t="shared" si="178"/>
        <v>-30390903891.935852</v>
      </c>
    </row>
    <row r="723" spans="1:16" x14ac:dyDescent="0.4">
      <c r="A723" s="14">
        <v>0.71</v>
      </c>
      <c r="B723" s="44">
        <f t="shared" si="180"/>
        <v>4.4610615680975059</v>
      </c>
      <c r="C723" s="40">
        <f t="shared" si="166"/>
        <v>6.6586429532291011E-12</v>
      </c>
      <c r="D723" s="15">
        <f t="shared" si="167"/>
        <v>150180751096.59561</v>
      </c>
      <c r="E723" s="15">
        <f t="shared" si="168"/>
        <v>-37348434044.545578</v>
      </c>
      <c r="F723" s="29">
        <f t="shared" si="169"/>
        <v>-145462546637.81268</v>
      </c>
      <c r="G723" s="17">
        <f t="shared" si="170"/>
        <v>18.522327630740843</v>
      </c>
      <c r="H723" s="16">
        <f t="shared" si="171"/>
        <v>2.1541887912282674E-11</v>
      </c>
      <c r="I723" s="16">
        <f t="shared" si="172"/>
        <v>46421186669.986511</v>
      </c>
      <c r="J723" s="16">
        <f t="shared" si="173"/>
        <v>43957932812.375122</v>
      </c>
      <c r="K723" s="18">
        <f t="shared" si="174"/>
        <v>-14920680772.419462</v>
      </c>
      <c r="L723" s="17">
        <f t="shared" si="175"/>
        <v>17.042867999712655</v>
      </c>
      <c r="M723" s="16">
        <f t="shared" si="176"/>
        <v>1.7164297790991397E-11</v>
      </c>
      <c r="N723" s="16">
        <f t="shared" si="177"/>
        <v>87390700060.404922</v>
      </c>
      <c r="O723" s="16">
        <f t="shared" si="179"/>
        <v>82753475239.473511</v>
      </c>
      <c r="P723" s="18">
        <f t="shared" si="178"/>
        <v>-28089086721.314075</v>
      </c>
    </row>
    <row r="724" spans="1:16" x14ac:dyDescent="0.4">
      <c r="A724" s="14">
        <v>0.71099999999999997</v>
      </c>
      <c r="B724" s="44">
        <f t="shared" si="180"/>
        <v>4.467344753404686</v>
      </c>
      <c r="C724" s="40">
        <f t="shared" si="166"/>
        <v>6.659323513971406E-12</v>
      </c>
      <c r="D724" s="15">
        <f t="shared" si="167"/>
        <v>150165403122.70129</v>
      </c>
      <c r="E724" s="15">
        <f t="shared" si="168"/>
        <v>-36430011289.649612</v>
      </c>
      <c r="F724" s="29">
        <f t="shared" si="169"/>
        <v>-145679451441.99091</v>
      </c>
      <c r="G724" s="17">
        <f t="shared" si="170"/>
        <v>18.548415416136258</v>
      </c>
      <c r="H724" s="16">
        <f t="shared" si="171"/>
        <v>2.1571779978712603E-11</v>
      </c>
      <c r="I724" s="16">
        <f t="shared" si="172"/>
        <v>46356860722.055244</v>
      </c>
      <c r="J724" s="16">
        <f t="shared" si="173"/>
        <v>44270747542.42379</v>
      </c>
      <c r="K724" s="18">
        <f t="shared" si="174"/>
        <v>-13749889019.15234</v>
      </c>
      <c r="L724" s="17">
        <f t="shared" si="175"/>
        <v>17.066872039148873</v>
      </c>
      <c r="M724" s="16">
        <f t="shared" si="176"/>
        <v>1.7251076259066479E-11</v>
      </c>
      <c r="N724" s="16">
        <f t="shared" si="177"/>
        <v>86951096701.091888</v>
      </c>
      <c r="O724" s="16">
        <f t="shared" si="179"/>
        <v>83038195223.592636</v>
      </c>
      <c r="P724" s="18">
        <f t="shared" si="178"/>
        <v>-25790528329.818077</v>
      </c>
    </row>
    <row r="725" spans="1:16" x14ac:dyDescent="0.4">
      <c r="A725" s="14">
        <v>0.71199999999999997</v>
      </c>
      <c r="B725" s="44">
        <f t="shared" si="180"/>
        <v>4.4736279387118651</v>
      </c>
      <c r="C725" s="40">
        <f t="shared" si="166"/>
        <v>6.660005144878168E-12</v>
      </c>
      <c r="D725" s="15">
        <f t="shared" si="167"/>
        <v>150150034158.61371</v>
      </c>
      <c r="E725" s="15">
        <f t="shared" si="168"/>
        <v>-35510332481.590202</v>
      </c>
      <c r="F725" s="29">
        <f t="shared" si="169"/>
        <v>-145890537886.73132</v>
      </c>
      <c r="G725" s="17">
        <f t="shared" si="170"/>
        <v>18.574503201531666</v>
      </c>
      <c r="H725" s="16">
        <f t="shared" si="171"/>
        <v>2.1599262318838459E-11</v>
      </c>
      <c r="I725" s="16">
        <f t="shared" si="172"/>
        <v>46297877457.037933</v>
      </c>
      <c r="J725" s="16">
        <f t="shared" si="173"/>
        <v>44557581001.038353</v>
      </c>
      <c r="K725" s="18">
        <f t="shared" si="174"/>
        <v>-12574395904.488102</v>
      </c>
      <c r="L725" s="17">
        <f t="shared" si="175"/>
        <v>17.090876078585087</v>
      </c>
      <c r="M725" s="16">
        <f t="shared" si="176"/>
        <v>1.733830400370454E-11</v>
      </c>
      <c r="N725" s="16">
        <f t="shared" si="177"/>
        <v>86513652066.517395</v>
      </c>
      <c r="O725" s="16">
        <f t="shared" si="179"/>
        <v>83261680046.274094</v>
      </c>
      <c r="P725" s="18">
        <f t="shared" si="178"/>
        <v>-23496906812.563938</v>
      </c>
    </row>
    <row r="726" spans="1:16" x14ac:dyDescent="0.4">
      <c r="A726" s="14">
        <v>0.71299999999999997</v>
      </c>
      <c r="B726" s="44">
        <f t="shared" si="180"/>
        <v>4.4799111240190443</v>
      </c>
      <c r="C726" s="40">
        <f t="shared" si="166"/>
        <v>6.6606878190397686E-12</v>
      </c>
      <c r="D726" s="15">
        <f t="shared" si="167"/>
        <v>150134644824.73883</v>
      </c>
      <c r="E726" s="15">
        <f t="shared" si="168"/>
        <v>-34589434745.465256</v>
      </c>
      <c r="F726" s="29">
        <f t="shared" si="169"/>
        <v>-146095799325.78375</v>
      </c>
      <c r="G726" s="17">
        <f t="shared" si="170"/>
        <v>18.600590986927074</v>
      </c>
      <c r="H726" s="16">
        <f t="shared" si="171"/>
        <v>2.1624316229994799E-11</v>
      </c>
      <c r="I726" s="16">
        <f t="shared" si="172"/>
        <v>46244236782.5214</v>
      </c>
      <c r="J726" s="16">
        <f t="shared" si="173"/>
        <v>44818433637.620529</v>
      </c>
      <c r="K726" s="18">
        <f t="shared" si="174"/>
        <v>-11394623375.439417</v>
      </c>
      <c r="L726" s="17">
        <f t="shared" si="175"/>
        <v>17.114880118021301</v>
      </c>
      <c r="M726" s="16">
        <f t="shared" si="176"/>
        <v>1.7425930767223658E-11</v>
      </c>
      <c r="N726" s="16">
        <f t="shared" si="177"/>
        <v>86078615830.457794</v>
      </c>
      <c r="O726" s="16">
        <f t="shared" si="179"/>
        <v>83424638390.264236</v>
      </c>
      <c r="P726" s="18">
        <f t="shared" si="178"/>
        <v>-21209851784.988747</v>
      </c>
    </row>
    <row r="727" spans="1:16" x14ac:dyDescent="0.4">
      <c r="A727" s="14">
        <v>0.71399999999999997</v>
      </c>
      <c r="B727" s="44">
        <f t="shared" si="180"/>
        <v>4.4861943093262244</v>
      </c>
      <c r="C727" s="40">
        <f t="shared" si="166"/>
        <v>6.6613715095053986E-12</v>
      </c>
      <c r="D727" s="15">
        <f t="shared" si="167"/>
        <v>150119235741.92743</v>
      </c>
      <c r="E727" s="15">
        <f t="shared" si="168"/>
        <v>-33667355232.981655</v>
      </c>
      <c r="F727" s="29">
        <f t="shared" si="169"/>
        <v>-146295229352.6915</v>
      </c>
      <c r="G727" s="17">
        <f t="shared" si="170"/>
        <v>18.626678772322485</v>
      </c>
      <c r="H727" s="16">
        <f t="shared" si="171"/>
        <v>2.1646924662144505E-11</v>
      </c>
      <c r="I727" s="16">
        <f t="shared" si="172"/>
        <v>46195938481.218544</v>
      </c>
      <c r="J727" s="16">
        <f t="shared" si="173"/>
        <v>45053306508.829689</v>
      </c>
      <c r="K727" s="18">
        <f t="shared" si="174"/>
        <v>-10210989412.489506</v>
      </c>
      <c r="L727" s="17">
        <f t="shared" si="175"/>
        <v>17.138884157457518</v>
      </c>
      <c r="M727" s="16">
        <f t="shared" si="176"/>
        <v>1.7513906062040713E-11</v>
      </c>
      <c r="N727" s="16">
        <f t="shared" si="177"/>
        <v>85646228470.476364</v>
      </c>
      <c r="O727" s="16">
        <f t="shared" si="179"/>
        <v>83527814553.965622</v>
      </c>
      <c r="P727" s="18">
        <f t="shared" si="178"/>
        <v>-18930944167.034126</v>
      </c>
    </row>
    <row r="728" spans="1:16" x14ac:dyDescent="0.4">
      <c r="A728" s="14">
        <v>0.71499999999999997</v>
      </c>
      <c r="B728" s="44">
        <f t="shared" si="180"/>
        <v>4.4924774946334036</v>
      </c>
      <c r="C728" s="40">
        <f t="shared" si="166"/>
        <v>6.6620561892841302E-12</v>
      </c>
      <c r="D728" s="15">
        <f t="shared" si="167"/>
        <v>150103807531.44846</v>
      </c>
      <c r="E728" s="15">
        <f t="shared" si="168"/>
        <v>-32744131120.873024</v>
      </c>
      <c r="F728" s="29">
        <f t="shared" si="169"/>
        <v>-146488821800.76813</v>
      </c>
      <c r="G728" s="17">
        <f t="shared" si="170"/>
        <v>18.652766557717893</v>
      </c>
      <c r="H728" s="16">
        <f t="shared" si="171"/>
        <v>2.1667072229481959E-11</v>
      </c>
      <c r="I728" s="16">
        <f t="shared" si="172"/>
        <v>46152982249.226997</v>
      </c>
      <c r="J728" s="16">
        <f t="shared" si="173"/>
        <v>45262201092.531761</v>
      </c>
      <c r="K728" s="18">
        <f t="shared" si="174"/>
        <v>-9023908396.9574318</v>
      </c>
      <c r="L728" s="17">
        <f t="shared" si="175"/>
        <v>17.162888196893729</v>
      </c>
      <c r="M728" s="16">
        <f t="shared" si="176"/>
        <v>1.7602179199760557E-11</v>
      </c>
      <c r="N728" s="16">
        <f t="shared" si="177"/>
        <v>85216721348.934143</v>
      </c>
      <c r="O728" s="16">
        <f t="shared" si="179"/>
        <v>83571985821.269501</v>
      </c>
      <c r="P728" s="18">
        <f t="shared" si="178"/>
        <v>-16661716098.632132</v>
      </c>
    </row>
    <row r="729" spans="1:16" x14ac:dyDescent="0.4">
      <c r="A729" s="14">
        <v>0.71599999999999997</v>
      </c>
      <c r="B729" s="44">
        <f t="shared" si="180"/>
        <v>4.4987606799405837</v>
      </c>
      <c r="C729" s="40">
        <f t="shared" si="166"/>
        <v>6.6627418313459776E-12</v>
      </c>
      <c r="D729" s="15">
        <f t="shared" si="167"/>
        <v>150088360814.96265</v>
      </c>
      <c r="E729" s="15">
        <f t="shared" si="168"/>
        <v>-31819799609.318817</v>
      </c>
      <c r="F729" s="29">
        <f t="shared" si="169"/>
        <v>-146676570743.06451</v>
      </c>
      <c r="G729" s="17">
        <f t="shared" si="170"/>
        <v>18.678854343113304</v>
      </c>
      <c r="H729" s="16">
        <f t="shared" si="171"/>
        <v>2.1684745220903586E-11</v>
      </c>
      <c r="I729" s="16">
        <f t="shared" si="172"/>
        <v>46115367730.30764</v>
      </c>
      <c r="J729" s="16">
        <f t="shared" si="173"/>
        <v>45445119121.10466</v>
      </c>
      <c r="K729" s="18">
        <f t="shared" si="174"/>
        <v>-7833791481.1479692</v>
      </c>
      <c r="L729" s="17">
        <f t="shared" si="175"/>
        <v>17.186892236329946</v>
      </c>
      <c r="M729" s="16">
        <f t="shared" si="176"/>
        <v>1.7690699320381115E-11</v>
      </c>
      <c r="N729" s="16">
        <f t="shared" si="177"/>
        <v>84790316811.946426</v>
      </c>
      <c r="O729" s="16">
        <f t="shared" si="179"/>
        <v>83557959905.471252</v>
      </c>
      <c r="P729" s="18">
        <f t="shared" si="178"/>
        <v>-14403650978.34236</v>
      </c>
    </row>
    <row r="730" spans="1:16" x14ac:dyDescent="0.4">
      <c r="A730" s="14">
        <v>0.71699999999999997</v>
      </c>
      <c r="B730" s="44">
        <f t="shared" si="180"/>
        <v>4.5050438652477629</v>
      </c>
      <c r="C730" s="40">
        <f t="shared" si="166"/>
        <v>6.6634284086229672E-12</v>
      </c>
      <c r="D730" s="15">
        <f t="shared" si="167"/>
        <v>150072896214.49619</v>
      </c>
      <c r="E730" s="15">
        <f t="shared" si="168"/>
        <v>-30894397920.36792</v>
      </c>
      <c r="F730" s="29">
        <f t="shared" si="169"/>
        <v>-146858470492.32437</v>
      </c>
      <c r="G730" s="17">
        <f t="shared" si="170"/>
        <v>18.704942128508712</v>
      </c>
      <c r="H730" s="16">
        <f t="shared" si="171"/>
        <v>2.1699931609338733E-11</v>
      </c>
      <c r="I730" s="16">
        <f t="shared" si="172"/>
        <v>46083094546.235451</v>
      </c>
      <c r="J730" s="16">
        <f t="shared" si="173"/>
        <v>45602062433.842804</v>
      </c>
      <c r="K730" s="18">
        <f t="shared" si="174"/>
        <v>-6641046960.9225292</v>
      </c>
      <c r="L730" s="17">
        <f t="shared" si="175"/>
        <v>17.21089627576616</v>
      </c>
      <c r="M730" s="16">
        <f t="shared" si="176"/>
        <v>1.7779415421596998E-11</v>
      </c>
      <c r="N730" s="16">
        <f t="shared" si="177"/>
        <v>84367228304.813736</v>
      </c>
      <c r="O730" s="16">
        <f t="shared" si="179"/>
        <v>83486572471.090164</v>
      </c>
      <c r="P730" s="18">
        <f t="shared" si="178"/>
        <v>-12158183617.052917</v>
      </c>
    </row>
    <row r="731" spans="1:16" x14ac:dyDescent="0.4">
      <c r="A731" s="14">
        <v>0.71799999999999997</v>
      </c>
      <c r="B731" s="44">
        <f t="shared" si="180"/>
        <v>4.511327050554943</v>
      </c>
      <c r="C731" s="40">
        <f t="shared" si="166"/>
        <v>6.6641158940102032E-12</v>
      </c>
      <c r="D731" s="15">
        <f t="shared" si="167"/>
        <v>150057414352.41446</v>
      </c>
      <c r="E731" s="15">
        <f t="shared" si="168"/>
        <v>-29967963296.363007</v>
      </c>
      <c r="F731" s="29">
        <f t="shared" si="169"/>
        <v>-147034515600.92972</v>
      </c>
      <c r="G731" s="17">
        <f t="shared" si="170"/>
        <v>18.731029913904123</v>
      </c>
      <c r="H731" s="16">
        <f t="shared" si="171"/>
        <v>2.1712621059934505E-11</v>
      </c>
      <c r="I731" s="16">
        <f t="shared" si="172"/>
        <v>46056162323.270264</v>
      </c>
      <c r="J731" s="16">
        <f t="shared" si="173"/>
        <v>45733032848.230919</v>
      </c>
      <c r="K731" s="18">
        <f t="shared" si="174"/>
        <v>-5446080650.3440294</v>
      </c>
      <c r="L731" s="17">
        <f t="shared" si="175"/>
        <v>17.234900315202378</v>
      </c>
      <c r="M731" s="16">
        <f t="shared" si="176"/>
        <v>1.7868276388185488E-11</v>
      </c>
      <c r="N731" s="16">
        <f t="shared" si="177"/>
        <v>83947660502.487</v>
      </c>
      <c r="O731" s="16">
        <f t="shared" si="179"/>
        <v>83358684736.800064</v>
      </c>
      <c r="P731" s="18">
        <f t="shared" si="178"/>
        <v>-9926700498.7353706</v>
      </c>
    </row>
    <row r="732" spans="1:16" x14ac:dyDescent="0.4">
      <c r="A732" s="14">
        <v>0.71899999999999997</v>
      </c>
      <c r="B732" s="44">
        <f t="shared" si="180"/>
        <v>4.5176102358621222</v>
      </c>
      <c r="C732" s="40">
        <f t="shared" si="166"/>
        <v>6.6648042603669388E-12</v>
      </c>
      <c r="D732" s="15">
        <f t="shared" si="167"/>
        <v>150041915851.39572</v>
      </c>
      <c r="E732" s="15">
        <f t="shared" si="168"/>
        <v>-29040532998.369656</v>
      </c>
      <c r="F732" s="29">
        <f t="shared" si="169"/>
        <v>-147204700860.83499</v>
      </c>
      <c r="G732" s="17">
        <f t="shared" si="170"/>
        <v>18.757117699299531</v>
      </c>
      <c r="H732" s="16">
        <f t="shared" si="171"/>
        <v>2.1722804937088967E-11</v>
      </c>
      <c r="I732" s="16">
        <f t="shared" si="172"/>
        <v>46034570714.789474</v>
      </c>
      <c r="J732" s="16">
        <f t="shared" si="173"/>
        <v>45838032049.882042</v>
      </c>
      <c r="K732" s="18">
        <f t="shared" si="174"/>
        <v>-4249296258.0808024</v>
      </c>
      <c r="L732" s="17">
        <f t="shared" si="175"/>
        <v>17.258904354638588</v>
      </c>
      <c r="M732" s="16">
        <f t="shared" si="176"/>
        <v>1.7957231021457265E-11</v>
      </c>
      <c r="N732" s="16">
        <f t="shared" si="177"/>
        <v>83531809453.675552</v>
      </c>
      <c r="O732" s="16">
        <f t="shared" si="179"/>
        <v>83175181162.102219</v>
      </c>
      <c r="P732" s="18">
        <f t="shared" si="178"/>
        <v>-7710540140.3946905</v>
      </c>
    </row>
    <row r="733" spans="1:16" x14ac:dyDescent="0.4">
      <c r="A733" s="14">
        <v>0.72</v>
      </c>
      <c r="B733" s="44">
        <f t="shared" si="180"/>
        <v>4.5238934211693023</v>
      </c>
      <c r="C733" s="40">
        <f t="shared" si="166"/>
        <v>6.6654934805176494E-12</v>
      </c>
      <c r="D733" s="15">
        <f t="shared" si="167"/>
        <v>150026401334.40488</v>
      </c>
      <c r="E733" s="15">
        <f t="shared" si="168"/>
        <v>-28112144304.606297</v>
      </c>
      <c r="F733" s="29">
        <f t="shared" si="169"/>
        <v>-147369021303.49146</v>
      </c>
      <c r="G733" s="17">
        <f t="shared" si="170"/>
        <v>18.783205484694943</v>
      </c>
      <c r="H733" s="16">
        <f t="shared" si="171"/>
        <v>2.1730476310327979E-11</v>
      </c>
      <c r="I733" s="16">
        <f t="shared" si="172"/>
        <v>46018319420.118912</v>
      </c>
      <c r="J733" s="16">
        <f t="shared" si="173"/>
        <v>45917061500.963715</v>
      </c>
      <c r="K733" s="18">
        <f t="shared" si="174"/>
        <v>-3051095765.2635121</v>
      </c>
      <c r="L733" s="17">
        <f t="shared" si="175"/>
        <v>17.282908394074806</v>
      </c>
      <c r="M733" s="16">
        <f t="shared" si="176"/>
        <v>1.8046228068755516E-11</v>
      </c>
      <c r="N733" s="16">
        <f t="shared" si="177"/>
        <v>83119862737.246307</v>
      </c>
      <c r="O733" s="16">
        <f t="shared" si="179"/>
        <v>82936967219.824188</v>
      </c>
      <c r="P733" s="18">
        <f t="shared" si="178"/>
        <v>-5510993543.4978409</v>
      </c>
    </row>
    <row r="734" spans="1:16" x14ac:dyDescent="0.4">
      <c r="A734" s="14">
        <v>0.72099999999999997</v>
      </c>
      <c r="B734" s="44">
        <f t="shared" si="180"/>
        <v>4.5301766064764815</v>
      </c>
      <c r="C734" s="40">
        <f t="shared" si="166"/>
        <v>6.6661835272531053E-12</v>
      </c>
      <c r="D734" s="15">
        <f t="shared" si="167"/>
        <v>150010871424.66721</v>
      </c>
      <c r="E734" s="15">
        <f t="shared" si="168"/>
        <v>-27182834508.8792</v>
      </c>
      <c r="F734" s="29">
        <f t="shared" si="169"/>
        <v>-147527472199.75989</v>
      </c>
      <c r="G734" s="17">
        <f t="shared" si="170"/>
        <v>18.80929327009035</v>
      </c>
      <c r="H734" s="16">
        <f t="shared" si="171"/>
        <v>2.1735629959021619E-11</v>
      </c>
      <c r="I734" s="16">
        <f t="shared" si="172"/>
        <v>46007408199.592514</v>
      </c>
      <c r="J734" s="16">
        <f t="shared" si="173"/>
        <v>45970122366.963089</v>
      </c>
      <c r="K734" s="18">
        <f t="shared" si="174"/>
        <v>-1851879804.5154889</v>
      </c>
      <c r="L734" s="17">
        <f t="shared" si="175"/>
        <v>17.30691243351102</v>
      </c>
      <c r="M734" s="16">
        <f t="shared" si="176"/>
        <v>1.81352162529858E-11</v>
      </c>
      <c r="N734" s="16">
        <f t="shared" si="177"/>
        <v>82711999629.617783</v>
      </c>
      <c r="O734" s="16">
        <f t="shared" si="179"/>
        <v>82644967256.021423</v>
      </c>
      <c r="P734" s="18">
        <f t="shared" si="178"/>
        <v>-3329304729.3748317</v>
      </c>
    </row>
    <row r="735" spans="1:16" x14ac:dyDescent="0.4">
      <c r="A735" s="14">
        <v>0.72199999999999998</v>
      </c>
      <c r="B735" s="44">
        <f t="shared" si="180"/>
        <v>4.5364597917836615</v>
      </c>
      <c r="C735" s="40">
        <f t="shared" si="166"/>
        <v>6.6668743733314401E-12</v>
      </c>
      <c r="D735" s="15">
        <f t="shared" si="167"/>
        <v>149995326745.64252</v>
      </c>
      <c r="E735" s="15">
        <f t="shared" si="168"/>
        <v>-26252640919.018375</v>
      </c>
      <c r="F735" s="29">
        <f t="shared" si="169"/>
        <v>-147680049059.81427</v>
      </c>
      <c r="G735" s="17">
        <f t="shared" si="170"/>
        <v>18.835381055485762</v>
      </c>
      <c r="H735" s="16">
        <f t="shared" si="171"/>
        <v>2.1738262375936979E-11</v>
      </c>
      <c r="I735" s="16">
        <f t="shared" si="172"/>
        <v>46001836885.865501</v>
      </c>
      <c r="J735" s="16">
        <f t="shared" si="173"/>
        <v>45997215461.67186</v>
      </c>
      <c r="K735" s="18">
        <f t="shared" si="174"/>
        <v>-652048039.87977207</v>
      </c>
      <c r="L735" s="17">
        <f t="shared" si="175"/>
        <v>17.330916472947237</v>
      </c>
      <c r="M735" s="16">
        <f t="shared" si="176"/>
        <v>1.8224144302160361E-11</v>
      </c>
      <c r="N735" s="16">
        <f t="shared" si="177"/>
        <v>82308391281.898712</v>
      </c>
      <c r="O735" s="16">
        <f t="shared" si="179"/>
        <v>82300122438.37941</v>
      </c>
      <c r="P735" s="18">
        <f t="shared" si="178"/>
        <v>-1166671351.2805331</v>
      </c>
    </row>
    <row r="736" spans="1:16" x14ac:dyDescent="0.4">
      <c r="A736" s="14">
        <v>0.72299999999999998</v>
      </c>
      <c r="B736" s="44">
        <f t="shared" si="180"/>
        <v>4.5427429770908407</v>
      </c>
      <c r="C736" s="40">
        <f t="shared" si="166"/>
        <v>6.6675659914792345E-12</v>
      </c>
      <c r="D736" s="15">
        <f t="shared" si="167"/>
        <v>149979767920.99881</v>
      </c>
      <c r="E736" s="15">
        <f t="shared" si="168"/>
        <v>-25321600855.318649</v>
      </c>
      <c r="F736" s="29">
        <f t="shared" si="169"/>
        <v>-147826747633.03354</v>
      </c>
      <c r="G736" s="17">
        <f t="shared" si="170"/>
        <v>18.861468840881173</v>
      </c>
      <c r="H736" s="16">
        <f t="shared" si="171"/>
        <v>2.1738371769624982E-11</v>
      </c>
      <c r="I736" s="16">
        <f t="shared" si="172"/>
        <v>46001605391.499451</v>
      </c>
      <c r="J736" s="16">
        <f t="shared" si="173"/>
        <v>45998341210.299828</v>
      </c>
      <c r="K736" s="18">
        <f t="shared" si="174"/>
        <v>548000452.6133703</v>
      </c>
      <c r="L736" s="17">
        <f t="shared" si="175"/>
        <v>17.354920512383451</v>
      </c>
      <c r="M736" s="16">
        <f t="shared" si="176"/>
        <v>1.8312960978939157E-11</v>
      </c>
      <c r="N736" s="16">
        <f t="shared" si="177"/>
        <v>81909200905.58139</v>
      </c>
      <c r="O736" s="16">
        <f t="shared" si="179"/>
        <v>81903388793.777969</v>
      </c>
      <c r="P736" s="18">
        <f t="shared" si="178"/>
        <v>975754623.94085348</v>
      </c>
    </row>
    <row r="737" spans="1:16" x14ac:dyDescent="0.4">
      <c r="A737" s="14">
        <v>0.72399999999999998</v>
      </c>
      <c r="B737" s="44">
        <f t="shared" si="180"/>
        <v>4.5490261623980199</v>
      </c>
      <c r="C737" s="40">
        <f t="shared" si="166"/>
        <v>6.6682583543925899E-12</v>
      </c>
      <c r="D737" s="15">
        <f t="shared" si="167"/>
        <v>149964195574.5864</v>
      </c>
      <c r="E737" s="15">
        <f t="shared" si="168"/>
        <v>-24389751648.981941</v>
      </c>
      <c r="F737" s="29">
        <f t="shared" si="169"/>
        <v>-147967563907.88416</v>
      </c>
      <c r="G737" s="17">
        <f t="shared" si="170"/>
        <v>18.887556626276581</v>
      </c>
      <c r="H737" s="16">
        <f t="shared" si="171"/>
        <v>2.1735958065639512E-11</v>
      </c>
      <c r="I737" s="16">
        <f t="shared" si="172"/>
        <v>46006713712.832062</v>
      </c>
      <c r="J737" s="16">
        <f t="shared" si="173"/>
        <v>45973499630.65654</v>
      </c>
      <c r="K737" s="18">
        <f t="shared" si="174"/>
        <v>1747866803.9964187</v>
      </c>
      <c r="L737" s="17">
        <f t="shared" si="175"/>
        <v>17.378924551819665</v>
      </c>
      <c r="M737" s="16">
        <f t="shared" si="176"/>
        <v>1.8401615110151216E-11</v>
      </c>
      <c r="N737" s="16">
        <f t="shared" si="177"/>
        <v>81514583965.650269</v>
      </c>
      <c r="O737" s="16">
        <f t="shared" si="179"/>
        <v>81455735335.269104</v>
      </c>
      <c r="P737" s="18">
        <f t="shared" si="178"/>
        <v>3096866171.4127102</v>
      </c>
    </row>
    <row r="738" spans="1:16" x14ac:dyDescent="0.4">
      <c r="A738" s="14">
        <v>0.72499999999999998</v>
      </c>
      <c r="B738" s="44">
        <f t="shared" si="180"/>
        <v>4.5553093477052</v>
      </c>
      <c r="C738" s="40">
        <f t="shared" si="166"/>
        <v>6.6689514347382021E-12</v>
      </c>
      <c r="D738" s="15">
        <f t="shared" si="167"/>
        <v>149948610330.4119</v>
      </c>
      <c r="E738" s="15">
        <f t="shared" si="168"/>
        <v>-23457130640.564045</v>
      </c>
      <c r="F738" s="29">
        <f t="shared" si="169"/>
        <v>-148102494111.79144</v>
      </c>
      <c r="G738" s="17">
        <f t="shared" si="170"/>
        <v>18.913644411671992</v>
      </c>
      <c r="H738" s="16">
        <f t="shared" si="171"/>
        <v>2.1731022906588072E-11</v>
      </c>
      <c r="I738" s="16">
        <f t="shared" si="172"/>
        <v>46017161930.137932</v>
      </c>
      <c r="J738" s="16">
        <f t="shared" si="173"/>
        <v>45922690332.369652</v>
      </c>
      <c r="K738" s="18">
        <f t="shared" si="174"/>
        <v>2947151971.2798891</v>
      </c>
      <c r="L738" s="17">
        <f t="shared" si="175"/>
        <v>17.402928591255883</v>
      </c>
      <c r="M738" s="16">
        <f t="shared" si="176"/>
        <v>1.8490055616278829E-11</v>
      </c>
      <c r="N738" s="16">
        <f t="shared" si="177"/>
        <v>81124688380.027649</v>
      </c>
      <c r="O738" s="16">
        <f t="shared" si="179"/>
        <v>80958142278.350403</v>
      </c>
      <c r="P738" s="18">
        <f t="shared" si="178"/>
        <v>5195600407.5531778</v>
      </c>
    </row>
    <row r="739" spans="1:16" x14ac:dyDescent="0.4">
      <c r="A739" s="14">
        <v>0.72599999999999998</v>
      </c>
      <c r="B739" s="44">
        <f t="shared" si="180"/>
        <v>4.5615925330123792</v>
      </c>
      <c r="C739" s="40">
        <f t="shared" si="166"/>
        <v>6.6696452051544459E-12</v>
      </c>
      <c r="D739" s="15">
        <f t="shared" si="167"/>
        <v>149933012812.61234</v>
      </c>
      <c r="E739" s="15">
        <f t="shared" si="168"/>
        <v>-22523775178.424789</v>
      </c>
      <c r="F739" s="29">
        <f t="shared" si="169"/>
        <v>-148231534711.00119</v>
      </c>
      <c r="G739" s="17">
        <f t="shared" si="170"/>
        <v>18.9397321970674</v>
      </c>
      <c r="H739" s="16">
        <f t="shared" si="171"/>
        <v>2.172356965101394E-11</v>
      </c>
      <c r="I739" s="16">
        <f t="shared" si="172"/>
        <v>46032950204.080544</v>
      </c>
      <c r="J739" s="16">
        <f t="shared" si="173"/>
        <v>45845912534.13858</v>
      </c>
      <c r="K739" s="18">
        <f t="shared" si="174"/>
        <v>4145456356.4791675</v>
      </c>
      <c r="L739" s="17">
        <f t="shared" si="175"/>
        <v>17.426932630692097</v>
      </c>
      <c r="M739" s="16">
        <f t="shared" si="176"/>
        <v>1.8578231540887805E-11</v>
      </c>
      <c r="N739" s="16">
        <f t="shared" si="177"/>
        <v>80739654724.333298</v>
      </c>
      <c r="O739" s="16">
        <f t="shared" si="179"/>
        <v>80411599346.074722</v>
      </c>
      <c r="P739" s="18">
        <f t="shared" si="178"/>
        <v>7270937739.4467173</v>
      </c>
    </row>
    <row r="740" spans="1:16" x14ac:dyDescent="0.4">
      <c r="A740" s="14">
        <v>0.72699999999999998</v>
      </c>
      <c r="B740" s="44">
        <f t="shared" si="180"/>
        <v>4.5678757183195593</v>
      </c>
      <c r="C740" s="40">
        <f t="shared" si="166"/>
        <v>6.6703396382524547E-12</v>
      </c>
      <c r="D740" s="15">
        <f t="shared" si="167"/>
        <v>149917403645.42929</v>
      </c>
      <c r="E740" s="15">
        <f t="shared" si="168"/>
        <v>-21589722617.180141</v>
      </c>
      <c r="F740" s="29">
        <f t="shared" si="169"/>
        <v>-148354682410.43082</v>
      </c>
      <c r="G740" s="17">
        <f t="shared" si="170"/>
        <v>18.965819982462811</v>
      </c>
      <c r="H740" s="16">
        <f t="shared" si="171"/>
        <v>2.1713603371110576E-11</v>
      </c>
      <c r="I740" s="16">
        <f t="shared" si="172"/>
        <v>46054078768.449638</v>
      </c>
      <c r="J740" s="16">
        <f t="shared" si="173"/>
        <v>45743165099.052231</v>
      </c>
      <c r="K740" s="18">
        <f t="shared" si="174"/>
        <v>5342379426.0061531</v>
      </c>
      <c r="L740" s="17">
        <f t="shared" si="175"/>
        <v>17.450936670128314</v>
      </c>
      <c r="M740" s="16">
        <f t="shared" si="176"/>
        <v>1.8666092079986964E-11</v>
      </c>
      <c r="N740" s="16">
        <f t="shared" si="177"/>
        <v>80359616440.992477</v>
      </c>
      <c r="O740" s="16">
        <f t="shared" si="179"/>
        <v>79817104162.228714</v>
      </c>
      <c r="P740" s="18">
        <f t="shared" si="178"/>
        <v>9321900970.2613659</v>
      </c>
    </row>
    <row r="741" spans="1:16" x14ac:dyDescent="0.4">
      <c r="A741" s="14">
        <v>0.72799999999999998</v>
      </c>
      <c r="B741" s="44">
        <f t="shared" si="180"/>
        <v>4.5741589036267385</v>
      </c>
      <c r="C741" s="40">
        <f t="shared" si="166"/>
        <v>6.6710347066171977E-12</v>
      </c>
      <c r="D741" s="15">
        <f t="shared" si="167"/>
        <v>149901783453.18311</v>
      </c>
      <c r="E741" s="15">
        <f t="shared" si="168"/>
        <v>-20655010316.159836</v>
      </c>
      <c r="F741" s="29">
        <f t="shared" si="169"/>
        <v>-148471934153.51041</v>
      </c>
      <c r="G741" s="17">
        <f t="shared" si="170"/>
        <v>18.991907767858219</v>
      </c>
      <c r="H741" s="16">
        <f t="shared" si="171"/>
        <v>2.1701130849269802E-11</v>
      </c>
      <c r="I741" s="16">
        <f t="shared" si="172"/>
        <v>46080547919.17205</v>
      </c>
      <c r="J741" s="16">
        <f t="shared" si="173"/>
        <v>45614446588.029259</v>
      </c>
      <c r="K741" s="18">
        <f t="shared" si="174"/>
        <v>6537519330.6740837</v>
      </c>
      <c r="L741" s="17">
        <f t="shared" si="175"/>
        <v>17.474940709564525</v>
      </c>
      <c r="M741" s="16">
        <f t="shared" si="176"/>
        <v>1.8753586611299512E-11</v>
      </c>
      <c r="N741" s="16">
        <f t="shared" si="177"/>
        <v>79984700051.786987</v>
      </c>
      <c r="O741" s="16">
        <f t="shared" si="179"/>
        <v>79175660731.538727</v>
      </c>
      <c r="P741" s="18">
        <f t="shared" si="178"/>
        <v>11347554366.409128</v>
      </c>
    </row>
    <row r="742" spans="1:16" x14ac:dyDescent="0.4">
      <c r="A742" s="14">
        <v>0.72899999999999998</v>
      </c>
      <c r="B742" s="44">
        <f t="shared" si="180"/>
        <v>4.5804420889339186</v>
      </c>
      <c r="C742" s="40">
        <f t="shared" si="166"/>
        <v>6.6717303828085657E-12</v>
      </c>
      <c r="D742" s="15">
        <f t="shared" si="167"/>
        <v>149886152860.24716</v>
      </c>
      <c r="E742" s="15">
        <f t="shared" si="168"/>
        <v>-19719675637.866299</v>
      </c>
      <c r="F742" s="29">
        <f t="shared" si="169"/>
        <v>-148583287122.01355</v>
      </c>
      <c r="G742" s="17">
        <f t="shared" si="170"/>
        <v>19.01799555325363</v>
      </c>
      <c r="H742" s="16">
        <f t="shared" si="171"/>
        <v>2.1686160573466158E-11</v>
      </c>
      <c r="I742" s="16">
        <f t="shared" si="172"/>
        <v>46112357999.577759</v>
      </c>
      <c r="J742" s="16">
        <f t="shared" si="173"/>
        <v>45459755331.468689</v>
      </c>
      <c r="K742" s="18">
        <f t="shared" si="174"/>
        <v>7730472526.581234</v>
      </c>
      <c r="L742" s="17">
        <f t="shared" si="175"/>
        <v>17.498944749000742</v>
      </c>
      <c r="M742" s="16">
        <f t="shared" si="176"/>
        <v>1.8840664723430113E-11</v>
      </c>
      <c r="N742" s="16">
        <f t="shared" si="177"/>
        <v>79615025372.996048</v>
      </c>
      <c r="O742" s="16">
        <f t="shared" si="179"/>
        <v>78488278005.60997</v>
      </c>
      <c r="P742" s="18">
        <f t="shared" si="178"/>
        <v>13347002691.873825</v>
      </c>
    </row>
    <row r="743" spans="1:16" x14ac:dyDescent="0.4">
      <c r="A743" s="14">
        <v>0.73</v>
      </c>
      <c r="B743" s="44">
        <f t="shared" si="180"/>
        <v>4.5867252742410978</v>
      </c>
      <c r="C743" s="40">
        <f t="shared" si="166"/>
        <v>6.6724266393624538E-12</v>
      </c>
      <c r="D743" s="15">
        <f t="shared" si="167"/>
        <v>149870512491.02222</v>
      </c>
      <c r="E743" s="15">
        <f t="shared" si="168"/>
        <v>-18783755946.439316</v>
      </c>
      <c r="F743" s="29">
        <f t="shared" si="169"/>
        <v>-148688738735.8782</v>
      </c>
      <c r="G743" s="17">
        <f t="shared" si="170"/>
        <v>19.044083338649038</v>
      </c>
      <c r="H743" s="16">
        <f t="shared" si="171"/>
        <v>2.1668702731480573E-11</v>
      </c>
      <c r="I743" s="16">
        <f t="shared" si="172"/>
        <v>46149509381.897003</v>
      </c>
      <c r="J743" s="16">
        <f t="shared" si="173"/>
        <v>45279089519.228325</v>
      </c>
      <c r="K743" s="18">
        <f t="shared" si="174"/>
        <v>8920833397.1388187</v>
      </c>
      <c r="L743" s="17">
        <f t="shared" si="175"/>
        <v>17.522948788436956</v>
      </c>
      <c r="M743" s="16">
        <f t="shared" si="176"/>
        <v>1.8927276244909992E-11</v>
      </c>
      <c r="N743" s="16">
        <f t="shared" si="177"/>
        <v>79250705732.336243</v>
      </c>
      <c r="O743" s="16">
        <f t="shared" si="179"/>
        <v>77755968533.093216</v>
      </c>
      <c r="P743" s="18">
        <f t="shared" si="178"/>
        <v>15319390214.821501</v>
      </c>
    </row>
    <row r="744" spans="1:16" x14ac:dyDescent="0.4">
      <c r="A744" s="14">
        <v>0.73099999999999998</v>
      </c>
      <c r="B744" s="44">
        <f t="shared" si="180"/>
        <v>4.5930084595482779</v>
      </c>
      <c r="C744" s="40">
        <f t="shared" si="166"/>
        <v>6.6731234487918475E-12</v>
      </c>
      <c r="D744" s="15">
        <f t="shared" si="167"/>
        <v>149854862969.91068</v>
      </c>
      <c r="E744" s="15">
        <f t="shared" si="168"/>
        <v>-17847288606.122196</v>
      </c>
      <c r="F744" s="29">
        <f t="shared" si="169"/>
        <v>-148788286653.01743</v>
      </c>
      <c r="G744" s="17">
        <f t="shared" si="170"/>
        <v>19.07017112404445</v>
      </c>
      <c r="H744" s="16">
        <f t="shared" si="171"/>
        <v>2.1648769203967189E-11</v>
      </c>
      <c r="I744" s="16">
        <f t="shared" si="172"/>
        <v>46192002444.958748</v>
      </c>
      <c r="J744" s="16">
        <f t="shared" si="173"/>
        <v>45072447309.076965</v>
      </c>
      <c r="K744" s="18">
        <f t="shared" si="174"/>
        <v>10108193876.53182</v>
      </c>
      <c r="L744" s="17">
        <f t="shared" si="175"/>
        <v>17.546952827873174</v>
      </c>
      <c r="M744" s="16">
        <f t="shared" si="176"/>
        <v>1.9013371273104234E-11</v>
      </c>
      <c r="N744" s="16">
        <f t="shared" si="177"/>
        <v>78891848186.957596</v>
      </c>
      <c r="O744" s="16">
        <f t="shared" si="179"/>
        <v>76979747192.371826</v>
      </c>
      <c r="P744" s="18">
        <f t="shared" si="178"/>
        <v>17263899691.3353</v>
      </c>
    </row>
    <row r="745" spans="1:16" x14ac:dyDescent="0.4">
      <c r="A745" s="14">
        <v>0.73199999999999998</v>
      </c>
      <c r="B745" s="44">
        <f t="shared" si="180"/>
        <v>4.5992916448554571</v>
      </c>
      <c r="C745" s="40">
        <f t="shared" si="166"/>
        <v>6.6738207835879014E-12</v>
      </c>
      <c r="D745" s="15">
        <f t="shared" si="167"/>
        <v>149839204921.29123</v>
      </c>
      <c r="E745" s="15">
        <f t="shared" si="168"/>
        <v>-16910310979.73377</v>
      </c>
      <c r="F745" s="29">
        <f t="shared" si="169"/>
        <v>-148881928769.12027</v>
      </c>
      <c r="G745" s="17">
        <f t="shared" si="170"/>
        <v>19.096258909439857</v>
      </c>
      <c r="H745" s="16">
        <f t="shared" si="171"/>
        <v>2.1626373556368227E-11</v>
      </c>
      <c r="I745" s="16">
        <f t="shared" si="172"/>
        <v>46239837548.054108</v>
      </c>
      <c r="J745" s="16">
        <f t="shared" si="173"/>
        <v>44839826953.794861</v>
      </c>
      <c r="K745" s="18">
        <f t="shared" si="174"/>
        <v>11292143074.906845</v>
      </c>
      <c r="L745" s="17">
        <f t="shared" si="175"/>
        <v>17.570956867309384</v>
      </c>
      <c r="M745" s="16">
        <f t="shared" si="176"/>
        <v>1.9098900202963842E-11</v>
      </c>
      <c r="N745" s="16">
        <f t="shared" si="177"/>
        <v>78538553741.813049</v>
      </c>
      <c r="O745" s="16">
        <f t="shared" si="179"/>
        <v>76160630004.903976</v>
      </c>
      <c r="P745" s="18">
        <f t="shared" si="178"/>
        <v>19179751330.811825</v>
      </c>
    </row>
    <row r="746" spans="1:16" x14ac:dyDescent="0.4">
      <c r="A746" s="14">
        <v>0.73299999999999998</v>
      </c>
      <c r="B746" s="44">
        <f t="shared" si="180"/>
        <v>4.6055748301626362</v>
      </c>
      <c r="C746" s="40">
        <f t="shared" si="166"/>
        <v>6.6745186162210317E-12</v>
      </c>
      <c r="D746" s="15">
        <f t="shared" si="167"/>
        <v>149823538969.49326</v>
      </c>
      <c r="E746" s="15">
        <f t="shared" si="168"/>
        <v>-15972860427.142157</v>
      </c>
      <c r="F746" s="29">
        <f t="shared" si="169"/>
        <v>-148969663217.44269</v>
      </c>
      <c r="G746" s="17">
        <f t="shared" si="170"/>
        <v>19.122346694835265</v>
      </c>
      <c r="H746" s="16">
        <f t="shared" si="171"/>
        <v>2.1601531029682191E-11</v>
      </c>
      <c r="I746" s="16">
        <f t="shared" si="172"/>
        <v>46293015000.923866</v>
      </c>
      <c r="J746" s="16">
        <f t="shared" si="173"/>
        <v>44581226947.124031</v>
      </c>
      <c r="K746" s="18">
        <f t="shared" si="174"/>
        <v>12472266905.610376</v>
      </c>
      <c r="L746" s="17">
        <f t="shared" si="175"/>
        <v>17.594960906745598</v>
      </c>
      <c r="M746" s="16">
        <f t="shared" si="176"/>
        <v>1.9183813755606661E-11</v>
      </c>
      <c r="N746" s="16">
        <f t="shared" si="177"/>
        <v>78190917567.765167</v>
      </c>
      <c r="O746" s="16">
        <f t="shared" si="179"/>
        <v>75299633027.203766</v>
      </c>
      <c r="P746" s="18">
        <f t="shared" si="178"/>
        <v>21066201747.289181</v>
      </c>
    </row>
    <row r="747" spans="1:16" x14ac:dyDescent="0.4">
      <c r="A747" s="14">
        <v>0.73399999999999999</v>
      </c>
      <c r="B747" s="44">
        <f t="shared" si="180"/>
        <v>4.6118580154698163</v>
      </c>
      <c r="C747" s="40">
        <f t="shared" si="166"/>
        <v>6.6752169191420028E-12</v>
      </c>
      <c r="D747" s="15">
        <f t="shared" si="167"/>
        <v>149807865738.77133</v>
      </c>
      <c r="E747" s="15">
        <f t="shared" si="168"/>
        <v>-15034974303.743675</v>
      </c>
      <c r="F747" s="29">
        <f t="shared" si="169"/>
        <v>-149051488368.58862</v>
      </c>
      <c r="G747" s="17">
        <f t="shared" si="170"/>
        <v>19.148434480230677</v>
      </c>
      <c r="H747" s="16">
        <f t="shared" si="171"/>
        <v>2.1574258530091873E-11</v>
      </c>
      <c r="I747" s="16">
        <f t="shared" si="172"/>
        <v>46351535029.822487</v>
      </c>
      <c r="J747" s="16">
        <f t="shared" si="173"/>
        <v>44296646188.79734</v>
      </c>
      <c r="K747" s="18">
        <f t="shared" si="174"/>
        <v>13648147714.813423</v>
      </c>
      <c r="L747" s="17">
        <f t="shared" si="175"/>
        <v>17.618964946181816</v>
      </c>
      <c r="M747" s="16">
        <f t="shared" si="176"/>
        <v>1.9268063006710068E-11</v>
      </c>
      <c r="N747" s="16">
        <f t="shared" si="177"/>
        <v>77849029218.849228</v>
      </c>
      <c r="O747" s="16">
        <f t="shared" si="179"/>
        <v>74397771319.331375</v>
      </c>
      <c r="P747" s="18">
        <f t="shared" si="178"/>
        <v>22922542900.684376</v>
      </c>
    </row>
    <row r="748" spans="1:16" x14ac:dyDescent="0.4">
      <c r="A748" s="14">
        <v>0.73499999999999999</v>
      </c>
      <c r="B748" s="44">
        <f t="shared" si="180"/>
        <v>4.6181412007769955</v>
      </c>
      <c r="C748" s="40">
        <f t="shared" si="166"/>
        <v>6.6759156647830092E-12</v>
      </c>
      <c r="D748" s="15">
        <f t="shared" si="167"/>
        <v>149792185853.28003</v>
      </c>
      <c r="E748" s="15">
        <f t="shared" si="168"/>
        <v>-14096689958.945684</v>
      </c>
      <c r="F748" s="29">
        <f t="shared" si="169"/>
        <v>-149127402830.28116</v>
      </c>
      <c r="G748" s="17">
        <f t="shared" si="170"/>
        <v>19.174522265626084</v>
      </c>
      <c r="H748" s="16">
        <f t="shared" si="171"/>
        <v>2.1544574617459144E-11</v>
      </c>
      <c r="I748" s="16">
        <f t="shared" si="172"/>
        <v>46415397739.606651</v>
      </c>
      <c r="J748" s="16">
        <f t="shared" si="173"/>
        <v>43986084168.900497</v>
      </c>
      <c r="K748" s="18">
        <f t="shared" si="174"/>
        <v>14819363913.889254</v>
      </c>
      <c r="L748" s="17">
        <f t="shared" si="175"/>
        <v>17.64296898561803</v>
      </c>
      <c r="M748" s="16">
        <f t="shared" si="176"/>
        <v>1.9351599414699544E-11</v>
      </c>
      <c r="N748" s="16">
        <f t="shared" si="177"/>
        <v>77512972848.156143</v>
      </c>
      <c r="O748" s="16">
        <f t="shared" si="179"/>
        <v>73456057987.656677</v>
      </c>
      <c r="P748" s="18">
        <f t="shared" si="178"/>
        <v>24748101031.655132</v>
      </c>
    </row>
    <row r="749" spans="1:16" x14ac:dyDescent="0.4">
      <c r="A749" s="14">
        <v>0.73599999999999999</v>
      </c>
      <c r="B749" s="44">
        <f t="shared" si="180"/>
        <v>4.6244243860841756</v>
      </c>
      <c r="C749" s="40">
        <f t="shared" si="166"/>
        <v>6.6766148255587707E-12</v>
      </c>
      <c r="D749" s="15">
        <f t="shared" si="167"/>
        <v>149776499937.04846</v>
      </c>
      <c r="E749" s="15">
        <f t="shared" si="168"/>
        <v>-13158044734.652021</v>
      </c>
      <c r="F749" s="29">
        <f t="shared" si="169"/>
        <v>-149197405447.12424</v>
      </c>
      <c r="G749" s="17">
        <f t="shared" si="170"/>
        <v>19.200610051021499</v>
      </c>
      <c r="H749" s="16">
        <f t="shared" si="171"/>
        <v>2.1512499492694293E-11</v>
      </c>
      <c r="I749" s="16">
        <f t="shared" si="172"/>
        <v>46484603071.791023</v>
      </c>
      <c r="J749" s="16">
        <f t="shared" si="173"/>
        <v>43649541171.845558</v>
      </c>
      <c r="K749" s="18">
        <f t="shared" si="174"/>
        <v>15985489614.939018</v>
      </c>
      <c r="L749" s="17">
        <f t="shared" si="175"/>
        <v>17.666973025054247</v>
      </c>
      <c r="M749" s="16">
        <f t="shared" si="176"/>
        <v>1.943437484871675E-11</v>
      </c>
      <c r="N749" s="16">
        <f t="shared" si="177"/>
        <v>77182827421.84758</v>
      </c>
      <c r="O749" s="16">
        <f t="shared" si="179"/>
        <v>72475503299.582779</v>
      </c>
      <c r="P749" s="18">
        <f t="shared" si="178"/>
        <v>26542235593.537945</v>
      </c>
    </row>
    <row r="750" spans="1:16" x14ac:dyDescent="0.4">
      <c r="A750" s="14">
        <v>0.73699999999999999</v>
      </c>
      <c r="B750" s="44">
        <f t="shared" si="180"/>
        <v>4.6307075713913548</v>
      </c>
      <c r="C750" s="40">
        <f t="shared" si="166"/>
        <v>6.6773143738676177E-12</v>
      </c>
      <c r="D750" s="15">
        <f t="shared" si="167"/>
        <v>149760808613.95514</v>
      </c>
      <c r="E750" s="15">
        <f t="shared" si="168"/>
        <v>-12219075963.754463</v>
      </c>
      <c r="F750" s="29">
        <f t="shared" si="169"/>
        <v>-149261495300.35434</v>
      </c>
      <c r="G750" s="17">
        <f t="shared" si="170"/>
        <v>19.226697836416907</v>
      </c>
      <c r="H750" s="16">
        <f t="shared" si="171"/>
        <v>2.1478054984008665E-11</v>
      </c>
      <c r="I750" s="16">
        <f t="shared" si="172"/>
        <v>46559150758.508766</v>
      </c>
      <c r="J750" s="16">
        <f t="shared" si="173"/>
        <v>43287018500.259247</v>
      </c>
      <c r="K750" s="18">
        <f t="shared" si="174"/>
        <v>17146094269.884359</v>
      </c>
      <c r="L750" s="17">
        <f t="shared" si="175"/>
        <v>17.690977064490461</v>
      </c>
      <c r="M750" s="16">
        <f t="shared" si="176"/>
        <v>1.951634161635082E-11</v>
      </c>
      <c r="N750" s="16">
        <f t="shared" si="177"/>
        <v>76858666930.860535</v>
      </c>
      <c r="O750" s="16">
        <f t="shared" si="179"/>
        <v>71457113867.855743</v>
      </c>
      <c r="P750" s="18">
        <f t="shared" si="178"/>
        <v>28304338184.547821</v>
      </c>
    </row>
    <row r="751" spans="1:16" x14ac:dyDescent="0.4">
      <c r="A751" s="14">
        <v>0.73799999999999999</v>
      </c>
      <c r="B751" s="44">
        <f t="shared" si="180"/>
        <v>4.6369907566985349</v>
      </c>
      <c r="C751" s="40">
        <f t="shared" si="166"/>
        <v>6.6780142820925775E-12</v>
      </c>
      <c r="D751" s="15">
        <f t="shared" si="167"/>
        <v>149745112507.70291</v>
      </c>
      <c r="E751" s="15">
        <f t="shared" si="168"/>
        <v>-11279820968.626133</v>
      </c>
      <c r="F751" s="29">
        <f t="shared" si="169"/>
        <v>-149319671707.58295</v>
      </c>
      <c r="G751" s="17">
        <f t="shared" si="170"/>
        <v>19.252785621812318</v>
      </c>
      <c r="H751" s="16">
        <f t="shared" si="171"/>
        <v>2.1441264532059784E-11</v>
      </c>
      <c r="I751" s="16">
        <f t="shared" si="172"/>
        <v>46639040272.310547</v>
      </c>
      <c r="J751" s="16">
        <f t="shared" si="173"/>
        <v>42898518719.108276</v>
      </c>
      <c r="K751" s="18">
        <f t="shared" si="174"/>
        <v>18300742313.59269</v>
      </c>
      <c r="L751" s="17">
        <f t="shared" si="175"/>
        <v>17.714981103926679</v>
      </c>
      <c r="M751" s="16">
        <f t="shared" si="176"/>
        <v>1.9597452491117203E-11</v>
      </c>
      <c r="N751" s="16">
        <f t="shared" si="177"/>
        <v>76540560599.899109</v>
      </c>
      <c r="O751" s="16">
        <f t="shared" si="179"/>
        <v>70401891902.033905</v>
      </c>
      <c r="P751" s="18">
        <f t="shared" si="178"/>
        <v>30033831483.198414</v>
      </c>
    </row>
    <row r="752" spans="1:16" x14ac:dyDescent="0.4">
      <c r="A752" s="14">
        <v>0.73899999999999999</v>
      </c>
      <c r="B752" s="44">
        <f t="shared" si="180"/>
        <v>4.6432739420057141</v>
      </c>
      <c r="C752" s="40">
        <f t="shared" si="166"/>
        <v>6.6787145226024745E-12</v>
      </c>
      <c r="D752" s="15">
        <f t="shared" si="167"/>
        <v>149729412241.79364</v>
      </c>
      <c r="E752" s="15">
        <f t="shared" si="168"/>
        <v>-10340317059.621185</v>
      </c>
      <c r="F752" s="29">
        <f t="shared" si="169"/>
        <v>-149371934222.52887</v>
      </c>
      <c r="G752" s="17">
        <f t="shared" si="170"/>
        <v>19.278873407207726</v>
      </c>
      <c r="H752" s="16">
        <f t="shared" si="171"/>
        <v>2.1402153173999232E-11</v>
      </c>
      <c r="I752" s="16">
        <f t="shared" si="172"/>
        <v>46724270771.730896</v>
      </c>
      <c r="J752" s="16">
        <f t="shared" si="173"/>
        <v>42484045920.408356</v>
      </c>
      <c r="K752" s="18">
        <f t="shared" si="174"/>
        <v>19448992811.522659</v>
      </c>
      <c r="L752" s="17">
        <f t="shared" si="175"/>
        <v>17.738985143362893</v>
      </c>
      <c r="M752" s="16">
        <f t="shared" si="176"/>
        <v>1.9677660739667883E-11</v>
      </c>
      <c r="N752" s="16">
        <f t="shared" si="177"/>
        <v>76228573093.354233</v>
      </c>
      <c r="O752" s="16">
        <f t="shared" si="179"/>
        <v>69310834524.668945</v>
      </c>
      <c r="P752" s="18">
        <f t="shared" si="178"/>
        <v>31730168189.63945</v>
      </c>
    </row>
    <row r="753" spans="1:16" x14ac:dyDescent="0.4">
      <c r="A753" s="14">
        <v>0.74</v>
      </c>
      <c r="B753" s="44">
        <f t="shared" si="180"/>
        <v>4.6495571273128942</v>
      </c>
      <c r="C753" s="40">
        <f t="shared" si="166"/>
        <v>6.6794150677530131E-12</v>
      </c>
      <c r="D753" s="15">
        <f t="shared" si="167"/>
        <v>149713708439.50333</v>
      </c>
      <c r="E753" s="15">
        <f t="shared" si="168"/>
        <v>-9400601533.5765381</v>
      </c>
      <c r="F753" s="29">
        <f t="shared" si="169"/>
        <v>-149418282634.74161</v>
      </c>
      <c r="G753" s="17">
        <f t="shared" si="170"/>
        <v>19.304961192603137</v>
      </c>
      <c r="H753" s="16">
        <f t="shared" si="171"/>
        <v>2.1360747526433958E-11</v>
      </c>
      <c r="I753" s="16">
        <f t="shared" si="172"/>
        <v>46814841042.547714</v>
      </c>
      <c r="J753" s="16">
        <f t="shared" si="173"/>
        <v>42043606008.877304</v>
      </c>
      <c r="K753" s="18">
        <f t="shared" si="174"/>
        <v>20590399112.433598</v>
      </c>
      <c r="L753" s="17">
        <f t="shared" si="175"/>
        <v>17.762989182799107</v>
      </c>
      <c r="M753" s="16">
        <f t="shared" si="176"/>
        <v>1.9756920148717636E-11</v>
      </c>
      <c r="N753" s="16">
        <f t="shared" si="177"/>
        <v>75922764717.827774</v>
      </c>
      <c r="O753" s="16">
        <f t="shared" si="179"/>
        <v>68184933149.723366</v>
      </c>
      <c r="P753" s="18">
        <f t="shared" si="178"/>
        <v>33392829975.406246</v>
      </c>
    </row>
    <row r="754" spans="1:16" x14ac:dyDescent="0.4">
      <c r="A754" s="14">
        <v>0.74099999999999999</v>
      </c>
      <c r="B754" s="44">
        <f t="shared" si="180"/>
        <v>4.6558403126200734</v>
      </c>
      <c r="C754" s="40">
        <f t="shared" si="166"/>
        <v>6.6801158898878685E-12</v>
      </c>
      <c r="D754" s="15">
        <f t="shared" si="167"/>
        <v>149698001723.85721</v>
      </c>
      <c r="E754" s="15">
        <f t="shared" si="168"/>
        <v>-8460711672.3200226</v>
      </c>
      <c r="F754" s="29">
        <f t="shared" si="169"/>
        <v>-149458716969.31506</v>
      </c>
      <c r="G754" s="17">
        <f t="shared" si="170"/>
        <v>19.331048977998545</v>
      </c>
      <c r="H754" s="16">
        <f t="shared" si="171"/>
        <v>2.1317075767312849E-11</v>
      </c>
      <c r="I754" s="16">
        <f t="shared" si="172"/>
        <v>46910749434.656456</v>
      </c>
      <c r="J754" s="16">
        <f t="shared" si="173"/>
        <v>41577207008.912964</v>
      </c>
      <c r="K754" s="18">
        <f t="shared" si="174"/>
        <v>21724508506.733131</v>
      </c>
      <c r="L754" s="17">
        <f t="shared" si="175"/>
        <v>17.786993222235321</v>
      </c>
      <c r="M754" s="16">
        <f t="shared" si="176"/>
        <v>1.9835185051670511E-11</v>
      </c>
      <c r="N754" s="16">
        <f t="shared" si="177"/>
        <v>75623191620.976105</v>
      </c>
      <c r="O754" s="16">
        <f t="shared" si="179"/>
        <v>67025172920.754082</v>
      </c>
      <c r="P754" s="18">
        <f t="shared" si="178"/>
        <v>35021326443.838264</v>
      </c>
    </row>
    <row r="755" spans="1:16" x14ac:dyDescent="0.4">
      <c r="A755" s="14">
        <v>0.74199999999999999</v>
      </c>
      <c r="B755" s="44">
        <f t="shared" si="180"/>
        <v>4.6621234979272526</v>
      </c>
      <c r="C755" s="40">
        <f t="shared" si="166"/>
        <v>6.6808169613397823E-12</v>
      </c>
      <c r="D755" s="15">
        <f t="shared" si="167"/>
        <v>149682292717.60474</v>
      </c>
      <c r="E755" s="15">
        <f t="shared" si="168"/>
        <v>-7520684741.1808271</v>
      </c>
      <c r="F755" s="29">
        <f t="shared" si="169"/>
        <v>-149493237486.59161</v>
      </c>
      <c r="G755" s="17">
        <f t="shared" si="170"/>
        <v>19.357136763393953</v>
      </c>
      <c r="H755" s="16">
        <f t="shared" si="171"/>
        <v>2.1271167616750617E-11</v>
      </c>
      <c r="I755" s="16">
        <f t="shared" si="172"/>
        <v>47011993794.478874</v>
      </c>
      <c r="J755" s="16">
        <f t="shared" si="173"/>
        <v>41084859393.287453</v>
      </c>
      <c r="K755" s="18">
        <f t="shared" si="174"/>
        <v>22850861891.095493</v>
      </c>
      <c r="L755" s="17">
        <f t="shared" si="175"/>
        <v>17.810997261671535</v>
      </c>
      <c r="M755" s="16">
        <f t="shared" si="176"/>
        <v>1.9912410354931398E-11</v>
      </c>
      <c r="N755" s="16">
        <f t="shared" si="177"/>
        <v>75329905986.42009</v>
      </c>
      <c r="O755" s="16">
        <f t="shared" si="179"/>
        <v>65832532206.389885</v>
      </c>
      <c r="P755" s="18">
        <f t="shared" si="178"/>
        <v>36615194103.23436</v>
      </c>
    </row>
    <row r="756" spans="1:16" x14ac:dyDescent="0.4">
      <c r="A756" s="14">
        <v>0.74299999999999999</v>
      </c>
      <c r="B756" s="44">
        <f t="shared" si="180"/>
        <v>4.6684066832344326</v>
      </c>
      <c r="C756" s="40">
        <f t="shared" si="166"/>
        <v>6.6815182544316555E-12</v>
      </c>
      <c r="D756" s="15">
        <f t="shared" si="167"/>
        <v>149666582043.19495</v>
      </c>
      <c r="E756" s="15">
        <f t="shared" si="168"/>
        <v>-6580557987.5056467</v>
      </c>
      <c r="F756" s="29">
        <f t="shared" si="169"/>
        <v>-149521844681.85736</v>
      </c>
      <c r="G756" s="17">
        <f t="shared" si="170"/>
        <v>19.383224548789364</v>
      </c>
      <c r="H756" s="16">
        <f t="shared" si="171"/>
        <v>2.1223054316802259E-11</v>
      </c>
      <c r="I756" s="16">
        <f t="shared" si="172"/>
        <v>47118571392.822639</v>
      </c>
      <c r="J756" s="16">
        <f t="shared" si="173"/>
        <v>40566576433.963341</v>
      </c>
      <c r="K756" s="18">
        <f t="shared" si="174"/>
        <v>23968993440.024429</v>
      </c>
      <c r="L756" s="17">
        <f t="shared" si="175"/>
        <v>17.835001301107752</v>
      </c>
      <c r="M756" s="16">
        <f t="shared" si="176"/>
        <v>1.9988551563887457E-11</v>
      </c>
      <c r="N756" s="16">
        <f t="shared" si="177"/>
        <v>75042956224.501633</v>
      </c>
      <c r="O756" s="16">
        <f t="shared" si="179"/>
        <v>64607982150.654198</v>
      </c>
      <c r="P756" s="18">
        <f t="shared" si="178"/>
        <v>38173995354.602554</v>
      </c>
    </row>
    <row r="757" spans="1:16" x14ac:dyDescent="0.4">
      <c r="A757" s="14">
        <v>0.74399999999999999</v>
      </c>
      <c r="B757" s="44">
        <f t="shared" si="180"/>
        <v>4.6746898685416118</v>
      </c>
      <c r="C757" s="40">
        <f t="shared" si="166"/>
        <v>6.6822197414776382E-12</v>
      </c>
      <c r="D757" s="15">
        <f t="shared" si="167"/>
        <v>149650870322.7515</v>
      </c>
      <c r="E757" s="15">
        <f t="shared" si="168"/>
        <v>-5640368639.1792641</v>
      </c>
      <c r="F757" s="29">
        <f t="shared" si="169"/>
        <v>-149544539285.02756</v>
      </c>
      <c r="G757" s="17">
        <f t="shared" si="170"/>
        <v>19.409312334184772</v>
      </c>
      <c r="H757" s="16">
        <f t="shared" si="171"/>
        <v>2.117276861020183E-11</v>
      </c>
      <c r="I757" s="16">
        <f t="shared" si="172"/>
        <v>47230478848.106934</v>
      </c>
      <c r="J757" s="16">
        <f t="shared" si="173"/>
        <v>40022374575.444298</v>
      </c>
      <c r="K757" s="18">
        <f t="shared" si="174"/>
        <v>25078430285.093723</v>
      </c>
      <c r="L757" s="17">
        <f t="shared" si="175"/>
        <v>17.859005340543966</v>
      </c>
      <c r="M757" s="16">
        <f t="shared" si="176"/>
        <v>2.0063564808544349E-11</v>
      </c>
      <c r="N757" s="16">
        <f t="shared" si="177"/>
        <v>74762387158.696945</v>
      </c>
      <c r="O757" s="16">
        <f t="shared" si="179"/>
        <v>63352486275.706825</v>
      </c>
      <c r="P757" s="18">
        <f t="shared" si="178"/>
        <v>39697317495.685677</v>
      </c>
    </row>
    <row r="758" spans="1:16" x14ac:dyDescent="0.4">
      <c r="A758" s="14">
        <v>0.745</v>
      </c>
      <c r="B758" s="44">
        <f t="shared" si="180"/>
        <v>4.6809730538487919</v>
      </c>
      <c r="C758" s="40">
        <f t="shared" si="166"/>
        <v>6.6829213947842203E-12</v>
      </c>
      <c r="D758" s="15">
        <f t="shared" si="167"/>
        <v>149635158178.04831</v>
      </c>
      <c r="E758" s="15">
        <f t="shared" si="168"/>
        <v>-4700153903.1482944</v>
      </c>
      <c r="F758" s="29">
        <f t="shared" si="169"/>
        <v>-149561322260.32324</v>
      </c>
      <c r="G758" s="17">
        <f t="shared" si="170"/>
        <v>19.435400119580184</v>
      </c>
      <c r="H758" s="16">
        <f t="shared" si="171"/>
        <v>2.1120344718079828E-11</v>
      </c>
      <c r="I758" s="16">
        <f t="shared" si="172"/>
        <v>47347712044.868355</v>
      </c>
      <c r="J758" s="16">
        <f t="shared" si="173"/>
        <v>39452273831.078217</v>
      </c>
      <c r="K758" s="18">
        <f t="shared" si="174"/>
        <v>26178692202.655823</v>
      </c>
      <c r="L758" s="17">
        <f t="shared" si="175"/>
        <v>17.88300937998018</v>
      </c>
      <c r="M758" s="16">
        <f t="shared" si="176"/>
        <v>2.0137406868802722E-11</v>
      </c>
      <c r="N758" s="16">
        <f t="shared" si="177"/>
        <v>74488240207.522964</v>
      </c>
      <c r="O758" s="16">
        <f t="shared" si="179"/>
        <v>62067000134.610146</v>
      </c>
      <c r="P758" s="18">
        <f t="shared" si="178"/>
        <v>41184771742.768524</v>
      </c>
    </row>
    <row r="759" spans="1:16" x14ac:dyDescent="0.4">
      <c r="A759" s="14">
        <v>0.746</v>
      </c>
      <c r="B759" s="44">
        <f t="shared" si="180"/>
        <v>4.6872562391559711</v>
      </c>
      <c r="C759" s="40">
        <f t="shared" si="166"/>
        <v>6.6836231866513333E-12</v>
      </c>
      <c r="D759" s="15">
        <f t="shared" si="167"/>
        <v>149619446230.48471</v>
      </c>
      <c r="E759" s="15">
        <f t="shared" si="168"/>
        <v>-3759950963.9514399</v>
      </c>
      <c r="F759" s="29">
        <f t="shared" si="169"/>
        <v>-149572194805.93839</v>
      </c>
      <c r="G759" s="17">
        <f t="shared" si="170"/>
        <v>19.461487904975591</v>
      </c>
      <c r="H759" s="16">
        <f t="shared" si="171"/>
        <v>2.1065818316674628E-11</v>
      </c>
      <c r="I759" s="16">
        <f t="shared" si="172"/>
        <v>47470266047.459976</v>
      </c>
      <c r="J759" s="16">
        <f t="shared" si="173"/>
        <v>38856298202.735306</v>
      </c>
      <c r="K759" s="18">
        <f t="shared" si="174"/>
        <v>27269291310.86359</v>
      </c>
      <c r="L759" s="17">
        <f t="shared" si="175"/>
        <v>17.907013419416394</v>
      </c>
      <c r="M759" s="16">
        <f t="shared" si="176"/>
        <v>2.0210035199360132E-11</v>
      </c>
      <c r="N759" s="16">
        <f t="shared" si="177"/>
        <v>74220553561.801392</v>
      </c>
      <c r="O759" s="16">
        <f t="shared" si="179"/>
        <v>60752471011.772552</v>
      </c>
      <c r="P759" s="18">
        <f t="shared" si="178"/>
        <v>42635992271.600357</v>
      </c>
    </row>
    <row r="760" spans="1:16" x14ac:dyDescent="0.4">
      <c r="A760" s="14">
        <v>0.747</v>
      </c>
      <c r="B760" s="44">
        <f t="shared" si="180"/>
        <v>4.6935394244631512</v>
      </c>
      <c r="C760" s="40">
        <f t="shared" si="166"/>
        <v>6.6843250893734349E-12</v>
      </c>
      <c r="D760" s="15">
        <f t="shared" si="167"/>
        <v>149603735101.06113</v>
      </c>
      <c r="E760" s="15">
        <f t="shared" si="168"/>
        <v>-2819796982.2522297</v>
      </c>
      <c r="F760" s="29">
        <f t="shared" si="169"/>
        <v>-149577158353.69833</v>
      </c>
      <c r="G760" s="17">
        <f t="shared" si="170"/>
        <v>19.487575690371003</v>
      </c>
      <c r="H760" s="16">
        <f t="shared" si="171"/>
        <v>2.1009226513053501E-11</v>
      </c>
      <c r="I760" s="16">
        <f t="shared" si="172"/>
        <v>47598135008.858025</v>
      </c>
      <c r="J760" s="16">
        <f t="shared" si="173"/>
        <v>38234476124.278275</v>
      </c>
      <c r="K760" s="18">
        <f t="shared" si="174"/>
        <v>28349731776.922871</v>
      </c>
      <c r="L760" s="17">
        <f t="shared" si="175"/>
        <v>17.931017458852612</v>
      </c>
      <c r="M760" s="16">
        <f t="shared" si="176"/>
        <v>2.0281407954224224E-11</v>
      </c>
      <c r="N760" s="16">
        <f t="shared" si="177"/>
        <v>73959362357.167084</v>
      </c>
      <c r="O760" s="16">
        <f t="shared" si="179"/>
        <v>59409837668.75943</v>
      </c>
      <c r="P760" s="18">
        <f t="shared" si="178"/>
        <v>44050635278.624489</v>
      </c>
    </row>
    <row r="761" spans="1:16" x14ac:dyDescent="0.4">
      <c r="A761" s="14">
        <v>0.748</v>
      </c>
      <c r="B761" s="44">
        <f t="shared" si="180"/>
        <v>4.6998226097703304</v>
      </c>
      <c r="C761" s="40">
        <f t="shared" si="166"/>
        <v>6.6850270752406079E-12</v>
      </c>
      <c r="D761" s="15">
        <f t="shared" si="167"/>
        <v>149588025410.35452</v>
      </c>
      <c r="E761" s="15">
        <f t="shared" si="168"/>
        <v>-1879729093.3785214</v>
      </c>
      <c r="F761" s="29">
        <f t="shared" si="169"/>
        <v>-149576214568.70868</v>
      </c>
      <c r="G761" s="17">
        <f t="shared" si="170"/>
        <v>19.513663475766414</v>
      </c>
      <c r="H761" s="16">
        <f t="shared" si="171"/>
        <v>2.0950607819860091E-11</v>
      </c>
      <c r="I761" s="16">
        <f t="shared" si="172"/>
        <v>47731312074.490356</v>
      </c>
      <c r="J761" s="16">
        <f t="shared" si="173"/>
        <v>37586840929.240425</v>
      </c>
      <c r="K761" s="18">
        <f t="shared" si="174"/>
        <v>29419509535.550827</v>
      </c>
      <c r="L761" s="17">
        <f t="shared" si="175"/>
        <v>17.955021498288829</v>
      </c>
      <c r="M761" s="16">
        <f t="shared" si="176"/>
        <v>2.0351484010822947E-11</v>
      </c>
      <c r="N761" s="16">
        <f t="shared" si="177"/>
        <v>73704698841.73056</v>
      </c>
      <c r="O761" s="16">
        <f t="shared" si="179"/>
        <v>58040030133.223129</v>
      </c>
      <c r="P761" s="18">
        <f t="shared" si="178"/>
        <v>45428378063.54911</v>
      </c>
    </row>
    <row r="762" spans="1:16" x14ac:dyDescent="0.4">
      <c r="A762" s="14">
        <v>0.749</v>
      </c>
      <c r="B762" s="44">
        <f t="shared" si="180"/>
        <v>4.7061057950775105</v>
      </c>
      <c r="C762" s="40">
        <f t="shared" si="166"/>
        <v>6.6857291165396507E-12</v>
      </c>
      <c r="D762" s="15">
        <f t="shared" si="167"/>
        <v>149572317778.4942</v>
      </c>
      <c r="E762" s="15">
        <f t="shared" si="168"/>
        <v>-939784405.86458063</v>
      </c>
      <c r="F762" s="29">
        <f t="shared" si="169"/>
        <v>-149569365348.99567</v>
      </c>
      <c r="G762" s="17">
        <f t="shared" si="170"/>
        <v>19.539751261161825</v>
      </c>
      <c r="H762" s="16">
        <f t="shared" si="171"/>
        <v>2.089000212910518E-11</v>
      </c>
      <c r="I762" s="16">
        <f t="shared" si="172"/>
        <v>47869789281.004486</v>
      </c>
      <c r="J762" s="16">
        <f t="shared" si="173"/>
        <v>36913431343.11348</v>
      </c>
      <c r="K762" s="18">
        <f t="shared" si="174"/>
        <v>30478112019.694054</v>
      </c>
      <c r="L762" s="17">
        <f t="shared" si="175"/>
        <v>17.979025537725043</v>
      </c>
      <c r="M762" s="16">
        <f t="shared" si="176"/>
        <v>2.0420222993698033E-11</v>
      </c>
      <c r="N762" s="16">
        <f t="shared" si="177"/>
        <v>73456592538.823944</v>
      </c>
      <c r="O762" s="16">
        <f t="shared" si="179"/>
        <v>56643969528.750801</v>
      </c>
      <c r="P762" s="18">
        <f t="shared" si="178"/>
        <v>46768918134.170654</v>
      </c>
    </row>
    <row r="763" spans="1:16" x14ac:dyDescent="0.4">
      <c r="A763" s="14">
        <v>0.75</v>
      </c>
      <c r="B763" s="44">
        <f t="shared" si="180"/>
        <v>4.7123889803846897</v>
      </c>
      <c r="C763" s="40">
        <f t="shared" si="166"/>
        <v>6.6864311855551773E-12</v>
      </c>
      <c r="D763" s="15">
        <f t="shared" si="167"/>
        <v>149556612825.13739</v>
      </c>
      <c r="E763" s="15">
        <f t="shared" si="168"/>
        <v>-2.7484357968612566E-5</v>
      </c>
      <c r="F763" s="29">
        <f t="shared" si="169"/>
        <v>-149556612825.13739</v>
      </c>
      <c r="G763" s="17">
        <f t="shared" si="170"/>
        <v>19.565839046557233</v>
      </c>
      <c r="H763" s="16">
        <f t="shared" si="171"/>
        <v>2.082745068501887E-11</v>
      </c>
      <c r="I763" s="16">
        <f t="shared" si="172"/>
        <v>48013557449.894592</v>
      </c>
      <c r="J763" s="16">
        <f t="shared" si="173"/>
        <v>36214292000.635208</v>
      </c>
      <c r="K763" s="18">
        <f t="shared" si="174"/>
        <v>31525017904.627064</v>
      </c>
      <c r="L763" s="17">
        <f t="shared" si="175"/>
        <v>18.003029577161257</v>
      </c>
      <c r="M763" s="16">
        <f t="shared" si="176"/>
        <v>2.0487585297767963E-11</v>
      </c>
      <c r="N763" s="16">
        <f t="shared" si="177"/>
        <v>73215070404.77916</v>
      </c>
      <c r="O763" s="16">
        <f t="shared" si="179"/>
        <v>55222567943.495689</v>
      </c>
      <c r="P763" s="18">
        <f t="shared" si="178"/>
        <v>48071972334.227882</v>
      </c>
    </row>
    <row r="764" spans="1:16" x14ac:dyDescent="0.4">
      <c r="A764" s="14">
        <v>0.751</v>
      </c>
      <c r="B764" s="44">
        <f t="shared" si="180"/>
        <v>4.7186721656918689</v>
      </c>
      <c r="C764" s="40">
        <f t="shared" si="166"/>
        <v>6.6871332545707031E-12</v>
      </c>
      <c r="D764" s="15">
        <f t="shared" si="167"/>
        <v>149540911169.44513</v>
      </c>
      <c r="E764" s="15">
        <f t="shared" si="168"/>
        <v>939587073.61840034</v>
      </c>
      <c r="F764" s="29">
        <f t="shared" si="169"/>
        <v>-149537959359.88617</v>
      </c>
      <c r="G764" s="17">
        <f t="shared" si="170"/>
        <v>19.591926831952641</v>
      </c>
      <c r="H764" s="16">
        <f t="shared" si="171"/>
        <v>2.0762996055982442E-11</v>
      </c>
      <c r="I764" s="16">
        <f t="shared" si="172"/>
        <v>48162606075.912155</v>
      </c>
      <c r="J764" s="16">
        <f t="shared" si="173"/>
        <v>35489473988.444649</v>
      </c>
      <c r="K764" s="18">
        <f t="shared" si="174"/>
        <v>32559696866.632545</v>
      </c>
      <c r="L764" s="17">
        <f t="shared" si="175"/>
        <v>18.027033616597471</v>
      </c>
      <c r="M764" s="16">
        <f t="shared" si="176"/>
        <v>2.0553532111147076E-11</v>
      </c>
      <c r="N764" s="16">
        <f t="shared" si="177"/>
        <v>72980156981.703629</v>
      </c>
      <c r="O764" s="16">
        <f t="shared" si="179"/>
        <v>53776728335.515541</v>
      </c>
      <c r="P764" s="18">
        <f t="shared" si="178"/>
        <v>49337275994.95401</v>
      </c>
    </row>
    <row r="765" spans="1:16" x14ac:dyDescent="0.4">
      <c r="A765" s="14">
        <v>0.752</v>
      </c>
      <c r="B765" s="44">
        <f t="shared" si="180"/>
        <v>4.724955350999049</v>
      </c>
      <c r="C765" s="40">
        <f t="shared" si="166"/>
        <v>6.6878352958697467E-12</v>
      </c>
      <c r="D765" s="15">
        <f t="shared" si="167"/>
        <v>149525213430.05817</v>
      </c>
      <c r="E765" s="15">
        <f t="shared" si="168"/>
        <v>1878939795.5289104</v>
      </c>
      <c r="F765" s="29">
        <f t="shared" si="169"/>
        <v>-149513407547.78223</v>
      </c>
      <c r="G765" s="17">
        <f t="shared" si="170"/>
        <v>19.618014617348052</v>
      </c>
      <c r="H765" s="16">
        <f t="shared" si="171"/>
        <v>2.0696682105559146E-11</v>
      </c>
      <c r="I765" s="16">
        <f t="shared" si="172"/>
        <v>48316923210.189285</v>
      </c>
      <c r="J765" s="16">
        <f t="shared" si="173"/>
        <v>34739035413.448845</v>
      </c>
      <c r="K765" s="18">
        <f t="shared" si="174"/>
        <v>33581609357.540855</v>
      </c>
      <c r="L765" s="17">
        <f t="shared" si="175"/>
        <v>18.051037656033689</v>
      </c>
      <c r="M765" s="16">
        <f t="shared" si="176"/>
        <v>2.0618025437507661E-11</v>
      </c>
      <c r="N765" s="16">
        <f t="shared" si="177"/>
        <v>72751874545.233963</v>
      </c>
      <c r="O765" s="16">
        <f t="shared" si="179"/>
        <v>52307344472.809799</v>
      </c>
      <c r="P765" s="18">
        <f t="shared" si="178"/>
        <v>50564582110.883461</v>
      </c>
    </row>
    <row r="766" spans="1:16" x14ac:dyDescent="0.4">
      <c r="A766" s="14">
        <v>0.753</v>
      </c>
      <c r="B766" s="44">
        <f t="shared" si="180"/>
        <v>4.7312385363062281</v>
      </c>
      <c r="C766" s="40">
        <f t="shared" si="166"/>
        <v>6.6885372817369189E-12</v>
      </c>
      <c r="D766" s="15">
        <f t="shared" si="167"/>
        <v>149509520225.07291</v>
      </c>
      <c r="E766" s="15">
        <f t="shared" si="168"/>
        <v>2818021178.8418159</v>
      </c>
      <c r="F766" s="29">
        <f t="shared" si="169"/>
        <v>-149482960214.75851</v>
      </c>
      <c r="G766" s="17">
        <f t="shared" si="170"/>
        <v>19.64410240274346</v>
      </c>
      <c r="H766" s="16">
        <f t="shared" si="171"/>
        <v>2.0628553962643583E-11</v>
      </c>
      <c r="I766" s="16">
        <f t="shared" si="172"/>
        <v>48476495338.011002</v>
      </c>
      <c r="J766" s="16">
        <f t="shared" si="173"/>
        <v>33963041997.212173</v>
      </c>
      <c r="K766" s="18">
        <f t="shared" si="174"/>
        <v>34590206396.490387</v>
      </c>
      <c r="L766" s="17">
        <f t="shared" si="175"/>
        <v>18.075041695469903</v>
      </c>
      <c r="M766" s="16">
        <f t="shared" si="176"/>
        <v>2.0681028117972146E-11</v>
      </c>
      <c r="N766" s="16">
        <f t="shared" si="177"/>
        <v>72530243247.262741</v>
      </c>
      <c r="O766" s="16">
        <f t="shared" si="179"/>
        <v>50815300906.112709</v>
      </c>
      <c r="P766" s="18">
        <f t="shared" si="178"/>
        <v>51753660540.374565</v>
      </c>
    </row>
    <row r="767" spans="1:16" x14ac:dyDescent="0.4">
      <c r="A767" s="14">
        <v>0.754</v>
      </c>
      <c r="B767" s="44">
        <f t="shared" si="180"/>
        <v>4.7375217216134082</v>
      </c>
      <c r="C767" s="40">
        <f t="shared" si="166"/>
        <v>6.6892391844590213E-12</v>
      </c>
      <c r="D767" s="15">
        <f t="shared" si="167"/>
        <v>149493832172.01749</v>
      </c>
      <c r="E767" s="15">
        <f t="shared" si="168"/>
        <v>3756794270.6730785</v>
      </c>
      <c r="F767" s="29">
        <f t="shared" si="169"/>
        <v>-149446620417.737</v>
      </c>
      <c r="G767" s="17">
        <f t="shared" si="170"/>
        <v>19.670190188138871</v>
      </c>
      <c r="H767" s="16">
        <f t="shared" si="171"/>
        <v>2.0558657990749909E-11</v>
      </c>
      <c r="I767" s="16">
        <f t="shared" si="172"/>
        <v>48641307251.180328</v>
      </c>
      <c r="J767" s="16">
        <f t="shared" si="173"/>
        <v>33161567696.639637</v>
      </c>
      <c r="K767" s="18">
        <f t="shared" si="174"/>
        <v>35584929380.355873</v>
      </c>
      <c r="L767" s="17">
        <f t="shared" si="175"/>
        <v>18.099045734906117</v>
      </c>
      <c r="M767" s="16">
        <f t="shared" si="176"/>
        <v>2.074250385252283E-11</v>
      </c>
      <c r="N767" s="16">
        <f t="shared" si="177"/>
        <v>72315281253.644836</v>
      </c>
      <c r="O767" s="16">
        <f t="shared" si="179"/>
        <v>49301472972.564621</v>
      </c>
      <c r="P767" s="18">
        <f t="shared" si="178"/>
        <v>52904297231.219666</v>
      </c>
    </row>
    <row r="768" spans="1:16" x14ac:dyDescent="0.4">
      <c r="A768" s="14">
        <v>0.755</v>
      </c>
      <c r="B768" s="44">
        <f t="shared" si="180"/>
        <v>4.7438049069205874</v>
      </c>
      <c r="C768" s="40">
        <f t="shared" si="166"/>
        <v>6.6899409763261335E-12</v>
      </c>
      <c r="D768" s="15">
        <f t="shared" si="167"/>
        <v>149478149887.82797</v>
      </c>
      <c r="E768" s="15">
        <f t="shared" si="168"/>
        <v>4695222153.5708599</v>
      </c>
      <c r="F768" s="29">
        <f t="shared" si="169"/>
        <v>-149404391444.21622</v>
      </c>
      <c r="G768" s="17">
        <f t="shared" si="170"/>
        <v>19.696277973534279</v>
      </c>
      <c r="H768" s="16">
        <f t="shared" si="171"/>
        <v>2.0487041756459943E-11</v>
      </c>
      <c r="I768" s="16">
        <f t="shared" si="172"/>
        <v>48811341914.929298</v>
      </c>
      <c r="J768" s="16">
        <f t="shared" si="173"/>
        <v>32334695351.184391</v>
      </c>
      <c r="K768" s="18">
        <f t="shared" si="174"/>
        <v>36565209914.373909</v>
      </c>
      <c r="L768" s="17">
        <f t="shared" si="175"/>
        <v>18.123049774342331</v>
      </c>
      <c r="M768" s="16">
        <f t="shared" si="176"/>
        <v>2.0802417220916682E-11</v>
      </c>
      <c r="N768" s="16">
        <f t="shared" si="177"/>
        <v>72107004876.902512</v>
      </c>
      <c r="O768" s="16">
        <f t="shared" si="179"/>
        <v>47766726828.460457</v>
      </c>
      <c r="P768" s="18">
        <f t="shared" si="178"/>
        <v>54016293471.62648</v>
      </c>
    </row>
    <row r="769" spans="1:16" x14ac:dyDescent="0.4">
      <c r="A769" s="14">
        <v>0.75600000000000001</v>
      </c>
      <c r="B769" s="44">
        <f t="shared" si="180"/>
        <v>4.7500880922277675</v>
      </c>
      <c r="C769" s="40">
        <f t="shared" si="166"/>
        <v>6.6906426296327165E-12</v>
      </c>
      <c r="D769" s="15">
        <f t="shared" si="167"/>
        <v>149462473988.82446</v>
      </c>
      <c r="E769" s="15">
        <f t="shared" si="168"/>
        <v>5633267946.9391537</v>
      </c>
      <c r="F769" s="29">
        <f t="shared" si="169"/>
        <v>-149356276811.85019</v>
      </c>
      <c r="G769" s="17">
        <f t="shared" si="170"/>
        <v>19.722365758929691</v>
      </c>
      <c r="H769" s="16">
        <f t="shared" si="171"/>
        <v>2.0413753997052432E-11</v>
      </c>
      <c r="I769" s="16">
        <f t="shared" si="172"/>
        <v>48986580329.340271</v>
      </c>
      <c r="J769" s="16">
        <f t="shared" si="173"/>
        <v>31482517356.750401</v>
      </c>
      <c r="K769" s="18">
        <f t="shared" si="174"/>
        <v>37530469664.591423</v>
      </c>
      <c r="L769" s="17">
        <f t="shared" si="175"/>
        <v>18.147053813778548</v>
      </c>
      <c r="M769" s="16">
        <f t="shared" si="176"/>
        <v>2.0860733703093332E-11</v>
      </c>
      <c r="N769" s="16">
        <f t="shared" si="177"/>
        <v>71905428703.956497</v>
      </c>
      <c r="O769" s="16">
        <f t="shared" si="179"/>
        <v>46211919509.331795</v>
      </c>
      <c r="P769" s="18">
        <f t="shared" si="178"/>
        <v>55089465166.788559</v>
      </c>
    </row>
    <row r="770" spans="1:16" x14ac:dyDescent="0.4">
      <c r="A770" s="14">
        <v>0.75700000000000001</v>
      </c>
      <c r="B770" s="44">
        <f t="shared" si="180"/>
        <v>4.7563712775349467</v>
      </c>
      <c r="C770" s="40">
        <f t="shared" si="166"/>
        <v>6.6913441166786983E-12</v>
      </c>
      <c r="D770" s="15">
        <f t="shared" si="167"/>
        <v>149446805090.6875</v>
      </c>
      <c r="E770" s="15">
        <f t="shared" si="168"/>
        <v>6570894808.4542046</v>
      </c>
      <c r="F770" s="29">
        <f t="shared" si="169"/>
        <v>-149302280268.01923</v>
      </c>
      <c r="G770" s="17">
        <f t="shared" si="170"/>
        <v>19.748453544325098</v>
      </c>
      <c r="H770" s="16">
        <f t="shared" si="171"/>
        <v>2.0338844587335758E-11</v>
      </c>
      <c r="I770" s="16">
        <f t="shared" si="172"/>
        <v>49167001385.253853</v>
      </c>
      <c r="J770" s="16">
        <f t="shared" si="173"/>
        <v>30605136366.406994</v>
      </c>
      <c r="K770" s="18">
        <f t="shared" si="174"/>
        <v>38480120233.845245</v>
      </c>
      <c r="L770" s="17">
        <f t="shared" si="175"/>
        <v>18.171057853214762</v>
      </c>
      <c r="M770" s="16">
        <f t="shared" si="176"/>
        <v>2.0917419699064317E-11</v>
      </c>
      <c r="N770" s="16">
        <f t="shared" si="177"/>
        <v>71710565718.920792</v>
      </c>
      <c r="O770" s="16">
        <f t="shared" si="179"/>
        <v>44637899015.700363</v>
      </c>
      <c r="P770" s="18">
        <f t="shared" si="178"/>
        <v>56123642141.184975</v>
      </c>
    </row>
    <row r="771" spans="1:16" x14ac:dyDescent="0.4">
      <c r="A771" s="14">
        <v>0.75800000000000001</v>
      </c>
      <c r="B771" s="44">
        <f t="shared" si="180"/>
        <v>4.7626544628421268</v>
      </c>
      <c r="C771" s="40">
        <f t="shared" si="166"/>
        <v>6.6920454097705723E-12</v>
      </c>
      <c r="D771" s="15">
        <f t="shared" si="167"/>
        <v>149431143808.43445</v>
      </c>
      <c r="E771" s="15">
        <f t="shared" si="168"/>
        <v>7508065935.4779186</v>
      </c>
      <c r="F771" s="29">
        <f t="shared" si="169"/>
        <v>-149242405789.39194</v>
      </c>
      <c r="G771" s="17">
        <f t="shared" si="170"/>
        <v>19.77454132972051</v>
      </c>
      <c r="H771" s="16">
        <f t="shared" si="171"/>
        <v>2.0262364505706336E-11</v>
      </c>
      <c r="I771" s="16">
        <f t="shared" si="172"/>
        <v>49352581714.655151</v>
      </c>
      <c r="J771" s="16">
        <f t="shared" si="173"/>
        <v>29702666017.955318</v>
      </c>
      <c r="K771" s="18">
        <f t="shared" si="174"/>
        <v>39413563063.08168</v>
      </c>
      <c r="L771" s="17">
        <f t="shared" si="175"/>
        <v>18.195061892650976</v>
      </c>
      <c r="M771" s="16">
        <f t="shared" si="176"/>
        <v>2.09724425482723E-11</v>
      </c>
      <c r="N771" s="16">
        <f t="shared" si="177"/>
        <v>71522427421.004868</v>
      </c>
      <c r="O771" s="16">
        <f t="shared" si="179"/>
        <v>43045504422.89666</v>
      </c>
      <c r="P771" s="18">
        <f t="shared" si="178"/>
        <v>57118667466.698601</v>
      </c>
    </row>
    <row r="772" spans="1:16" x14ac:dyDescent="0.4">
      <c r="A772" s="14">
        <v>0.75900000000000001</v>
      </c>
      <c r="B772" s="44">
        <f t="shared" si="180"/>
        <v>4.768937648149306</v>
      </c>
      <c r="C772" s="40">
        <f t="shared" si="166"/>
        <v>6.6927464812224861E-12</v>
      </c>
      <c r="D772" s="15">
        <f t="shared" si="167"/>
        <v>149415490756.39597</v>
      </c>
      <c r="E772" s="15">
        <f t="shared" si="168"/>
        <v>8444744566.4639597</v>
      </c>
      <c r="F772" s="29">
        <f t="shared" si="169"/>
        <v>-149176657581.47897</v>
      </c>
      <c r="G772" s="17">
        <f t="shared" si="170"/>
        <v>19.800629115115918</v>
      </c>
      <c r="H772" s="16">
        <f t="shared" si="171"/>
        <v>2.0184365799456205E-11</v>
      </c>
      <c r="I772" s="16">
        <f t="shared" si="172"/>
        <v>49543295535.544716</v>
      </c>
      <c r="J772" s="16">
        <f t="shared" si="173"/>
        <v>28775231688.314739</v>
      </c>
      <c r="K772" s="18">
        <f t="shared" si="174"/>
        <v>40330189359.909187</v>
      </c>
      <c r="L772" s="17">
        <f t="shared" si="175"/>
        <v>18.21906593208719</v>
      </c>
      <c r="M772" s="16">
        <f t="shared" si="176"/>
        <v>2.1025770548408964E-11</v>
      </c>
      <c r="N772" s="16">
        <f t="shared" si="177"/>
        <v>71341023937.574844</v>
      </c>
      <c r="O772" s="16">
        <f t="shared" si="179"/>
        <v>41435566013.417671</v>
      </c>
      <c r="P772" s="18">
        <f t="shared" si="178"/>
        <v>58074396816.577728</v>
      </c>
    </row>
    <row r="773" spans="1:16" x14ac:dyDescent="0.4">
      <c r="A773" s="14">
        <v>0.76</v>
      </c>
      <c r="B773" s="44">
        <f t="shared" si="180"/>
        <v>4.7752208334564852</v>
      </c>
      <c r="C773" s="40">
        <f t="shared" si="166"/>
        <v>6.6934473033573415E-12</v>
      </c>
      <c r="D773" s="15">
        <f t="shared" si="167"/>
        <v>149399846548.19254</v>
      </c>
      <c r="E773" s="15">
        <f t="shared" si="168"/>
        <v>9380893982.3606243</v>
      </c>
      <c r="F773" s="29">
        <f t="shared" si="169"/>
        <v>-149105040078.17841</v>
      </c>
      <c r="G773" s="17">
        <f t="shared" si="170"/>
        <v>19.826716900511329</v>
      </c>
      <c r="H773" s="16">
        <f t="shared" si="171"/>
        <v>2.0104901549352958E-11</v>
      </c>
      <c r="I773" s="16">
        <f t="shared" si="172"/>
        <v>49739114491.320816</v>
      </c>
      <c r="J773" s="16">
        <f t="shared" si="173"/>
        <v>27822971274.601509</v>
      </c>
      <c r="K773" s="18">
        <f t="shared" si="174"/>
        <v>41229380056.379936</v>
      </c>
      <c r="L773" s="17">
        <f t="shared" si="175"/>
        <v>18.243069971523408</v>
      </c>
      <c r="M773" s="16">
        <f t="shared" si="176"/>
        <v>2.1077372973680831E-11</v>
      </c>
      <c r="N773" s="16">
        <f t="shared" si="177"/>
        <v>71166364132.429581</v>
      </c>
      <c r="O773" s="16">
        <f t="shared" si="179"/>
        <v>39808905430.351563</v>
      </c>
      <c r="P773" s="18">
        <f t="shared" si="178"/>
        <v>58990697845.227135</v>
      </c>
    </row>
    <row r="774" spans="1:16" x14ac:dyDescent="0.4">
      <c r="A774" s="14">
        <v>0.76100000000000001</v>
      </c>
      <c r="B774" s="44">
        <f t="shared" si="180"/>
        <v>4.7815040187636653</v>
      </c>
      <c r="C774" s="40">
        <f t="shared" si="166"/>
        <v>6.6941478485078793E-12</v>
      </c>
      <c r="D774" s="15">
        <f t="shared" si="167"/>
        <v>149384211796.71124</v>
      </c>
      <c r="E774" s="15">
        <f t="shared" si="168"/>
        <v>10316477508.007114</v>
      </c>
      <c r="F774" s="29">
        <f t="shared" si="169"/>
        <v>-149027557941.3132</v>
      </c>
      <c r="G774" s="17">
        <f t="shared" si="170"/>
        <v>19.85280468590674</v>
      </c>
      <c r="H774" s="16">
        <f t="shared" si="171"/>
        <v>2.0024025833516567E-11</v>
      </c>
      <c r="I774" s="16">
        <f t="shared" si="172"/>
        <v>49940007484.717804</v>
      </c>
      <c r="J774" s="16">
        <f t="shared" si="173"/>
        <v>26846036001.680134</v>
      </c>
      <c r="K774" s="18">
        <f t="shared" si="174"/>
        <v>42110505798.080414</v>
      </c>
      <c r="L774" s="17">
        <f t="shared" si="175"/>
        <v>18.267074010959625</v>
      </c>
      <c r="M774" s="16">
        <f t="shared" si="176"/>
        <v>2.1127220092512371E-11</v>
      </c>
      <c r="N774" s="16">
        <f t="shared" si="177"/>
        <v>70998455709.353363</v>
      </c>
      <c r="O774" s="16">
        <f t="shared" si="179"/>
        <v>38166335850.475357</v>
      </c>
      <c r="P774" s="18">
        <f t="shared" si="178"/>
        <v>59867449593.76281</v>
      </c>
    </row>
    <row r="775" spans="1:16" x14ac:dyDescent="0.4">
      <c r="A775" s="14">
        <v>0.76200000000000001</v>
      </c>
      <c r="B775" s="44">
        <f t="shared" si="180"/>
        <v>4.7877872040708445</v>
      </c>
      <c r="C775" s="40">
        <f t="shared" si="166"/>
        <v>6.6948480890177771E-12</v>
      </c>
      <c r="D775" s="15">
        <f t="shared" si="167"/>
        <v>149368587114.0824</v>
      </c>
      <c r="E775" s="15">
        <f t="shared" si="168"/>
        <v>11251458513.524498</v>
      </c>
      <c r="F775" s="29">
        <f t="shared" si="169"/>
        <v>-148944216060.16013</v>
      </c>
      <c r="G775" s="17">
        <f t="shared" si="170"/>
        <v>19.878892471302148</v>
      </c>
      <c r="H775" s="16">
        <f t="shared" si="171"/>
        <v>1.9941793690617357E-11</v>
      </c>
      <c r="I775" s="16">
        <f t="shared" si="172"/>
        <v>50145940506.369865</v>
      </c>
      <c r="J775" s="16">
        <f t="shared" si="173"/>
        <v>25844591255.851593</v>
      </c>
      <c r="K775" s="18">
        <f t="shared" si="174"/>
        <v>42972926966.711792</v>
      </c>
      <c r="L775" s="17">
        <f t="shared" si="175"/>
        <v>18.291078050395836</v>
      </c>
      <c r="M775" s="16">
        <f t="shared" si="176"/>
        <v>2.1175283184676398E-11</v>
      </c>
      <c r="N775" s="16">
        <f t="shared" si="177"/>
        <v>70837305311.00914</v>
      </c>
      <c r="O775" s="16">
        <f t="shared" si="179"/>
        <v>36508662175.683815</v>
      </c>
      <c r="P775" s="18">
        <f t="shared" si="178"/>
        <v>60704541921.234505</v>
      </c>
    </row>
    <row r="776" spans="1:16" x14ac:dyDescent="0.4">
      <c r="A776" s="14">
        <v>0.76300000000000001</v>
      </c>
      <c r="B776" s="44">
        <f t="shared" si="180"/>
        <v>4.7940703893780245</v>
      </c>
      <c r="C776" s="40">
        <f t="shared" si="166"/>
        <v>6.6955479972427378E-12</v>
      </c>
      <c r="D776" s="15">
        <f t="shared" si="167"/>
        <v>149352973111.65646</v>
      </c>
      <c r="E776" s="15">
        <f t="shared" si="168"/>
        <v>12185800415.70265</v>
      </c>
      <c r="F776" s="29">
        <f t="shared" si="169"/>
        <v>-148855019550.97061</v>
      </c>
      <c r="G776" s="17">
        <f t="shared" si="170"/>
        <v>19.904980256697559</v>
      </c>
      <c r="H776" s="16">
        <f t="shared" si="171"/>
        <v>1.9858261082420287E-11</v>
      </c>
      <c r="I776" s="16">
        <f t="shared" si="172"/>
        <v>50356876458.093277</v>
      </c>
      <c r="J776" s="16">
        <f t="shared" si="173"/>
        <v>24818817444.225376</v>
      </c>
      <c r="K776" s="18">
        <f t="shared" si="174"/>
        <v>43815993738.427101</v>
      </c>
      <c r="L776" s="17">
        <f t="shared" si="175"/>
        <v>18.315082089832053</v>
      </c>
      <c r="M776" s="16">
        <f t="shared" si="176"/>
        <v>2.122153455784168E-11</v>
      </c>
      <c r="N776" s="16">
        <f t="shared" si="177"/>
        <v>70682918613.240768</v>
      </c>
      <c r="O776" s="16">
        <f t="shared" si="179"/>
        <v>34836681241.477592</v>
      </c>
      <c r="P776" s="18">
        <f t="shared" si="178"/>
        <v>61501874961.383911</v>
      </c>
    </row>
    <row r="777" spans="1:16" x14ac:dyDescent="0.4">
      <c r="A777" s="14">
        <v>0.76400000000000001</v>
      </c>
      <c r="B777" s="44">
        <f t="shared" si="180"/>
        <v>4.8003535746852037</v>
      </c>
      <c r="C777" s="40">
        <f t="shared" si="166"/>
        <v>6.6962475455515839E-12</v>
      </c>
      <c r="D777" s="15">
        <f t="shared" si="167"/>
        <v>149337370399.98093</v>
      </c>
      <c r="E777" s="15">
        <f t="shared" si="168"/>
        <v>13119466679.37981</v>
      </c>
      <c r="F777" s="29">
        <f t="shared" si="169"/>
        <v>-148759973756.48376</v>
      </c>
      <c r="G777" s="17">
        <f t="shared" si="170"/>
        <v>19.931068042092967</v>
      </c>
      <c r="H777" s="16">
        <f t="shared" si="171"/>
        <v>1.9773484855701146E-11</v>
      </c>
      <c r="I777" s="16">
        <f t="shared" si="172"/>
        <v>50572774971.007561</v>
      </c>
      <c r="J777" s="16">
        <f t="shared" si="173"/>
        <v>23768910879.189339</v>
      </c>
      <c r="K777" s="18">
        <f t="shared" si="174"/>
        <v>44639046180.281715</v>
      </c>
      <c r="L777" s="17">
        <f t="shared" si="175"/>
        <v>18.339086129268267</v>
      </c>
      <c r="M777" s="16">
        <f t="shared" si="176"/>
        <v>2.1265947563528283E-11</v>
      </c>
      <c r="N777" s="16">
        <f t="shared" si="177"/>
        <v>70535300414.854004</v>
      </c>
      <c r="O777" s="16">
        <f t="shared" si="179"/>
        <v>33151182041.298809</v>
      </c>
      <c r="P777" s="18">
        <f t="shared" si="178"/>
        <v>62259358604.778214</v>
      </c>
    </row>
    <row r="778" spans="1:16" x14ac:dyDescent="0.4">
      <c r="A778" s="14">
        <v>0.76500000000000001</v>
      </c>
      <c r="B778" s="44">
        <f t="shared" si="180"/>
        <v>4.8066367599923838</v>
      </c>
      <c r="C778" s="40">
        <f t="shared" si="166"/>
        <v>6.6969467063273454E-12</v>
      </c>
      <c r="D778" s="15">
        <f t="shared" si="167"/>
        <v>149321779588.77731</v>
      </c>
      <c r="E778" s="15">
        <f t="shared" si="168"/>
        <v>14052420818.818817</v>
      </c>
      <c r="F778" s="29">
        <f t="shared" si="169"/>
        <v>-148659084245.43124</v>
      </c>
      <c r="G778" s="17">
        <f t="shared" si="170"/>
        <v>19.957155827488378</v>
      </c>
      <c r="H778" s="16">
        <f t="shared" si="171"/>
        <v>1.9687522703560302E-11</v>
      </c>
      <c r="I778" s="16">
        <f t="shared" si="172"/>
        <v>50793592218.647171</v>
      </c>
      <c r="J778" s="16">
        <f t="shared" si="173"/>
        <v>22695084687.241207</v>
      </c>
      <c r="K778" s="18">
        <f t="shared" si="174"/>
        <v>45441414387.243317</v>
      </c>
      <c r="L778" s="17">
        <f t="shared" si="175"/>
        <v>18.363090168704485</v>
      </c>
      <c r="M778" s="16">
        <f t="shared" si="176"/>
        <v>2.1308496612461586E-11</v>
      </c>
      <c r="N778" s="16">
        <f t="shared" si="177"/>
        <v>70394454722.947159</v>
      </c>
      <c r="O778" s="16">
        <f t="shared" si="179"/>
        <v>31452945965.553192</v>
      </c>
      <c r="P778" s="18">
        <f t="shared" si="178"/>
        <v>62976912006.139587</v>
      </c>
    </row>
    <row r="779" spans="1:16" x14ac:dyDescent="0.4">
      <c r="A779" s="14">
        <v>0.76600000000000001</v>
      </c>
      <c r="B779" s="44">
        <f t="shared" si="180"/>
        <v>4.812919945299563</v>
      </c>
      <c r="C779" s="40">
        <f t="shared" si="166"/>
        <v>6.6976454519683518E-12</v>
      </c>
      <c r="D779" s="15">
        <f t="shared" si="167"/>
        <v>149306201286.91837</v>
      </c>
      <c r="E779" s="15">
        <f t="shared" si="168"/>
        <v>14984626399.075762</v>
      </c>
      <c r="F779" s="29">
        <f t="shared" si="169"/>
        <v>-148552356812.03415</v>
      </c>
      <c r="G779" s="17">
        <f t="shared" si="170"/>
        <v>19.983243612883786</v>
      </c>
      <c r="H779" s="16">
        <f t="shared" si="171"/>
        <v>1.9600433126160669E-11</v>
      </c>
      <c r="I779" s="16">
        <f t="shared" si="172"/>
        <v>51019280725.245888</v>
      </c>
      <c r="J779" s="16">
        <f t="shared" si="173"/>
        <v>21597569741.294231</v>
      </c>
      <c r="K779" s="18">
        <f t="shared" si="174"/>
        <v>46222418662.283119</v>
      </c>
      <c r="L779" s="17">
        <f t="shared" si="175"/>
        <v>18.387094208140695</v>
      </c>
      <c r="M779" s="16">
        <f t="shared" si="176"/>
        <v>2.134915718931589E-11</v>
      </c>
      <c r="N779" s="16">
        <f t="shared" si="177"/>
        <v>70260384833.864532</v>
      </c>
      <c r="O779" s="16">
        <f t="shared" si="179"/>
        <v>29742747054.226479</v>
      </c>
      <c r="P779" s="18">
        <f t="shared" si="178"/>
        <v>63654463116.666405</v>
      </c>
    </row>
    <row r="780" spans="1:16" x14ac:dyDescent="0.4">
      <c r="A780" s="14">
        <v>0.76700000000000002</v>
      </c>
      <c r="B780" s="44">
        <f t="shared" si="180"/>
        <v>4.8192031306067431</v>
      </c>
      <c r="C780" s="40">
        <f t="shared" si="166"/>
        <v>6.6983437548893229E-12</v>
      </c>
      <c r="D780" s="15">
        <f t="shared" si="167"/>
        <v>149290636102.40515</v>
      </c>
      <c r="E780" s="15">
        <f t="shared" si="168"/>
        <v>15916047037.365244</v>
      </c>
      <c r="F780" s="29">
        <f t="shared" si="169"/>
        <v>-148439797475.49216</v>
      </c>
      <c r="G780" s="17">
        <f t="shared" si="170"/>
        <v>20.009331398279198</v>
      </c>
      <c r="H780" s="16">
        <f t="shared" si="171"/>
        <v>1.9512275390916301E-11</v>
      </c>
      <c r="I780" s="16">
        <f t="shared" si="172"/>
        <v>51249789169.413719</v>
      </c>
      <c r="J780" s="16">
        <f t="shared" si="173"/>
        <v>20476615615.389153</v>
      </c>
      <c r="K780" s="18">
        <f t="shared" si="174"/>
        <v>46981369742.153717</v>
      </c>
      <c r="L780" s="17">
        <f t="shared" si="175"/>
        <v>18.411098247576913</v>
      </c>
      <c r="M780" s="16">
        <f t="shared" si="176"/>
        <v>2.1387905866839418E-11</v>
      </c>
      <c r="N780" s="16">
        <f t="shared" si="177"/>
        <v>70133093409.844025</v>
      </c>
      <c r="O780" s="16">
        <f t="shared" si="179"/>
        <v>28021352262.042614</v>
      </c>
      <c r="P780" s="18">
        <f t="shared" si="178"/>
        <v>64291948241.13224</v>
      </c>
    </row>
    <row r="781" spans="1:16" x14ac:dyDescent="0.4">
      <c r="A781" s="14">
        <v>0.76800000000000002</v>
      </c>
      <c r="B781" s="44">
        <f t="shared" si="180"/>
        <v>4.8254863159139223</v>
      </c>
      <c r="C781" s="40">
        <f t="shared" ref="C781:C844" si="181">((semiejeMayorTierra*(1-(excentricidadTierra^2)))^-1)*(1+excentricidadTierra*COS(Φ))</f>
        <v>6.699041587522454E-12</v>
      </c>
      <c r="D781" s="15">
        <f t="shared" ref="D781:D844" si="182">1/u0Tierra</f>
        <v>149275084642.34448</v>
      </c>
      <c r="E781" s="15">
        <f t="shared" ref="E781:E844" si="183">r0Tierra*COS(Φ)</f>
        <v>16846646404.417967</v>
      </c>
      <c r="F781" s="29">
        <f t="shared" ref="F781:F844" si="184">r0Tierra*SIN(Φ)</f>
        <v>-148321412479.46509</v>
      </c>
      <c r="G781" s="17">
        <f t="shared" ref="G781:G844" si="185">Φ*relaciónOrbitas</f>
        <v>20.035419183674605</v>
      </c>
      <c r="H781" s="16">
        <f t="shared" ref="H781:H844" si="186">((semiejeMayorMercurio*(1-(excentricidadMercurio^2)))^-1)*(1+excentricidadMercurio*COS(ΦMercurio))</f>
        <v>1.9423109492158959E-11</v>
      </c>
      <c r="I781" s="16">
        <f t="shared" ref="I781:I844" si="187">1/u0Mercurio</f>
        <v>51485062183.462257</v>
      </c>
      <c r="J781" s="16">
        <f t="shared" ref="J781:J844" si="188">r0Mercurio*COS(ΦMercurio)</f>
        <v>19332491560.567879</v>
      </c>
      <c r="K781" s="18">
        <f t="shared" ref="K781:K844" si="189">r0Mercurio*SIN(ΦMercurio)</f>
        <v>47717569071.522781</v>
      </c>
      <c r="L781" s="17">
        <f t="shared" ref="L781:L844" si="190">ΦMercurio*(1-(simulaciónÁngulo*((3/2)*rsSol*((semiejeMayorMercurio*(1-(excentricidadMercurio^2)))^-1))))</f>
        <v>18.435102287013127</v>
      </c>
      <c r="M781" s="16">
        <f t="shared" ref="M781:M844" si="191">((semiejeMayorMercurio*(1-(excentricidadMercurio^2)))^-1)*(1+excentricidadMercurio*COS(ΦLPMercurio))</f>
        <v>2.1424720319352191E-11</v>
      </c>
      <c r="N781" s="16">
        <f t="shared" ref="N781:N844" si="192">1*simulaciónRadio/uMercurio</f>
        <v>70012582551.432571</v>
      </c>
      <c r="O781" s="16">
        <f t="shared" si="179"/>
        <v>26289521735.1782</v>
      </c>
      <c r="P781" s="18">
        <f t="shared" ref="P781:P844" si="193">rMercurio*SIN(ΦMercurio)</f>
        <v>64889311619.532181</v>
      </c>
    </row>
    <row r="782" spans="1:16" x14ac:dyDescent="0.4">
      <c r="A782" s="14">
        <v>0.76900000000000002</v>
      </c>
      <c r="B782" s="44">
        <f t="shared" si="180"/>
        <v>4.8317695012211015</v>
      </c>
      <c r="C782" s="40">
        <f t="shared" si="181"/>
        <v>6.6997389223185071E-12</v>
      </c>
      <c r="D782" s="15">
        <f t="shared" si="182"/>
        <v>149259547512.92618</v>
      </c>
      <c r="E782" s="15">
        <f t="shared" si="183"/>
        <v>17776388225.834709</v>
      </c>
      <c r="F782" s="29">
        <f t="shared" si="184"/>
        <v>-148197208291.54599</v>
      </c>
      <c r="G782" s="17">
        <f t="shared" si="185"/>
        <v>20.061506969070013</v>
      </c>
      <c r="H782" s="16">
        <f t="shared" si="186"/>
        <v>1.9332996110309873E-11</v>
      </c>
      <c r="I782" s="16">
        <f t="shared" si="187"/>
        <v>51725040148.677284</v>
      </c>
      <c r="J782" s="16">
        <f t="shared" si="188"/>
        <v>18165487500.455215</v>
      </c>
      <c r="K782" s="18">
        <f t="shared" si="189"/>
        <v>48430309128.200722</v>
      </c>
      <c r="L782" s="17">
        <f t="shared" si="190"/>
        <v>18.459106326449341</v>
      </c>
      <c r="M782" s="16">
        <f t="shared" si="191"/>
        <v>2.1459579335609417E-11</v>
      </c>
      <c r="N782" s="16">
        <f t="shared" si="192"/>
        <v>69898853865.739227</v>
      </c>
      <c r="O782" s="16">
        <f t="shared" ref="O782:O845" si="194">rMercurio*COS(ΦMercurio)</f>
        <v>24548009098.581661</v>
      </c>
      <c r="P782" s="18">
        <f t="shared" si="193"/>
        <v>65446505033.041451</v>
      </c>
    </row>
    <row r="783" spans="1:16" x14ac:dyDescent="0.4">
      <c r="A783" s="14">
        <v>0.77</v>
      </c>
      <c r="B783" s="44">
        <f t="shared" ref="B783:B846" si="195">A783*2*PI()</f>
        <v>4.8380526865282816</v>
      </c>
      <c r="C783" s="40">
        <f t="shared" si="181"/>
        <v>6.7004357317479E-12</v>
      </c>
      <c r="D783" s="15">
        <f t="shared" si="182"/>
        <v>149244025319.4006</v>
      </c>
      <c r="E783" s="15">
        <f t="shared" si="183"/>
        <v>18705236283.433369</v>
      </c>
      <c r="F783" s="29">
        <f t="shared" si="184"/>
        <v>-148067191602.72751</v>
      </c>
      <c r="G783" s="17">
        <f t="shared" si="185"/>
        <v>20.087594754465425</v>
      </c>
      <c r="H783" s="16">
        <f t="shared" si="186"/>
        <v>1.9241996570584668E-11</v>
      </c>
      <c r="I783" s="16">
        <f t="shared" si="187"/>
        <v>51969658986.88002</v>
      </c>
      <c r="J783" s="16">
        <f t="shared" si="188"/>
        <v>16975915044.889103</v>
      </c>
      <c r="K783" s="18">
        <f t="shared" si="189"/>
        <v>49118873802.249443</v>
      </c>
      <c r="L783" s="17">
        <f t="shared" si="190"/>
        <v>18.483110365885558</v>
      </c>
      <c r="M783" s="16">
        <f t="shared" si="191"/>
        <v>2.1492462831022658E-11</v>
      </c>
      <c r="N783" s="16">
        <f t="shared" si="192"/>
        <v>69791908530.597504</v>
      </c>
      <c r="O783" s="16">
        <f t="shared" si="194"/>
        <v>22797561753.006649</v>
      </c>
      <c r="P783" s="18">
        <f t="shared" si="193"/>
        <v>65963487434.042908</v>
      </c>
    </row>
    <row r="784" spans="1:16" x14ac:dyDescent="0.4">
      <c r="A784" s="14">
        <v>0.77100000000000002</v>
      </c>
      <c r="B784" s="44">
        <f t="shared" si="195"/>
        <v>4.8443358718354608</v>
      </c>
      <c r="C784" s="40">
        <f t="shared" si="181"/>
        <v>6.7011319883017889E-12</v>
      </c>
      <c r="D784" s="15">
        <f t="shared" si="182"/>
        <v>149228518666.05624</v>
      </c>
      <c r="E784" s="15">
        <f t="shared" si="183"/>
        <v>19633154416.590347</v>
      </c>
      <c r="F784" s="29">
        <f t="shared" si="184"/>
        <v>-147931369326.85986</v>
      </c>
      <c r="G784" s="17">
        <f t="shared" si="185"/>
        <v>20.113682539860832</v>
      </c>
      <c r="H784" s="16">
        <f t="shared" si="186"/>
        <v>1.915017280125955E-11</v>
      </c>
      <c r="I784" s="16">
        <f t="shared" si="187"/>
        <v>52218849948.666145</v>
      </c>
      <c r="J784" s="16">
        <f t="shared" si="188"/>
        <v>15764108519.705862</v>
      </c>
      <c r="K784" s="18">
        <f t="shared" si="189"/>
        <v>49782538831.805748</v>
      </c>
      <c r="L784" s="17">
        <f t="shared" si="190"/>
        <v>18.507114405321769</v>
      </c>
      <c r="M784" s="16">
        <f t="shared" si="191"/>
        <v>2.1523351859231893E-11</v>
      </c>
      <c r="N784" s="16">
        <f t="shared" si="192"/>
        <v>69691747354.704575</v>
      </c>
      <c r="O784" s="16">
        <f t="shared" si="194"/>
        <v>21038921180.9049</v>
      </c>
      <c r="P784" s="18">
        <f t="shared" si="193"/>
        <v>66440224599.978912</v>
      </c>
    </row>
    <row r="785" spans="1:16" x14ac:dyDescent="0.4">
      <c r="A785" s="14">
        <v>0.77200000000000002</v>
      </c>
      <c r="B785" s="44">
        <f t="shared" si="195"/>
        <v>4.8506190571426409</v>
      </c>
      <c r="C785" s="40">
        <f t="shared" si="181"/>
        <v>6.7018276644931577E-12</v>
      </c>
      <c r="D785" s="15">
        <f t="shared" si="182"/>
        <v>149213028156.19736</v>
      </c>
      <c r="E785" s="15">
        <f t="shared" si="183"/>
        <v>20560106523.577534</v>
      </c>
      <c r="F785" s="29">
        <f t="shared" si="184"/>
        <v>-147789748600.10178</v>
      </c>
      <c r="G785" s="17">
        <f t="shared" si="185"/>
        <v>20.139770325256247</v>
      </c>
      <c r="H785" s="16">
        <f t="shared" si="186"/>
        <v>1.9057587291526869E-11</v>
      </c>
      <c r="I785" s="16">
        <f t="shared" si="187"/>
        <v>52472539398.762543</v>
      </c>
      <c r="J785" s="16">
        <f t="shared" si="188"/>
        <v>14530426010.54318</v>
      </c>
      <c r="K785" s="18">
        <f t="shared" si="189"/>
        <v>50420572298.485641</v>
      </c>
      <c r="L785" s="17">
        <f t="shared" si="190"/>
        <v>18.53111844475799</v>
      </c>
      <c r="M785" s="16">
        <f t="shared" si="191"/>
        <v>2.1552228623021803E-11</v>
      </c>
      <c r="N785" s="16">
        <f t="shared" si="192"/>
        <v>69598370833.804169</v>
      </c>
      <c r="O785" s="16">
        <f t="shared" si="194"/>
        <v>19272823260.365921</v>
      </c>
      <c r="P785" s="18">
        <f t="shared" si="193"/>
        <v>66876688810.783844</v>
      </c>
    </row>
    <row r="786" spans="1:16" x14ac:dyDescent="0.4">
      <c r="A786" s="14">
        <v>0.77300000000000002</v>
      </c>
      <c r="B786" s="44">
        <f t="shared" si="195"/>
        <v>4.8569022424498201</v>
      </c>
      <c r="C786" s="40">
        <f t="shared" si="181"/>
        <v>6.7025227328578999E-12</v>
      </c>
      <c r="D786" s="15">
        <f t="shared" si="182"/>
        <v>149197554392.12189</v>
      </c>
      <c r="E786" s="15">
        <f t="shared" si="183"/>
        <v>21486056562.891636</v>
      </c>
      <c r="F786" s="29">
        <f t="shared" si="184"/>
        <v>-147642336780.36389</v>
      </c>
      <c r="G786" s="17">
        <f t="shared" si="185"/>
        <v>20.165858110651655</v>
      </c>
      <c r="H786" s="16">
        <f t="shared" si="186"/>
        <v>1.8964303048969277E-11</v>
      </c>
      <c r="I786" s="16">
        <f t="shared" si="187"/>
        <v>52730648598.992447</v>
      </c>
      <c r="J786" s="16">
        <f t="shared" si="188"/>
        <v>13275250418.272425</v>
      </c>
      <c r="K786" s="18">
        <f t="shared" si="189"/>
        <v>51032235185.249161</v>
      </c>
      <c r="L786" s="17">
        <f t="shared" si="190"/>
        <v>18.555122484194204</v>
      </c>
      <c r="M786" s="16">
        <f t="shared" si="191"/>
        <v>2.1579076484575855E-11</v>
      </c>
      <c r="N786" s="16">
        <f t="shared" si="192"/>
        <v>69511779202.977463</v>
      </c>
      <c r="O786" s="16">
        <f t="shared" si="194"/>
        <v>17499998586.34053</v>
      </c>
      <c r="P786" s="18">
        <f t="shared" si="193"/>
        <v>67272858549.652626</v>
      </c>
    </row>
    <row r="787" spans="1:16" x14ac:dyDescent="0.4">
      <c r="A787" s="14">
        <v>0.77400000000000002</v>
      </c>
      <c r="B787" s="44">
        <f t="shared" si="195"/>
        <v>4.8631854277570001</v>
      </c>
      <c r="C787" s="40">
        <f t="shared" si="181"/>
        <v>6.7032171659559087E-12</v>
      </c>
      <c r="D787" s="15">
        <f t="shared" si="182"/>
        <v>149182097975.09903</v>
      </c>
      <c r="E787" s="15">
        <f t="shared" si="183"/>
        <v>22410968554.579781</v>
      </c>
      <c r="F787" s="29">
        <f t="shared" si="184"/>
        <v>-147489141446.74408</v>
      </c>
      <c r="G787" s="17">
        <f t="shared" si="185"/>
        <v>20.191945896047066</v>
      </c>
      <c r="H787" s="16">
        <f t="shared" si="186"/>
        <v>1.8870383556680752E-11</v>
      </c>
      <c r="I787" s="16">
        <f t="shared" si="187"/>
        <v>52993093489.398964</v>
      </c>
      <c r="J787" s="16">
        <f t="shared" si="188"/>
        <v>11998990523.386721</v>
      </c>
      <c r="K787" s="18">
        <f t="shared" si="189"/>
        <v>51616781999.61573</v>
      </c>
      <c r="L787" s="17">
        <f t="shared" si="190"/>
        <v>18.579126523630421</v>
      </c>
      <c r="M787" s="16">
        <f t="shared" si="191"/>
        <v>2.1603879975062542E-11</v>
      </c>
      <c r="N787" s="16">
        <f t="shared" si="192"/>
        <v>69431972485.102524</v>
      </c>
      <c r="O787" s="16">
        <f t="shared" si="194"/>
        <v>15721172798.403503</v>
      </c>
      <c r="P787" s="18">
        <f t="shared" si="193"/>
        <v>67628718226.909874</v>
      </c>
    </row>
    <row r="788" spans="1:16" x14ac:dyDescent="0.4">
      <c r="A788" s="14">
        <v>0.77500000000000002</v>
      </c>
      <c r="B788" s="44">
        <f t="shared" si="195"/>
        <v>4.8694686130641793</v>
      </c>
      <c r="C788" s="40">
        <f t="shared" si="181"/>
        <v>6.7039109363721526E-12</v>
      </c>
      <c r="D788" s="15">
        <f t="shared" si="182"/>
        <v>149166659505.34747</v>
      </c>
      <c r="E788" s="15">
        <f t="shared" si="183"/>
        <v>23334806581.55727</v>
      </c>
      <c r="F788" s="29">
        <f t="shared" si="184"/>
        <v>-147330170398.95657</v>
      </c>
      <c r="G788" s="17">
        <f t="shared" si="185"/>
        <v>20.218033681442474</v>
      </c>
      <c r="H788" s="16">
        <f t="shared" si="186"/>
        <v>1.8775892730064331E-11</v>
      </c>
      <c r="I788" s="16">
        <f t="shared" si="187"/>
        <v>53259784468.132385</v>
      </c>
      <c r="J788" s="16">
        <f t="shared" si="188"/>
        <v>10702082056.401299</v>
      </c>
      <c r="K788" s="18">
        <f t="shared" si="189"/>
        <v>52173461465.097076</v>
      </c>
      <c r="L788" s="17">
        <f t="shared" si="190"/>
        <v>18.603130563066632</v>
      </c>
      <c r="M788" s="16">
        <f t="shared" si="191"/>
        <v>2.1626624803547911E-11</v>
      </c>
      <c r="N788" s="16">
        <f t="shared" si="192"/>
        <v>69358950535.541763</v>
      </c>
      <c r="O788" s="16">
        <f t="shared" si="194"/>
        <v>13937066914.369282</v>
      </c>
      <c r="P788" s="18">
        <f t="shared" si="193"/>
        <v>67944257926.745529</v>
      </c>
    </row>
    <row r="789" spans="1:16" x14ac:dyDescent="0.4">
      <c r="A789" s="14">
        <v>0.77600000000000002</v>
      </c>
      <c r="B789" s="44">
        <f t="shared" si="195"/>
        <v>4.8757517983713594</v>
      </c>
      <c r="C789" s="40">
        <f t="shared" si="181"/>
        <v>6.7046040167177647E-12</v>
      </c>
      <c r="D789" s="15">
        <f t="shared" si="182"/>
        <v>149151239582.01331</v>
      </c>
      <c r="E789" s="15">
        <f t="shared" si="183"/>
        <v>24257534790.921608</v>
      </c>
      <c r="F789" s="29">
        <f t="shared" si="184"/>
        <v>-147165431656.75275</v>
      </c>
      <c r="G789" s="17">
        <f t="shared" si="185"/>
        <v>20.244121466837885</v>
      </c>
      <c r="H789" s="16">
        <f t="shared" si="186"/>
        <v>1.8680894873335416E-11</v>
      </c>
      <c r="I789" s="16">
        <f t="shared" si="187"/>
        <v>53530626170.7715</v>
      </c>
      <c r="J789" s="16">
        <f t="shared" si="188"/>
        <v>9384988771.0055199</v>
      </c>
      <c r="K789" s="18">
        <f t="shared" si="189"/>
        <v>52701517283.689156</v>
      </c>
      <c r="L789" s="17">
        <f t="shared" si="190"/>
        <v>18.627134602502849</v>
      </c>
      <c r="M789" s="16">
        <f t="shared" si="191"/>
        <v>2.1647297865229604E-11</v>
      </c>
      <c r="N789" s="16">
        <f t="shared" si="192"/>
        <v>69292713083.111176</v>
      </c>
      <c r="O789" s="16">
        <f t="shared" si="194"/>
        <v>12148397669.082098</v>
      </c>
      <c r="P789" s="18">
        <f t="shared" si="193"/>
        <v>68219473176.595314</v>
      </c>
    </row>
    <row r="790" spans="1:16" x14ac:dyDescent="0.4">
      <c r="A790" s="14">
        <v>0.77700000000000002</v>
      </c>
      <c r="B790" s="44">
        <f t="shared" si="195"/>
        <v>4.8820349836785386</v>
      </c>
      <c r="C790" s="40">
        <f t="shared" si="181"/>
        <v>6.7052963796311201E-12</v>
      </c>
      <c r="D790" s="15">
        <f t="shared" si="182"/>
        <v>149135838803.14819</v>
      </c>
      <c r="E790" s="15">
        <f t="shared" si="183"/>
        <v>25179117395.258499</v>
      </c>
      <c r="F790" s="29">
        <f t="shared" si="184"/>
        <v>-146994933459.33524</v>
      </c>
      <c r="G790" s="17">
        <f t="shared" si="185"/>
        <v>20.270209252233293</v>
      </c>
      <c r="H790" s="16">
        <f t="shared" si="186"/>
        <v>1.8585454635760663E-11</v>
      </c>
      <c r="I790" s="16">
        <f t="shared" si="187"/>
        <v>53805517249.810989</v>
      </c>
      <c r="J790" s="16">
        <f t="shared" si="188"/>
        <v>8048203516.4078131</v>
      </c>
      <c r="K790" s="18">
        <f t="shared" si="189"/>
        <v>53200188972.203743</v>
      </c>
      <c r="L790" s="17">
        <f t="shared" si="190"/>
        <v>18.651138641939063</v>
      </c>
      <c r="M790" s="16">
        <f t="shared" si="191"/>
        <v>2.1665887248987324E-11</v>
      </c>
      <c r="N790" s="16">
        <f t="shared" si="192"/>
        <v>69233259767.384369</v>
      </c>
      <c r="O790" s="16">
        <f t="shared" si="194"/>
        <v>10355877857.752512</v>
      </c>
      <c r="P790" s="18">
        <f t="shared" si="193"/>
        <v>68454364738.951706</v>
      </c>
    </row>
    <row r="791" spans="1:16" x14ac:dyDescent="0.4">
      <c r="A791" s="14">
        <v>0.77800000000000002</v>
      </c>
      <c r="B791" s="44">
        <f t="shared" si="195"/>
        <v>4.8883181689857178</v>
      </c>
      <c r="C791" s="40">
        <f t="shared" si="181"/>
        <v>6.7059879977789137E-12</v>
      </c>
      <c r="D791" s="15">
        <f t="shared" si="182"/>
        <v>149120457765.68784</v>
      </c>
      <c r="E791" s="15">
        <f t="shared" si="183"/>
        <v>26099518673.944077</v>
      </c>
      <c r="F791" s="29">
        <f t="shared" si="184"/>
        <v>-146818684264.76492</v>
      </c>
      <c r="G791" s="17">
        <f t="shared" si="185"/>
        <v>20.296297037628701</v>
      </c>
      <c r="H791" s="16">
        <f t="shared" si="186"/>
        <v>1.8489636967661874E-11</v>
      </c>
      <c r="I791" s="16">
        <f t="shared" si="187"/>
        <v>54084350155.115891</v>
      </c>
      <c r="J791" s="16">
        <f t="shared" si="188"/>
        <v>6692249304.977458</v>
      </c>
      <c r="K791" s="18">
        <f t="shared" si="189"/>
        <v>53668712775.146873</v>
      </c>
      <c r="L791" s="17">
        <f t="shared" si="190"/>
        <v>18.675142681375277</v>
      </c>
      <c r="M791" s="16">
        <f t="shared" si="191"/>
        <v>2.1682382244245673E-11</v>
      </c>
      <c r="N791" s="16">
        <f t="shared" si="192"/>
        <v>69180590172.377747</v>
      </c>
      <c r="O791" s="16">
        <f t="shared" si="194"/>
        <v>8560216683.2216663</v>
      </c>
      <c r="P791" s="18">
        <f t="shared" si="193"/>
        <v>68648938425.403069</v>
      </c>
    </row>
    <row r="792" spans="1:16" x14ac:dyDescent="0.4">
      <c r="A792" s="14">
        <v>0.77900000000000003</v>
      </c>
      <c r="B792" s="44">
        <f t="shared" si="195"/>
        <v>4.8946013542928979</v>
      </c>
      <c r="C792" s="40">
        <f t="shared" si="181"/>
        <v>6.7066788438572493E-12</v>
      </c>
      <c r="D792" s="15">
        <f t="shared" si="182"/>
        <v>149105097065.42984</v>
      </c>
      <c r="E792" s="15">
        <f t="shared" si="183"/>
        <v>27018702974.439655</v>
      </c>
      <c r="F792" s="29">
        <f t="shared" si="184"/>
        <v>-146636692749.3602</v>
      </c>
      <c r="G792" s="17">
        <f t="shared" si="185"/>
        <v>20.322384823024112</v>
      </c>
      <c r="H792" s="16">
        <f t="shared" si="186"/>
        <v>1.8393507076215135E-11</v>
      </c>
      <c r="I792" s="16">
        <f t="shared" si="187"/>
        <v>54367010916.211411</v>
      </c>
      <c r="J792" s="16">
        <f t="shared" si="188"/>
        <v>5317680370.9613562</v>
      </c>
      <c r="K792" s="18">
        <f t="shared" si="189"/>
        <v>54106322656.744492</v>
      </c>
      <c r="L792" s="17">
        <f t="shared" si="190"/>
        <v>18.699146720811491</v>
      </c>
      <c r="M792" s="16">
        <f t="shared" si="191"/>
        <v>2.16967733471452E-11</v>
      </c>
      <c r="N792" s="16">
        <f t="shared" si="192"/>
        <v>69134703856.661972</v>
      </c>
      <c r="O792" s="16">
        <f t="shared" si="194"/>
        <v>6762120106.5731983</v>
      </c>
      <c r="P792" s="18">
        <f t="shared" si="193"/>
        <v>68803204932.711014</v>
      </c>
    </row>
    <row r="793" spans="1:16" x14ac:dyDescent="0.4">
      <c r="A793" s="14">
        <v>0.78</v>
      </c>
      <c r="B793" s="44">
        <f t="shared" si="195"/>
        <v>4.9008845396000771</v>
      </c>
      <c r="C793" s="40">
        <f t="shared" si="181"/>
        <v>6.7073688905927052E-12</v>
      </c>
      <c r="D793" s="15">
        <f t="shared" si="182"/>
        <v>149089757297.01273</v>
      </c>
      <c r="E793" s="15">
        <f t="shared" si="183"/>
        <v>27936634713.580822</v>
      </c>
      <c r="F793" s="29">
        <f t="shared" si="184"/>
        <v>-146448967807.09009</v>
      </c>
      <c r="G793" s="17">
        <f t="shared" si="185"/>
        <v>20.34847260841952</v>
      </c>
      <c r="H793" s="16">
        <f t="shared" si="186"/>
        <v>1.8297130381075166E-11</v>
      </c>
      <c r="I793" s="16">
        <f t="shared" si="187"/>
        <v>54653378927.348419</v>
      </c>
      <c r="J793" s="16">
        <f t="shared" si="188"/>
        <v>3925083215.7024364</v>
      </c>
      <c r="K793" s="18">
        <f t="shared" si="189"/>
        <v>54512251374.58683</v>
      </c>
      <c r="L793" s="17">
        <f t="shared" si="190"/>
        <v>18.723150760247705</v>
      </c>
      <c r="M793" s="16">
        <f t="shared" si="191"/>
        <v>2.170905226601821E-11</v>
      </c>
      <c r="N793" s="16">
        <f t="shared" si="192"/>
        <v>69095600379.938843</v>
      </c>
      <c r="O793" s="16">
        <f t="shared" si="194"/>
        <v>4962291200.5257559</v>
      </c>
      <c r="P793" s="18">
        <f t="shared" si="193"/>
        <v>68917179700.749435</v>
      </c>
    </row>
    <row r="794" spans="1:16" x14ac:dyDescent="0.4">
      <c r="A794" s="14">
        <v>0.78100000000000003</v>
      </c>
      <c r="B794" s="44">
        <f t="shared" si="195"/>
        <v>4.9071677249072572</v>
      </c>
      <c r="C794" s="40">
        <f t="shared" si="181"/>
        <v>6.7080581107434158E-12</v>
      </c>
      <c r="D794" s="15">
        <f t="shared" si="182"/>
        <v>149074439053.8942</v>
      </c>
      <c r="E794" s="15">
        <f t="shared" si="183"/>
        <v>28853278378.861629</v>
      </c>
      <c r="F794" s="29">
        <f t="shared" si="184"/>
        <v>-146255518548.95984</v>
      </c>
      <c r="G794" s="17">
        <f t="shared" si="185"/>
        <v>20.374560393814932</v>
      </c>
      <c r="H794" s="16">
        <f t="shared" si="186"/>
        <v>1.8200572469854912E-11</v>
      </c>
      <c r="I794" s="16">
        <f t="shared" si="187"/>
        <v>54943326736.357964</v>
      </c>
      <c r="J794" s="16">
        <f t="shared" si="188"/>
        <v>2515077634.4329391</v>
      </c>
      <c r="K794" s="18">
        <f t="shared" si="189"/>
        <v>54885731637.202057</v>
      </c>
      <c r="L794" s="17">
        <f t="shared" si="190"/>
        <v>18.747154799683923</v>
      </c>
      <c r="M794" s="16">
        <f t="shared" si="191"/>
        <v>2.1719211926166154E-11</v>
      </c>
      <c r="N794" s="16">
        <f t="shared" si="192"/>
        <v>69063279326.119553</v>
      </c>
      <c r="O794" s="16">
        <f t="shared" si="194"/>
        <v>3161430505.0584955</v>
      </c>
      <c r="P794" s="18">
        <f t="shared" si="193"/>
        <v>68990882792.143616</v>
      </c>
    </row>
    <row r="795" spans="1:16" x14ac:dyDescent="0.4">
      <c r="A795" s="14">
        <v>0.78200000000000003</v>
      </c>
      <c r="B795" s="44">
        <f t="shared" si="195"/>
        <v>4.9134509102144364</v>
      </c>
      <c r="C795" s="40">
        <f t="shared" si="181"/>
        <v>6.7087464771001514E-12</v>
      </c>
      <c r="D795" s="15">
        <f t="shared" si="182"/>
        <v>149059142928.32971</v>
      </c>
      <c r="E795" s="15">
        <f t="shared" si="183"/>
        <v>29768598529.710896</v>
      </c>
      <c r="F795" s="29">
        <f t="shared" si="184"/>
        <v>-146056354302.38947</v>
      </c>
      <c r="G795" s="17">
        <f t="shared" si="185"/>
        <v>20.400648179210339</v>
      </c>
      <c r="H795" s="16">
        <f t="shared" si="186"/>
        <v>1.8103899053491072E-11</v>
      </c>
      <c r="I795" s="16">
        <f t="shared" si="187"/>
        <v>55236719838.380043</v>
      </c>
      <c r="J795" s="16">
        <f t="shared" si="188"/>
        <v>1088317719.3632729</v>
      </c>
      <c r="K795" s="18">
        <f t="shared" si="189"/>
        <v>55225997347.675011</v>
      </c>
      <c r="L795" s="17">
        <f t="shared" si="190"/>
        <v>18.771158839120137</v>
      </c>
      <c r="M795" s="16">
        <f t="shared" si="191"/>
        <v>2.1727246473935806E-11</v>
      </c>
      <c r="N795" s="16">
        <f t="shared" si="192"/>
        <v>69037740322.935669</v>
      </c>
      <c r="O795" s="16">
        <f t="shared" si="194"/>
        <v>1360236384.7471855</v>
      </c>
      <c r="P795" s="18">
        <f t="shared" si="193"/>
        <v>69024338793.462616</v>
      </c>
    </row>
    <row r="796" spans="1:16" x14ac:dyDescent="0.4">
      <c r="A796" s="14">
        <v>0.78300000000000003</v>
      </c>
      <c r="B796" s="44">
        <f t="shared" si="195"/>
        <v>4.9197340955216164</v>
      </c>
      <c r="C796" s="40">
        <f t="shared" si="181"/>
        <v>6.7094339624873874E-12</v>
      </c>
      <c r="D796" s="15">
        <f t="shared" si="182"/>
        <v>149043869511.35147</v>
      </c>
      <c r="E796" s="15">
        <f t="shared" si="183"/>
        <v>30682559798.764626</v>
      </c>
      <c r="F796" s="29">
        <f t="shared" si="184"/>
        <v>-145851484610.58597</v>
      </c>
      <c r="G796" s="17">
        <f t="shared" si="185"/>
        <v>20.426735964605751</v>
      </c>
      <c r="H796" s="16">
        <f t="shared" si="186"/>
        <v>1.8007175921525478E-11</v>
      </c>
      <c r="I796" s="16">
        <f t="shared" si="187"/>
        <v>55533416475.629402</v>
      </c>
      <c r="J796" s="16">
        <f t="shared" si="188"/>
        <v>-354507166.58620209</v>
      </c>
      <c r="K796" s="18">
        <f t="shared" si="189"/>
        <v>55532284935.202751</v>
      </c>
      <c r="L796" s="17">
        <f t="shared" si="190"/>
        <v>18.795162878556351</v>
      </c>
      <c r="M796" s="16">
        <f t="shared" si="191"/>
        <v>2.1733151280091962E-11</v>
      </c>
      <c r="N796" s="16">
        <f t="shared" si="192"/>
        <v>69018983058.109589</v>
      </c>
      <c r="O796" s="16">
        <f t="shared" si="194"/>
        <v>-440594612.71087235</v>
      </c>
      <c r="P796" s="18">
        <f t="shared" si="193"/>
        <v>69017576737.834473</v>
      </c>
    </row>
    <row r="797" spans="1:16" x14ac:dyDescent="0.4">
      <c r="A797" s="14">
        <v>0.78400000000000003</v>
      </c>
      <c r="B797" s="44">
        <f t="shared" si="195"/>
        <v>4.9260172808287956</v>
      </c>
      <c r="C797" s="40">
        <f t="shared" si="181"/>
        <v>6.7101205397643762E-12</v>
      </c>
      <c r="D797" s="15">
        <f t="shared" si="182"/>
        <v>149028619392.7471</v>
      </c>
      <c r="E797" s="15">
        <f t="shared" si="183"/>
        <v>31595126893.130157</v>
      </c>
      <c r="F797" s="29">
        <f t="shared" si="184"/>
        <v>-145640919231.90845</v>
      </c>
      <c r="G797" s="17">
        <f t="shared" si="185"/>
        <v>20.452823750001158</v>
      </c>
      <c r="H797" s="16">
        <f t="shared" si="186"/>
        <v>1.7910468897333149E-11</v>
      </c>
      <c r="I797" s="16">
        <f t="shared" si="187"/>
        <v>55833267444.432961</v>
      </c>
      <c r="J797" s="16">
        <f t="shared" si="188"/>
        <v>-1812671451.4150491</v>
      </c>
      <c r="K797" s="18">
        <f t="shared" si="189"/>
        <v>55803834776.212311</v>
      </c>
      <c r="L797" s="17">
        <f t="shared" si="190"/>
        <v>18.819166917992565</v>
      </c>
      <c r="M797" s="16">
        <f t="shared" si="191"/>
        <v>2.1736922942484644E-11</v>
      </c>
      <c r="N797" s="16">
        <f t="shared" si="192"/>
        <v>69007007292.106735</v>
      </c>
      <c r="O797" s="16">
        <f t="shared" si="194"/>
        <v>-2240367397.2776637</v>
      </c>
      <c r="P797" s="18">
        <f t="shared" si="193"/>
        <v>68970630048.86998</v>
      </c>
    </row>
    <row r="798" spans="1:16" x14ac:dyDescent="0.4">
      <c r="A798" s="14">
        <v>0.78500000000000003</v>
      </c>
      <c r="B798" s="44">
        <f t="shared" si="195"/>
        <v>4.9323004661359757</v>
      </c>
      <c r="C798" s="40">
        <f t="shared" si="181"/>
        <v>6.7108061818262252E-12</v>
      </c>
      <c r="D798" s="15">
        <f t="shared" si="182"/>
        <v>149013393161.03867</v>
      </c>
      <c r="E798" s="15">
        <f t="shared" si="183"/>
        <v>32506264595.646412</v>
      </c>
      <c r="F798" s="29">
        <f t="shared" si="184"/>
        <v>-145424668139.22632</v>
      </c>
      <c r="G798" s="17">
        <f t="shared" si="185"/>
        <v>20.478911535396573</v>
      </c>
      <c r="H798" s="16">
        <f t="shared" si="186"/>
        <v>1.781384379332716E-11</v>
      </c>
      <c r="I798" s="16">
        <f t="shared" si="187"/>
        <v>56136115910.850601</v>
      </c>
      <c r="J798" s="16">
        <f t="shared" si="188"/>
        <v>-3285412457.4135709</v>
      </c>
      <c r="K798" s="18">
        <f t="shared" si="189"/>
        <v>56039892706.367004</v>
      </c>
      <c r="L798" s="17">
        <f t="shared" si="190"/>
        <v>18.843170957428786</v>
      </c>
      <c r="M798" s="16">
        <f t="shared" si="191"/>
        <v>2.1738559288009306E-11</v>
      </c>
      <c r="N798" s="16">
        <f t="shared" si="192"/>
        <v>69001812867.487488</v>
      </c>
      <c r="O798" s="16">
        <f t="shared" si="194"/>
        <v>-4038387977.1622119</v>
      </c>
      <c r="P798" s="18">
        <f t="shared" si="193"/>
        <v>68883536505.798492</v>
      </c>
    </row>
    <row r="799" spans="1:16" x14ac:dyDescent="0.4">
      <c r="A799" s="14">
        <v>0.78600000000000003</v>
      </c>
      <c r="B799" s="44">
        <f t="shared" si="195"/>
        <v>4.9385836514431549</v>
      </c>
      <c r="C799" s="40">
        <f t="shared" si="181"/>
        <v>6.7114908616049552E-12</v>
      </c>
      <c r="D799" s="15">
        <f t="shared" si="182"/>
        <v>148998191403.46182</v>
      </c>
      <c r="E799" s="15">
        <f t="shared" si="183"/>
        <v>33415937766.135921</v>
      </c>
      <c r="F799" s="29">
        <f t="shared" si="184"/>
        <v>-145202741519.27151</v>
      </c>
      <c r="G799" s="17">
        <f t="shared" si="185"/>
        <v>20.504999320791981</v>
      </c>
      <c r="H799" s="16">
        <f t="shared" si="186"/>
        <v>1.7717366366171211E-11</v>
      </c>
      <c r="I799" s="16">
        <f t="shared" si="187"/>
        <v>56441797236.261795</v>
      </c>
      <c r="J799" s="16">
        <f t="shared" si="188"/>
        <v>-4771929552.9970045</v>
      </c>
      <c r="K799" s="18">
        <f t="shared" si="189"/>
        <v>56239711624.443123</v>
      </c>
      <c r="L799" s="17">
        <f t="shared" si="190"/>
        <v>18.867174996865</v>
      </c>
      <c r="M799" s="16">
        <f t="shared" si="191"/>
        <v>2.1738059373858881E-11</v>
      </c>
      <c r="N799" s="16">
        <f t="shared" si="192"/>
        <v>69003399714.871796</v>
      </c>
      <c r="O799" s="16">
        <f t="shared" si="194"/>
        <v>-5833963099.6922226</v>
      </c>
      <c r="P799" s="18">
        <f t="shared" si="193"/>
        <v>68756338229.73558</v>
      </c>
    </row>
    <row r="800" spans="1:16" x14ac:dyDescent="0.4">
      <c r="A800" s="14">
        <v>0.78700000000000003</v>
      </c>
      <c r="B800" s="44">
        <f t="shared" si="195"/>
        <v>4.944866836750335</v>
      </c>
      <c r="C800" s="40">
        <f t="shared" si="181"/>
        <v>6.712174552070586E-12</v>
      </c>
      <c r="D800" s="15">
        <f t="shared" si="182"/>
        <v>148983014705.9447</v>
      </c>
      <c r="E800" s="15">
        <f t="shared" si="183"/>
        <v>34324111342.652729</v>
      </c>
      <c r="F800" s="29">
        <f t="shared" si="184"/>
        <v>-144975149771.98303</v>
      </c>
      <c r="G800" s="17">
        <f t="shared" si="185"/>
        <v>20.531087106187393</v>
      </c>
      <c r="H800" s="16">
        <f t="shared" si="186"/>
        <v>1.7621102272029798E-11</v>
      </c>
      <c r="I800" s="16">
        <f t="shared" si="187"/>
        <v>56750138814.37558</v>
      </c>
      <c r="J800" s="16">
        <f t="shared" si="188"/>
        <v>-6271383360.0908308</v>
      </c>
      <c r="K800" s="18">
        <f t="shared" si="189"/>
        <v>56402553188.6782</v>
      </c>
      <c r="L800" s="17">
        <f t="shared" si="190"/>
        <v>18.891179036301214</v>
      </c>
      <c r="M800" s="16">
        <f t="shared" si="191"/>
        <v>2.1735423488067036E-11</v>
      </c>
      <c r="N800" s="16">
        <f t="shared" si="192"/>
        <v>69011767855.524643</v>
      </c>
      <c r="O800" s="16">
        <f t="shared" si="194"/>
        <v>-7626399892.962986</v>
      </c>
      <c r="P800" s="18">
        <f t="shared" si="193"/>
        <v>68589081691.020172</v>
      </c>
    </row>
    <row r="801" spans="1:16" x14ac:dyDescent="0.4">
      <c r="A801" s="14">
        <v>0.78800000000000003</v>
      </c>
      <c r="B801" s="44">
        <f t="shared" si="195"/>
        <v>4.9511500220575142</v>
      </c>
      <c r="C801" s="40">
        <f t="shared" si="181"/>
        <v>6.7128572262321866E-12</v>
      </c>
      <c r="D801" s="15">
        <f t="shared" si="182"/>
        <v>148967863653.08755</v>
      </c>
      <c r="E801" s="15">
        <f t="shared" si="183"/>
        <v>35230750342.722183</v>
      </c>
      <c r="F801" s="29">
        <f t="shared" si="184"/>
        <v>-144741903509.84634</v>
      </c>
      <c r="G801" s="17">
        <f t="shared" si="185"/>
        <v>20.5571748915828</v>
      </c>
      <c r="H801" s="16">
        <f t="shared" si="186"/>
        <v>1.7525117021887127E-11</v>
      </c>
      <c r="I801" s="16">
        <f t="shared" si="187"/>
        <v>57060959921.186234</v>
      </c>
      <c r="J801" s="16">
        <f t="shared" si="188"/>
        <v>-7782895024.4709311</v>
      </c>
      <c r="K801" s="18">
        <f t="shared" si="189"/>
        <v>56527689605.761246</v>
      </c>
      <c r="L801" s="17">
        <f t="shared" si="190"/>
        <v>18.915183075737428</v>
      </c>
      <c r="M801" s="16">
        <f t="shared" si="191"/>
        <v>2.1730653149342191E-11</v>
      </c>
      <c r="N801" s="16">
        <f t="shared" si="192"/>
        <v>69026917400.56633</v>
      </c>
      <c r="O801" s="16">
        <f t="shared" si="194"/>
        <v>-9415005508.7307625</v>
      </c>
      <c r="P801" s="18">
        <f t="shared" si="193"/>
        <v>68381817737.576828</v>
      </c>
    </row>
    <row r="802" spans="1:16" x14ac:dyDescent="0.4">
      <c r="A802" s="14">
        <v>0.78900000000000003</v>
      </c>
      <c r="B802" s="44">
        <f t="shared" si="195"/>
        <v>4.9574332073646934</v>
      </c>
      <c r="C802" s="40">
        <f t="shared" si="181"/>
        <v>6.7135388571389486E-12</v>
      </c>
      <c r="D802" s="15">
        <f t="shared" si="182"/>
        <v>148952738828.14188</v>
      </c>
      <c r="E802" s="15">
        <f t="shared" si="183"/>
        <v>36135819864.576385</v>
      </c>
      <c r="F802" s="29">
        <f t="shared" si="184"/>
        <v>-144503013557.22491</v>
      </c>
      <c r="G802" s="17">
        <f t="shared" si="185"/>
        <v>20.583262676978208</v>
      </c>
      <c r="H802" s="16">
        <f t="shared" si="186"/>
        <v>1.7429475936964555E-11</v>
      </c>
      <c r="I802" s="16">
        <f t="shared" si="187"/>
        <v>57374071579.466881</v>
      </c>
      <c r="J802" s="16">
        <f t="shared" si="188"/>
        <v>-9305545556.8008194</v>
      </c>
      <c r="K802" s="18">
        <f t="shared" si="189"/>
        <v>56614405512.167076</v>
      </c>
      <c r="L802" s="17">
        <f t="shared" si="190"/>
        <v>18.939187115173642</v>
      </c>
      <c r="M802" s="16">
        <f t="shared" si="191"/>
        <v>2.1723751106192475E-11</v>
      </c>
      <c r="N802" s="16">
        <f t="shared" si="192"/>
        <v>69048848546.806305</v>
      </c>
      <c r="O802" s="16">
        <f t="shared" si="194"/>
        <v>-11199086767.042316</v>
      </c>
      <c r="P802" s="18">
        <f t="shared" si="193"/>
        <v>68134601644.275085</v>
      </c>
    </row>
    <row r="803" spans="1:16" x14ac:dyDescent="0.4">
      <c r="A803" s="14">
        <v>0.79</v>
      </c>
      <c r="B803" s="44">
        <f t="shared" si="195"/>
        <v>4.9637163926718735</v>
      </c>
      <c r="C803" s="40">
        <f t="shared" si="181"/>
        <v>6.7142194178812543E-12</v>
      </c>
      <c r="D803" s="15">
        <f t="shared" si="182"/>
        <v>148937640812.98984</v>
      </c>
      <c r="E803" s="15">
        <f t="shared" si="183"/>
        <v>37039285088.382133</v>
      </c>
      <c r="F803" s="29">
        <f t="shared" si="184"/>
        <v>-144258490949.68631</v>
      </c>
      <c r="G803" s="17">
        <f t="shared" si="185"/>
        <v>20.609350462373619</v>
      </c>
      <c r="H803" s="16">
        <f t="shared" si="186"/>
        <v>1.7334244104267319E-11</v>
      </c>
      <c r="I803" s="16">
        <f t="shared" si="187"/>
        <v>57689276439.450943</v>
      </c>
      <c r="J803" s="16">
        <f t="shared" si="188"/>
        <v>-10838375252.389776</v>
      </c>
      <c r="K803" s="18">
        <f t="shared" si="189"/>
        <v>56661999947.017181</v>
      </c>
      <c r="L803" s="17">
        <f t="shared" si="190"/>
        <v>18.963191154609859</v>
      </c>
      <c r="M803" s="16">
        <f t="shared" si="191"/>
        <v>2.1714721335342164E-11</v>
      </c>
      <c r="N803" s="16">
        <f t="shared" si="192"/>
        <v>69077561569.194504</v>
      </c>
      <c r="O803" s="16">
        <f t="shared" si="194"/>
        <v>-12977949803.076338</v>
      </c>
      <c r="P803" s="18">
        <f t="shared" si="193"/>
        <v>67847493183.276039</v>
      </c>
    </row>
    <row r="804" spans="1:16" x14ac:dyDescent="0.4">
      <c r="A804" s="14">
        <v>0.79100000000000004</v>
      </c>
      <c r="B804" s="44">
        <f t="shared" si="195"/>
        <v>4.9699995779790527</v>
      </c>
      <c r="C804" s="40">
        <f t="shared" si="181"/>
        <v>6.7148988815917257E-12</v>
      </c>
      <c r="D804" s="15">
        <f t="shared" si="182"/>
        <v>148922570188.12415</v>
      </c>
      <c r="E804" s="15">
        <f t="shared" si="183"/>
        <v>37941111277.462769</v>
      </c>
      <c r="F804" s="29">
        <f t="shared" si="184"/>
        <v>-144008346933.32172</v>
      </c>
      <c r="G804" s="17">
        <f t="shared" si="185"/>
        <v>20.635438247769027</v>
      </c>
      <c r="H804" s="16">
        <f t="shared" si="186"/>
        <v>1.723948633229067E-11</v>
      </c>
      <c r="I804" s="16">
        <f t="shared" si="187"/>
        <v>58006368677.408646</v>
      </c>
      <c r="J804" s="16">
        <f t="shared" si="188"/>
        <v>-12380383197.974535</v>
      </c>
      <c r="K804" s="18">
        <f t="shared" si="189"/>
        <v>56669788415.087318</v>
      </c>
      <c r="L804" s="17">
        <f t="shared" si="190"/>
        <v>18.987195194046073</v>
      </c>
      <c r="M804" s="16">
        <f t="shared" si="191"/>
        <v>2.1703569039440416E-11</v>
      </c>
      <c r="N804" s="16">
        <f t="shared" si="192"/>
        <v>69113056809.880081</v>
      </c>
      <c r="O804" s="16">
        <f t="shared" si="194"/>
        <v>-14750899716.688208</v>
      </c>
      <c r="P804" s="18">
        <f t="shared" si="193"/>
        <v>67520556715.373131</v>
      </c>
    </row>
    <row r="805" spans="1:16" x14ac:dyDescent="0.4">
      <c r="A805" s="14">
        <v>0.79200000000000004</v>
      </c>
      <c r="B805" s="44">
        <f t="shared" si="195"/>
        <v>4.9762827632862328</v>
      </c>
      <c r="C805" s="40">
        <f t="shared" si="181"/>
        <v>6.7155772214463044E-12</v>
      </c>
      <c r="D805" s="15">
        <f t="shared" si="182"/>
        <v>148907527532.62726</v>
      </c>
      <c r="E805" s="15">
        <f t="shared" si="183"/>
        <v>38841263779.514839</v>
      </c>
      <c r="F805" s="29">
        <f t="shared" si="184"/>
        <v>-143752592964.05853</v>
      </c>
      <c r="G805" s="17">
        <f t="shared" si="185"/>
        <v>20.661526033164439</v>
      </c>
      <c r="H805" s="16">
        <f t="shared" si="186"/>
        <v>1.7145267106915383E-11</v>
      </c>
      <c r="I805" s="16">
        <f t="shared" si="187"/>
        <v>58325133913.875237</v>
      </c>
      <c r="J805" s="16">
        <f t="shared" si="188"/>
        <v>-13930526874.065523</v>
      </c>
      <c r="K805" s="18">
        <f t="shared" si="189"/>
        <v>56637105037.973274</v>
      </c>
      <c r="L805" s="17">
        <f t="shared" si="190"/>
        <v>19.011199233482287</v>
      </c>
      <c r="M805" s="16">
        <f t="shared" si="191"/>
        <v>2.1690300644063647E-11</v>
      </c>
      <c r="N805" s="16">
        <f t="shared" si="192"/>
        <v>69155334663.861862</v>
      </c>
      <c r="O805" s="16">
        <f t="shared" si="194"/>
        <v>-16517240225.156897</v>
      </c>
      <c r="P805" s="18">
        <f t="shared" si="193"/>
        <v>67153861302.349503</v>
      </c>
    </row>
    <row r="806" spans="1:16" x14ac:dyDescent="0.4">
      <c r="A806" s="14">
        <v>0.79300000000000004</v>
      </c>
      <c r="B806" s="44">
        <f t="shared" si="195"/>
        <v>4.982565948593412</v>
      </c>
      <c r="C806" s="40">
        <f t="shared" si="181"/>
        <v>6.7162544106652911E-12</v>
      </c>
      <c r="D806" s="15">
        <f t="shared" si="182"/>
        <v>148892513424.1517</v>
      </c>
      <c r="E806" s="15">
        <f t="shared" si="183"/>
        <v>39739708027.816795</v>
      </c>
      <c r="F806" s="29">
        <f t="shared" si="184"/>
        <v>-143491240706.96814</v>
      </c>
      <c r="G806" s="17">
        <f t="shared" si="185"/>
        <v>20.687613818559846</v>
      </c>
      <c r="H806" s="16">
        <f t="shared" si="186"/>
        <v>1.7051650547523046E-11</v>
      </c>
      <c r="I806" s="16">
        <f t="shared" si="187"/>
        <v>58645349153.3265</v>
      </c>
      <c r="J806" s="16">
        <f t="shared" si="188"/>
        <v>-15487721861.591583</v>
      </c>
      <c r="K806" s="18">
        <f t="shared" si="189"/>
        <v>56563304790.770058</v>
      </c>
      <c r="L806" s="17">
        <f t="shared" si="190"/>
        <v>19.035203272918501</v>
      </c>
      <c r="M806" s="16">
        <f t="shared" si="191"/>
        <v>2.1674923794013387E-11</v>
      </c>
      <c r="N806" s="16">
        <f t="shared" si="192"/>
        <v>69204395561.210693</v>
      </c>
      <c r="O806" s="16">
        <f t="shared" si="194"/>
        <v>-18276273319.63456</v>
      </c>
      <c r="P806" s="18">
        <f t="shared" si="193"/>
        <v>66747480840.392258</v>
      </c>
    </row>
    <row r="807" spans="1:16" x14ac:dyDescent="0.4">
      <c r="A807" s="14">
        <v>0.79400000000000004</v>
      </c>
      <c r="B807" s="44">
        <f t="shared" si="195"/>
        <v>4.988849133900592</v>
      </c>
      <c r="C807" s="40">
        <f t="shared" si="181"/>
        <v>6.7169304225144167E-12</v>
      </c>
      <c r="D807" s="15">
        <f t="shared" si="182"/>
        <v>148877528438.8996</v>
      </c>
      <c r="E807" s="15">
        <f t="shared" si="183"/>
        <v>40636409542.433334</v>
      </c>
      <c r="F807" s="29">
        <f t="shared" si="184"/>
        <v>-143224302035.56586</v>
      </c>
      <c r="G807" s="17">
        <f t="shared" si="185"/>
        <v>20.713701603955258</v>
      </c>
      <c r="H807" s="16">
        <f t="shared" si="186"/>
        <v>1.6958700363360531E-11</v>
      </c>
      <c r="I807" s="16">
        <f t="shared" si="187"/>
        <v>58966782747.132652</v>
      </c>
      <c r="J807" s="16">
        <f t="shared" si="188"/>
        <v>-17050841661.745913</v>
      </c>
      <c r="K807" s="18">
        <f t="shared" si="189"/>
        <v>56447765820.921654</v>
      </c>
      <c r="L807" s="17">
        <f t="shared" si="190"/>
        <v>19.059207312354719</v>
      </c>
      <c r="M807" s="16">
        <f t="shared" si="191"/>
        <v>2.1657447348911551E-11</v>
      </c>
      <c r="N807" s="16">
        <f t="shared" si="192"/>
        <v>69260239945.839523</v>
      </c>
      <c r="O807" s="16">
        <f t="shared" si="194"/>
        <v>-20027298925.825562</v>
      </c>
      <c r="P807" s="18">
        <f t="shared" si="193"/>
        <v>66301494214.616997</v>
      </c>
    </row>
    <row r="808" spans="1:16" x14ac:dyDescent="0.4">
      <c r="A808" s="14">
        <v>0.79500000000000004</v>
      </c>
      <c r="B808" s="44">
        <f t="shared" si="195"/>
        <v>4.9951323192077712</v>
      </c>
      <c r="C808" s="40">
        <f t="shared" si="181"/>
        <v>6.7176052303058912E-12</v>
      </c>
      <c r="D808" s="15">
        <f t="shared" si="182"/>
        <v>148862573151.60275</v>
      </c>
      <c r="E808" s="15">
        <f t="shared" si="183"/>
        <v>41531333931.411324</v>
      </c>
      <c r="F808" s="29">
        <f t="shared" si="184"/>
        <v>-142951789031.10617</v>
      </c>
      <c r="G808" s="17">
        <f t="shared" si="185"/>
        <v>20.739789389350666</v>
      </c>
      <c r="H808" s="16">
        <f t="shared" si="186"/>
        <v>1.6866479810183798E-11</v>
      </c>
      <c r="I808" s="16">
        <f t="shared" si="187"/>
        <v>59289194381.640373</v>
      </c>
      <c r="J808" s="16">
        <f t="shared" si="188"/>
        <v>-18618717638.029461</v>
      </c>
      <c r="K808" s="18">
        <f t="shared" si="189"/>
        <v>56289891845.155174</v>
      </c>
      <c r="L808" s="17">
        <f t="shared" si="190"/>
        <v>19.083211351790933</v>
      </c>
      <c r="M808" s="16">
        <f t="shared" si="191"/>
        <v>2.1637881378095864E-11</v>
      </c>
      <c r="N808" s="16">
        <f t="shared" si="192"/>
        <v>69322868250.791763</v>
      </c>
      <c r="O808" s="16">
        <f t="shared" si="194"/>
        <v>-21769614569.421288</v>
      </c>
      <c r="P808" s="18">
        <f t="shared" si="193"/>
        <v>65815985474.77256</v>
      </c>
    </row>
    <row r="809" spans="1:16" x14ac:dyDescent="0.4">
      <c r="A809" s="14">
        <v>0.79600000000000004</v>
      </c>
      <c r="B809" s="44">
        <f t="shared" si="195"/>
        <v>5.0014155045149513</v>
      </c>
      <c r="C809" s="40">
        <f t="shared" si="181"/>
        <v>6.7182788073994549E-12</v>
      </c>
      <c r="D809" s="15">
        <f t="shared" si="182"/>
        <v>148847648135.50287</v>
      </c>
      <c r="E809" s="15">
        <f t="shared" si="183"/>
        <v>42424446891.971619</v>
      </c>
      <c r="F809" s="29">
        <f t="shared" si="184"/>
        <v>-142673713981.87106</v>
      </c>
      <c r="G809" s="17">
        <f t="shared" si="185"/>
        <v>20.765877174746077</v>
      </c>
      <c r="H809" s="16">
        <f t="shared" si="186"/>
        <v>1.6775051647210092E-11</v>
      </c>
      <c r="I809" s="16">
        <f t="shared" si="187"/>
        <v>59612335093.246223</v>
      </c>
      <c r="J809" s="16">
        <f t="shared" si="188"/>
        <v>-20190139089.552292</v>
      </c>
      <c r="K809" s="18">
        <f t="shared" si="189"/>
        <v>56089114619.630142</v>
      </c>
      <c r="L809" s="17">
        <f t="shared" si="190"/>
        <v>19.107215391227147</v>
      </c>
      <c r="M809" s="16">
        <f t="shared" si="191"/>
        <v>2.1616237154818226E-11</v>
      </c>
      <c r="N809" s="16">
        <f t="shared" si="192"/>
        <v>69392280870.014984</v>
      </c>
      <c r="O809" s="16">
        <f t="shared" si="194"/>
        <v>-23502515046.84996</v>
      </c>
      <c r="P809" s="18">
        <f t="shared" si="193"/>
        <v>65291044032.207344</v>
      </c>
    </row>
    <row r="810" spans="1:16" x14ac:dyDescent="0.4">
      <c r="A810" s="14">
        <v>0.79700000000000004</v>
      </c>
      <c r="B810" s="44">
        <f t="shared" si="195"/>
        <v>5.0076986898221305</v>
      </c>
      <c r="C810" s="40">
        <f t="shared" si="181"/>
        <v>6.7189511272034428E-12</v>
      </c>
      <c r="D810" s="15">
        <f t="shared" si="182"/>
        <v>148832753962.33151</v>
      </c>
      <c r="E810" s="15">
        <f t="shared" si="183"/>
        <v>43315714211.692268</v>
      </c>
      <c r="F810" s="29">
        <f t="shared" si="184"/>
        <v>-142390089382.45282</v>
      </c>
      <c r="G810" s="17">
        <f t="shared" si="185"/>
        <v>20.791964960141488</v>
      </c>
      <c r="H810" s="16">
        <f t="shared" si="186"/>
        <v>1.668447809440827E-11</v>
      </c>
      <c r="I810" s="16">
        <f t="shared" si="187"/>
        <v>59935947312.319328</v>
      </c>
      <c r="J810" s="16">
        <f t="shared" si="188"/>
        <v>-21763853464.628216</v>
      </c>
      <c r="K810" s="18">
        <f t="shared" si="189"/>
        <v>55844896477.612968</v>
      </c>
      <c r="L810" s="17">
        <f t="shared" si="190"/>
        <v>19.131219430663364</v>
      </c>
      <c r="M810" s="16">
        <f t="shared" si="191"/>
        <v>2.1592527149749438E-11</v>
      </c>
      <c r="N810" s="16">
        <f t="shared" si="192"/>
        <v>69468478126.582153</v>
      </c>
      <c r="O810" s="16">
        <f t="shared" si="194"/>
        <v>-25225292101.905357</v>
      </c>
      <c r="P810" s="18">
        <f t="shared" si="193"/>
        <v>64726764878.193741</v>
      </c>
    </row>
    <row r="811" spans="1:16" x14ac:dyDescent="0.4">
      <c r="A811" s="14">
        <v>0.79800000000000004</v>
      </c>
      <c r="B811" s="44">
        <f t="shared" si="195"/>
        <v>5.0139818751293097</v>
      </c>
      <c r="C811" s="40">
        <f t="shared" si="181"/>
        <v>6.7196221631758155E-12</v>
      </c>
      <c r="D811" s="15">
        <f t="shared" si="182"/>
        <v>148817891202.29074</v>
      </c>
      <c r="E811" s="15">
        <f t="shared" si="183"/>
        <v>44205101769.687508</v>
      </c>
      <c r="F811" s="29">
        <f t="shared" si="184"/>
        <v>-142100927933.03079</v>
      </c>
      <c r="G811" s="17">
        <f t="shared" si="185"/>
        <v>20.818052745536896</v>
      </c>
      <c r="H811" s="16">
        <f t="shared" si="186"/>
        <v>1.6594820790155948E-11</v>
      </c>
      <c r="I811" s="16">
        <f t="shared" si="187"/>
        <v>60259764937.817238</v>
      </c>
      <c r="J811" s="16">
        <f t="shared" si="188"/>
        <v>-23338566723.628811</v>
      </c>
      <c r="K811" s="18">
        <f t="shared" si="189"/>
        <v>55556732928.13134</v>
      </c>
      <c r="L811" s="17">
        <f t="shared" si="190"/>
        <v>19.155223470099578</v>
      </c>
      <c r="M811" s="16">
        <f t="shared" si="191"/>
        <v>2.156676502379406E-11</v>
      </c>
      <c r="N811" s="16">
        <f t="shared" si="192"/>
        <v>69551460237.318314</v>
      </c>
      <c r="O811" s="16">
        <f t="shared" si="194"/>
        <v>-26937234108.85358</v>
      </c>
      <c r="P811" s="18">
        <f t="shared" si="193"/>
        <v>64123248823.715141</v>
      </c>
    </row>
    <row r="812" spans="1:16" x14ac:dyDescent="0.4">
      <c r="A812" s="14">
        <v>0.79900000000000004</v>
      </c>
      <c r="B812" s="44">
        <f t="shared" si="195"/>
        <v>5.0202650604364898</v>
      </c>
      <c r="C812" s="40">
        <f t="shared" si="181"/>
        <v>6.7202918888252246E-12</v>
      </c>
      <c r="D812" s="15">
        <f t="shared" si="182"/>
        <v>148803060424.03317</v>
      </c>
      <c r="E812" s="15">
        <f t="shared" si="183"/>
        <v>45092575537.778877</v>
      </c>
      <c r="F812" s="29">
        <f t="shared" si="184"/>
        <v>-141806242538.64206</v>
      </c>
      <c r="G812" s="17">
        <f t="shared" si="185"/>
        <v>20.844140530932307</v>
      </c>
      <c r="H812" s="16">
        <f t="shared" si="186"/>
        <v>1.650614074929246E-11</v>
      </c>
      <c r="I812" s="16">
        <f t="shared" si="187"/>
        <v>60583513444.404945</v>
      </c>
      <c r="J812" s="16">
        <f t="shared" si="188"/>
        <v>-24912943859.899185</v>
      </c>
      <c r="K812" s="18">
        <f t="shared" si="189"/>
        <v>55224155308.179283</v>
      </c>
      <c r="L812" s="17">
        <f t="shared" si="190"/>
        <v>19.179227509535796</v>
      </c>
      <c r="M812" s="16">
        <f t="shared" si="191"/>
        <v>2.1538965620219414E-11</v>
      </c>
      <c r="N812" s="16">
        <f t="shared" si="192"/>
        <v>69641227273.787704</v>
      </c>
      <c r="O812" s="16">
        <f t="shared" si="194"/>
        <v>-28637625762.633648</v>
      </c>
      <c r="P812" s="18">
        <f t="shared" si="193"/>
        <v>63480602760.833122</v>
      </c>
    </row>
    <row r="813" spans="1:16" x14ac:dyDescent="0.4">
      <c r="A813" s="14">
        <v>0.8</v>
      </c>
      <c r="B813" s="44">
        <f t="shared" si="195"/>
        <v>5.026548245743669</v>
      </c>
      <c r="C813" s="40">
        <f t="shared" si="181"/>
        <v>6.7209602777120472E-12</v>
      </c>
      <c r="D813" s="15">
        <f t="shared" si="182"/>
        <v>148788262194.64288</v>
      </c>
      <c r="E813" s="15">
        <f t="shared" si="183"/>
        <v>45978101581.660133</v>
      </c>
      <c r="F813" s="29">
        <f t="shared" si="184"/>
        <v>-141506046308.44696</v>
      </c>
      <c r="G813" s="17">
        <f t="shared" si="185"/>
        <v>20.870228316327715</v>
      </c>
      <c r="H813" s="16">
        <f t="shared" si="186"/>
        <v>1.6418498321596282E-11</v>
      </c>
      <c r="I813" s="16">
        <f t="shared" si="187"/>
        <v>60906910023.837997</v>
      </c>
      <c r="J813" s="16">
        <f t="shared" si="188"/>
        <v>-26485609587.299355</v>
      </c>
      <c r="K813" s="18">
        <f t="shared" si="189"/>
        <v>54846733480.135841</v>
      </c>
      <c r="L813" s="17">
        <f t="shared" si="190"/>
        <v>19.20323154897201</v>
      </c>
      <c r="M813" s="16">
        <f t="shared" si="191"/>
        <v>2.1509144956103421E-11</v>
      </c>
      <c r="N813" s="16">
        <f t="shared" si="192"/>
        <v>69737779119.590759</v>
      </c>
      <c r="O813" s="16">
        <f t="shared" si="194"/>
        <v>-30325747776.794006</v>
      </c>
      <c r="P813" s="18">
        <f t="shared" si="193"/>
        <v>62798939945.759453</v>
      </c>
    </row>
    <row r="814" spans="1:16" x14ac:dyDescent="0.4">
      <c r="A814" s="14">
        <v>0.80100000000000005</v>
      </c>
      <c r="B814" s="44">
        <f t="shared" si="195"/>
        <v>5.0328314310508491</v>
      </c>
      <c r="C814" s="40">
        <f t="shared" si="181"/>
        <v>6.7216273034494348E-12</v>
      </c>
      <c r="D814" s="15">
        <f t="shared" si="182"/>
        <v>148773497079.61575</v>
      </c>
      <c r="E814" s="15">
        <f t="shared" si="183"/>
        <v>46861646062.056862</v>
      </c>
      <c r="F814" s="29">
        <f t="shared" si="184"/>
        <v>-141200352554.98816</v>
      </c>
      <c r="G814" s="17">
        <f t="shared" si="185"/>
        <v>20.896316101723126</v>
      </c>
      <c r="H814" s="16">
        <f t="shared" si="186"/>
        <v>1.633195315071485E-11</v>
      </c>
      <c r="I814" s="16">
        <f t="shared" si="187"/>
        <v>61229663762.305733</v>
      </c>
      <c r="J814" s="16">
        <f t="shared" si="188"/>
        <v>-28055149202.617245</v>
      </c>
      <c r="K814" s="18">
        <f t="shared" si="189"/>
        <v>54424078565.134209</v>
      </c>
      <c r="L814" s="17">
        <f t="shared" si="190"/>
        <v>19.227235588408224</v>
      </c>
      <c r="M814" s="16">
        <f t="shared" si="191"/>
        <v>2.1477320213106092E-11</v>
      </c>
      <c r="N814" s="16">
        <f t="shared" si="192"/>
        <v>69841115423.918472</v>
      </c>
      <c r="O814" s="16">
        <f t="shared" si="194"/>
        <v>-32000876589.844917</v>
      </c>
      <c r="P814" s="18">
        <f t="shared" si="193"/>
        <v>62078380303.762909</v>
      </c>
    </row>
    <row r="815" spans="1:16" x14ac:dyDescent="0.4">
      <c r="A815" s="14">
        <v>0.80200000000000005</v>
      </c>
      <c r="B815" s="44">
        <f t="shared" si="195"/>
        <v>5.0391146163580283</v>
      </c>
      <c r="C815" s="40">
        <f t="shared" si="181"/>
        <v>6.7222929397043528E-12</v>
      </c>
      <c r="D815" s="15">
        <f t="shared" si="182"/>
        <v>148758765642.84033</v>
      </c>
      <c r="E815" s="15">
        <f t="shared" si="183"/>
        <v>47743175235.877861</v>
      </c>
      <c r="F815" s="29">
        <f t="shared" si="184"/>
        <v>-140889174793.44449</v>
      </c>
      <c r="G815" s="17">
        <f t="shared" si="185"/>
        <v>20.922403887118534</v>
      </c>
      <c r="H815" s="16">
        <f t="shared" si="186"/>
        <v>1.6246564133575131E-11</v>
      </c>
      <c r="I815" s="16">
        <f t="shared" si="187"/>
        <v>61551475855.34108</v>
      </c>
      <c r="J815" s="16">
        <f t="shared" si="188"/>
        <v>-29620109630.667637</v>
      </c>
      <c r="K815" s="18">
        <f t="shared" si="189"/>
        <v>53955845702.1838</v>
      </c>
      <c r="L815" s="17">
        <f t="shared" si="190"/>
        <v>19.251239627844438</v>
      </c>
      <c r="M815" s="16">
        <f t="shared" si="191"/>
        <v>2.1443509727570039E-11</v>
      </c>
      <c r="N815" s="16">
        <f t="shared" si="192"/>
        <v>69951235551.307236</v>
      </c>
      <c r="O815" s="16">
        <f t="shared" si="194"/>
        <v>-33662284080.724979</v>
      </c>
      <c r="P815" s="18">
        <f t="shared" si="193"/>
        <v>61319050756.050026</v>
      </c>
    </row>
    <row r="816" spans="1:16" x14ac:dyDescent="0.4">
      <c r="A816" s="14">
        <v>0.80300000000000005</v>
      </c>
      <c r="B816" s="44">
        <f t="shared" si="195"/>
        <v>5.0453978016652083</v>
      </c>
      <c r="C816" s="40">
        <f t="shared" si="181"/>
        <v>6.722957160198623E-12</v>
      </c>
      <c r="D816" s="15">
        <f t="shared" si="182"/>
        <v>148744068446.57864</v>
      </c>
      <c r="E816" s="15">
        <f t="shared" si="183"/>
        <v>48622655457.362045</v>
      </c>
      <c r="F816" s="29">
        <f t="shared" si="184"/>
        <v>-140572526740.87897</v>
      </c>
      <c r="G816" s="17">
        <f t="shared" si="185"/>
        <v>20.948491672513946</v>
      </c>
      <c r="H816" s="16">
        <f t="shared" si="186"/>
        <v>1.6162389380302179E-11</v>
      </c>
      <c r="I816" s="16">
        <f t="shared" si="187"/>
        <v>61872039861.800659</v>
      </c>
      <c r="J816" s="16">
        <f t="shared" si="188"/>
        <v>-31179000659.388027</v>
      </c>
      <c r="K816" s="18">
        <f t="shared" si="189"/>
        <v>53441736821.908501</v>
      </c>
      <c r="L816" s="17">
        <f t="shared" si="190"/>
        <v>19.275243667280655</v>
      </c>
      <c r="M816" s="16">
        <f t="shared" si="191"/>
        <v>2.1407732979955689E-11</v>
      </c>
      <c r="N816" s="16">
        <f t="shared" si="192"/>
        <v>70068138527.534302</v>
      </c>
      <c r="O816" s="16">
        <f t="shared" si="194"/>
        <v>-35309237294.128288</v>
      </c>
      <c r="P816" s="18">
        <f t="shared" si="193"/>
        <v>60521085568.755928</v>
      </c>
    </row>
    <row r="817" spans="1:16" x14ac:dyDescent="0.4">
      <c r="A817" s="14">
        <v>0.80400000000000005</v>
      </c>
      <c r="B817" s="44">
        <f t="shared" si="195"/>
        <v>5.0516809869723875</v>
      </c>
      <c r="C817" s="40">
        <f t="shared" si="181"/>
        <v>6.7236199387099552E-12</v>
      </c>
      <c r="D817" s="15">
        <f t="shared" si="182"/>
        <v>148729406051.4473</v>
      </c>
      <c r="E817" s="15">
        <f t="shared" si="183"/>
        <v>49500053179.217026</v>
      </c>
      <c r="F817" s="29">
        <f t="shared" si="184"/>
        <v>-140250422315.48172</v>
      </c>
      <c r="G817" s="17">
        <f t="shared" si="185"/>
        <v>20.974579457909353</v>
      </c>
      <c r="H817" s="16">
        <f t="shared" si="186"/>
        <v>1.6079486174673308E-11</v>
      </c>
      <c r="I817" s="16">
        <f t="shared" si="187"/>
        <v>62191041998.288063</v>
      </c>
      <c r="J817" s="16">
        <f t="shared" si="188"/>
        <v>-32730296371.608219</v>
      </c>
      <c r="K817" s="18">
        <f t="shared" si="189"/>
        <v>52881503422.836983</v>
      </c>
      <c r="L817" s="17">
        <f t="shared" si="190"/>
        <v>19.299247706716869</v>
      </c>
      <c r="M817" s="16">
        <f t="shared" si="191"/>
        <v>2.1370010583617319E-11</v>
      </c>
      <c r="N817" s="16">
        <f t="shared" si="192"/>
        <v>70191822981.591324</v>
      </c>
      <c r="O817" s="16">
        <f t="shared" si="194"/>
        <v>-36940998176.460617</v>
      </c>
      <c r="P817" s="18">
        <f t="shared" si="193"/>
        <v>59684626724.189087</v>
      </c>
    </row>
    <row r="818" spans="1:16" x14ac:dyDescent="0.4">
      <c r="A818" s="14">
        <v>0.80500000000000005</v>
      </c>
      <c r="B818" s="44">
        <f t="shared" si="195"/>
        <v>5.0579641722795676</v>
      </c>
      <c r="C818" s="40">
        <f t="shared" si="181"/>
        <v>6.7242812490729923E-12</v>
      </c>
      <c r="D818" s="15">
        <f t="shared" si="182"/>
        <v>148714779016.39819</v>
      </c>
      <c r="E818" s="15">
        <f t="shared" si="183"/>
        <v>50375334953.752899</v>
      </c>
      <c r="F818" s="29">
        <f t="shared" si="184"/>
        <v>-139922875635.80643</v>
      </c>
      <c r="G818" s="17">
        <f t="shared" si="185"/>
        <v>21.000667243304765</v>
      </c>
      <c r="H818" s="16">
        <f t="shared" si="186"/>
        <v>1.5997910935134444E-11</v>
      </c>
      <c r="I818" s="16">
        <f t="shared" si="187"/>
        <v>62508161475.24678</v>
      </c>
      <c r="J818" s="16">
        <f t="shared" si="188"/>
        <v>-34272436779.457729</v>
      </c>
      <c r="K818" s="18">
        <f t="shared" si="189"/>
        <v>52274949337.264778</v>
      </c>
      <c r="L818" s="17">
        <f t="shared" si="190"/>
        <v>19.323251746153083</v>
      </c>
      <c r="M818" s="16">
        <f t="shared" si="191"/>
        <v>2.1330364272926303E-11</v>
      </c>
      <c r="N818" s="16">
        <f t="shared" si="192"/>
        <v>70322287083.670868</v>
      </c>
      <c r="O818" s="16">
        <f t="shared" si="194"/>
        <v>-38556823323.24543</v>
      </c>
      <c r="P818" s="18">
        <f t="shared" si="193"/>
        <v>58809824314.465179</v>
      </c>
    </row>
    <row r="819" spans="1:16" x14ac:dyDescent="0.4">
      <c r="A819" s="14">
        <v>0.80600000000000005</v>
      </c>
      <c r="B819" s="44">
        <f t="shared" si="195"/>
        <v>5.0642473575867468</v>
      </c>
      <c r="C819" s="40">
        <f t="shared" si="181"/>
        <v>6.724941065180331E-12</v>
      </c>
      <c r="D819" s="15">
        <f t="shared" si="182"/>
        <v>148700187898.70016</v>
      </c>
      <c r="E819" s="15">
        <f t="shared" si="183"/>
        <v>51248467434.007988</v>
      </c>
      <c r="F819" s="29">
        <f t="shared" si="184"/>
        <v>-139589901020.00272</v>
      </c>
      <c r="G819" s="17">
        <f t="shared" si="185"/>
        <v>21.026755028700173</v>
      </c>
      <c r="H819" s="16">
        <f t="shared" si="186"/>
        <v>1.5917719176405552E-11</v>
      </c>
      <c r="I819" s="16">
        <f t="shared" si="187"/>
        <v>62823070875.774445</v>
      </c>
      <c r="J819" s="16">
        <f t="shared" si="188"/>
        <v>-35803829666.526009</v>
      </c>
      <c r="K819" s="18">
        <f t="shared" si="189"/>
        <v>51621933472.82695</v>
      </c>
      <c r="L819" s="17">
        <f t="shared" si="190"/>
        <v>19.347255785589297</v>
      </c>
      <c r="M819" s="16">
        <f t="shared" si="191"/>
        <v>2.1288816890748528E-11</v>
      </c>
      <c r="N819" s="16">
        <f t="shared" si="192"/>
        <v>70459528479.098068</v>
      </c>
      <c r="O819" s="16">
        <f t="shared" si="194"/>
        <v>-40155963738.827133</v>
      </c>
      <c r="P819" s="18">
        <f t="shared" si="193"/>
        <v>57896836957.66835</v>
      </c>
    </row>
    <row r="820" spans="1:16" x14ac:dyDescent="0.4">
      <c r="A820" s="14">
        <v>0.80700000000000005</v>
      </c>
      <c r="B820" s="44">
        <f t="shared" si="195"/>
        <v>5.070530542893926</v>
      </c>
      <c r="C820" s="40">
        <f t="shared" si="181"/>
        <v>6.7255993609835602E-12</v>
      </c>
      <c r="D820" s="15">
        <f t="shared" si="182"/>
        <v>148685633253.91995</v>
      </c>
      <c r="E820" s="15">
        <f t="shared" si="183"/>
        <v>52119417374.869644</v>
      </c>
      <c r="F820" s="29">
        <f t="shared" si="184"/>
        <v>-139251512985.04199</v>
      </c>
      <c r="G820" s="17">
        <f t="shared" si="185"/>
        <v>21.05284281409558</v>
      </c>
      <c r="H820" s="16">
        <f t="shared" si="186"/>
        <v>1.5838965471700902E-11</v>
      </c>
      <c r="I820" s="16">
        <f t="shared" si="187"/>
        <v>63135436578.018677</v>
      </c>
      <c r="J820" s="16">
        <f t="shared" si="188"/>
        <v>-37322852641.957581</v>
      </c>
      <c r="K820" s="18">
        <f t="shared" si="189"/>
        <v>50922372515.071793</v>
      </c>
      <c r="L820" s="17">
        <f t="shared" si="190"/>
        <v>19.371259825025511</v>
      </c>
      <c r="M820" s="16">
        <f t="shared" si="191"/>
        <v>2.1245392375283101E-11</v>
      </c>
      <c r="N820" s="16">
        <f t="shared" si="192"/>
        <v>70603544218.138367</v>
      </c>
      <c r="O820" s="16">
        <f t="shared" si="194"/>
        <v>-41737664609.275284</v>
      </c>
      <c r="P820" s="18">
        <f t="shared" si="193"/>
        <v>56945832236.663902</v>
      </c>
    </row>
    <row r="821" spans="1:16" x14ac:dyDescent="0.4">
      <c r="A821" s="14">
        <v>0.80800000000000005</v>
      </c>
      <c r="B821" s="44">
        <f t="shared" si="195"/>
        <v>5.0768137282011061</v>
      </c>
      <c r="C821" s="40">
        <f t="shared" si="181"/>
        <v>6.726256110494292E-12</v>
      </c>
      <c r="D821" s="15">
        <f t="shared" si="182"/>
        <v>148671115635.90359</v>
      </c>
      <c r="E821" s="15">
        <f t="shared" si="183"/>
        <v>52988151634.187378</v>
      </c>
      <c r="F821" s="29">
        <f t="shared" si="184"/>
        <v>-138907726245.93848</v>
      </c>
      <c r="G821" s="17">
        <f t="shared" si="185"/>
        <v>21.078930599490992</v>
      </c>
      <c r="H821" s="16">
        <f t="shared" si="186"/>
        <v>1.5761703415590177E-11</v>
      </c>
      <c r="I821" s="16">
        <f t="shared" si="187"/>
        <v>63444919221.794418</v>
      </c>
      <c r="J821" s="16">
        <f t="shared" si="188"/>
        <v>-38827855409.595184</v>
      </c>
      <c r="K821" s="18">
        <f t="shared" si="189"/>
        <v>50176243575.536713</v>
      </c>
      <c r="L821" s="17">
        <f t="shared" si="190"/>
        <v>19.395263864461729</v>
      </c>
      <c r="M821" s="16">
        <f t="shared" si="191"/>
        <v>2.1200115746269948E-11</v>
      </c>
      <c r="N821" s="16">
        <f t="shared" si="192"/>
        <v>70754330681.610428</v>
      </c>
      <c r="O821" s="16">
        <f t="shared" si="194"/>
        <v>-43301165089.426575</v>
      </c>
      <c r="P821" s="18">
        <f t="shared" si="193"/>
        <v>55956987160.683556</v>
      </c>
    </row>
    <row r="822" spans="1:16" x14ac:dyDescent="0.4">
      <c r="A822" s="14">
        <v>0.80900000000000005</v>
      </c>
      <c r="B822" s="44">
        <f t="shared" si="195"/>
        <v>5.0830969135082853</v>
      </c>
      <c r="C822" s="40">
        <f t="shared" si="181"/>
        <v>6.726911287785177E-12</v>
      </c>
      <c r="D822" s="15">
        <f t="shared" si="182"/>
        <v>148656635596.75812</v>
      </c>
      <c r="E822" s="15">
        <f t="shared" si="183"/>
        <v>53854637173.879539</v>
      </c>
      <c r="F822" s="29">
        <f t="shared" si="184"/>
        <v>-138558555714.96524</v>
      </c>
      <c r="G822" s="17">
        <f t="shared" si="185"/>
        <v>21.105018384886399</v>
      </c>
      <c r="H822" s="16">
        <f t="shared" si="186"/>
        <v>1.5685985587525595E-11</v>
      </c>
      <c r="I822" s="16">
        <f t="shared" si="187"/>
        <v>63751174219.824478</v>
      </c>
      <c r="J822" s="16">
        <f t="shared" si="188"/>
        <v>-40317162254.124054</v>
      </c>
      <c r="K822" s="18">
        <f t="shared" si="189"/>
        <v>49383586769.098175</v>
      </c>
      <c r="L822" s="17">
        <f t="shared" si="190"/>
        <v>19.419267903897939</v>
      </c>
      <c r="M822" s="16">
        <f t="shared" si="191"/>
        <v>2.1153013090574332E-11</v>
      </c>
      <c r="N822" s="16">
        <f t="shared" si="192"/>
        <v>70911883502.232208</v>
      </c>
      <c r="O822" s="16">
        <f t="shared" si="194"/>
        <v>-44845698105.055389</v>
      </c>
      <c r="P822" s="18">
        <f t="shared" si="193"/>
        <v>54930488649.787056</v>
      </c>
    </row>
    <row r="823" spans="1:16" x14ac:dyDescent="0.4">
      <c r="A823" s="14">
        <v>0.81</v>
      </c>
      <c r="B823" s="44">
        <f t="shared" si="195"/>
        <v>5.0893800988154654</v>
      </c>
      <c r="C823" s="40">
        <f t="shared" si="181"/>
        <v>6.7275648669909397E-12</v>
      </c>
      <c r="D823" s="15">
        <f t="shared" si="182"/>
        <v>148642193686.83298</v>
      </c>
      <c r="E823" s="15">
        <f t="shared" si="183"/>
        <v>54718841061.034698</v>
      </c>
      <c r="F823" s="29">
        <f t="shared" si="184"/>
        <v>-138204016500.86438</v>
      </c>
      <c r="G823" s="17">
        <f t="shared" si="185"/>
        <v>21.131106170281814</v>
      </c>
      <c r="H823" s="16">
        <f t="shared" si="186"/>
        <v>1.5611863516059697E-11</v>
      </c>
      <c r="I823" s="16">
        <f t="shared" si="187"/>
        <v>64053852313.742981</v>
      </c>
      <c r="J823" s="16">
        <f t="shared" si="188"/>
        <v>-41789074744.895973</v>
      </c>
      <c r="K823" s="18">
        <f t="shared" si="189"/>
        <v>48544507703.717567</v>
      </c>
      <c r="L823" s="17">
        <f t="shared" si="190"/>
        <v>19.44327194333416</v>
      </c>
      <c r="M823" s="16">
        <f t="shared" si="191"/>
        <v>2.1104111547156392E-11</v>
      </c>
      <c r="N823" s="16">
        <f t="shared" si="192"/>
        <v>71076197481.628311</v>
      </c>
      <c r="O823" s="16">
        <f t="shared" si="194"/>
        <v>-46370490171.213074</v>
      </c>
      <c r="P823" s="18">
        <f t="shared" si="193"/>
        <v>53866534042.286949</v>
      </c>
    </row>
    <row r="824" spans="1:16" x14ac:dyDescent="0.4">
      <c r="A824" s="14">
        <v>0.81100000000000005</v>
      </c>
      <c r="B824" s="44">
        <f t="shared" si="195"/>
        <v>5.0956632841226446</v>
      </c>
      <c r="C824" s="40">
        <f t="shared" si="181"/>
        <v>6.7282168223093902E-12</v>
      </c>
      <c r="D824" s="15">
        <f t="shared" si="182"/>
        <v>148627790454.70184</v>
      </c>
      <c r="E824" s="15">
        <f t="shared" si="183"/>
        <v>55580730469.004532</v>
      </c>
      <c r="F824" s="29">
        <f t="shared" si="184"/>
        <v>-137844123908.05286</v>
      </c>
      <c r="G824" s="17">
        <f t="shared" si="185"/>
        <v>21.157193955677222</v>
      </c>
      <c r="H824" s="16">
        <f t="shared" si="186"/>
        <v>1.5539387643778564E-11</v>
      </c>
      <c r="I824" s="16">
        <f t="shared" si="187"/>
        <v>64352600174.715736</v>
      </c>
      <c r="J824" s="16">
        <f t="shared" si="188"/>
        <v>-43241874656.724442</v>
      </c>
      <c r="K824" s="18">
        <f t="shared" si="189"/>
        <v>47659179865.152496</v>
      </c>
      <c r="L824" s="17">
        <f t="shared" si="190"/>
        <v>19.467275982770374</v>
      </c>
      <c r="M824" s="16">
        <f t="shared" si="191"/>
        <v>2.1053439291434722E-11</v>
      </c>
      <c r="N824" s="16">
        <f t="shared" si="192"/>
        <v>71247266502.924896</v>
      </c>
      <c r="O824" s="16">
        <f t="shared" si="194"/>
        <v>-47874761227.817459</v>
      </c>
      <c r="P824" s="18">
        <f t="shared" si="193"/>
        <v>52765331625.2089</v>
      </c>
    </row>
    <row r="825" spans="1:16" x14ac:dyDescent="0.4">
      <c r="A825" s="14">
        <v>0.81200000000000006</v>
      </c>
      <c r="B825" s="44">
        <f t="shared" si="195"/>
        <v>5.1019464694298247</v>
      </c>
      <c r="C825" s="40">
        <f t="shared" si="181"/>
        <v>6.7288671280024509E-12</v>
      </c>
      <c r="D825" s="15">
        <f t="shared" si="182"/>
        <v>148613426447.14441</v>
      </c>
      <c r="E825" s="15">
        <f t="shared" si="183"/>
        <v>56440272678.492279</v>
      </c>
      <c r="F825" s="29">
        <f t="shared" si="184"/>
        <v>-137478893435.82251</v>
      </c>
      <c r="G825" s="17">
        <f t="shared" si="185"/>
        <v>21.183281741072634</v>
      </c>
      <c r="H825" s="16">
        <f t="shared" si="186"/>
        <v>1.5468607292973766E-11</v>
      </c>
      <c r="I825" s="16">
        <f t="shared" si="187"/>
        <v>64647061048.23188</v>
      </c>
      <c r="J825" s="16">
        <f t="shared" si="188"/>
        <v>-44673827105.482491</v>
      </c>
      <c r="K825" s="18">
        <f t="shared" si="189"/>
        <v>46727846878.743271</v>
      </c>
      <c r="L825" s="17">
        <f t="shared" si="190"/>
        <v>19.491280022206592</v>
      </c>
      <c r="M825" s="16">
        <f t="shared" si="191"/>
        <v>2.1001025519052512E-11</v>
      </c>
      <c r="N825" s="16">
        <f t="shared" si="192"/>
        <v>71425083438.862198</v>
      </c>
      <c r="O825" s="16">
        <f t="shared" si="194"/>
        <v>-49357724493.643646</v>
      </c>
      <c r="P825" s="18">
        <f t="shared" si="193"/>
        <v>51627101187.825729</v>
      </c>
    </row>
    <row r="826" spans="1:16" x14ac:dyDescent="0.4">
      <c r="A826" s="14">
        <v>0.81299999999999994</v>
      </c>
      <c r="B826" s="44">
        <f t="shared" si="195"/>
        <v>5.108229654737003</v>
      </c>
      <c r="C826" s="40">
        <f t="shared" si="181"/>
        <v>6.7295157583971657E-12</v>
      </c>
      <c r="D826" s="15">
        <f t="shared" si="182"/>
        <v>148599102209.1283</v>
      </c>
      <c r="E826" s="15">
        <f t="shared" si="183"/>
        <v>57297435078.632469</v>
      </c>
      <c r="F826" s="29">
        <f t="shared" si="184"/>
        <v>-137108340777.53568</v>
      </c>
      <c r="G826" s="17">
        <f t="shared" si="185"/>
        <v>21.209369526468038</v>
      </c>
      <c r="H826" s="16">
        <f t="shared" si="186"/>
        <v>1.5399570632077015E-11</v>
      </c>
      <c r="I826" s="16">
        <f t="shared" si="187"/>
        <v>64936875442.294403</v>
      </c>
      <c r="J826" s="16">
        <f t="shared" si="188"/>
        <v>-46083183894.748482</v>
      </c>
      <c r="K826" s="18">
        <f t="shared" si="189"/>
        <v>45750824630.063789</v>
      </c>
      <c r="L826" s="17">
        <f t="shared" si="190"/>
        <v>19.515284061642802</v>
      </c>
      <c r="M826" s="16">
        <f t="shared" si="191"/>
        <v>2.0946900429056109E-11</v>
      </c>
      <c r="N826" s="16">
        <f t="shared" si="192"/>
        <v>71609640055.3517</v>
      </c>
      <c r="O826" s="16">
        <f t="shared" si="194"/>
        <v>-50818586339.899216</v>
      </c>
      <c r="P826" s="18">
        <f t="shared" si="193"/>
        <v>50452074598.288216</v>
      </c>
    </row>
    <row r="827" spans="1:16" x14ac:dyDescent="0.4">
      <c r="A827" s="14">
        <v>0.81399999999999995</v>
      </c>
      <c r="B827" s="44">
        <f t="shared" si="195"/>
        <v>5.1145128400441831</v>
      </c>
      <c r="C827" s="40">
        <f t="shared" si="181"/>
        <v>6.7301626878867178E-12</v>
      </c>
      <c r="D827" s="15">
        <f t="shared" si="182"/>
        <v>148584818283.79123</v>
      </c>
      <c r="E827" s="15">
        <f t="shared" si="183"/>
        <v>58152185168.066719</v>
      </c>
      <c r="F827" s="29">
        <f t="shared" si="184"/>
        <v>-136732481819.81537</v>
      </c>
      <c r="G827" s="17">
        <f t="shared" si="185"/>
        <v>21.235457311863449</v>
      </c>
      <c r="H827" s="16">
        <f t="shared" si="186"/>
        <v>1.5332324642879765E-11</v>
      </c>
      <c r="I827" s="16">
        <f t="shared" si="187"/>
        <v>65221681857.903633</v>
      </c>
      <c r="J827" s="16">
        <f t="shared" si="188"/>
        <v>-47468187068.120125</v>
      </c>
      <c r="K827" s="18">
        <f t="shared" si="189"/>
        <v>44728503226.014046</v>
      </c>
      <c r="L827" s="17">
        <f t="shared" si="190"/>
        <v>19.539288101079016</v>
      </c>
      <c r="M827" s="16">
        <f t="shared" si="191"/>
        <v>2.0891095206495249E-11</v>
      </c>
      <c r="N827" s="16">
        <f t="shared" si="192"/>
        <v>71800926910.410858</v>
      </c>
      <c r="O827" s="16">
        <f t="shared" si="194"/>
        <v>-52256546184.645592</v>
      </c>
      <c r="P827" s="18">
        <f t="shared" si="193"/>
        <v>49240496403.328064</v>
      </c>
    </row>
    <row r="828" spans="1:16" x14ac:dyDescent="0.4">
      <c r="A828" s="14">
        <v>0.81499999999999995</v>
      </c>
      <c r="B828" s="44">
        <f t="shared" si="195"/>
        <v>5.1207960253513622</v>
      </c>
      <c r="C828" s="40">
        <f t="shared" si="181"/>
        <v>6.7308078909314381E-12</v>
      </c>
      <c r="D828" s="15">
        <f t="shared" si="182"/>
        <v>148570575212.4231</v>
      </c>
      <c r="E828" s="15">
        <f t="shared" si="183"/>
        <v>59004490556.009758</v>
      </c>
      <c r="F828" s="29">
        <f t="shared" si="184"/>
        <v>-136351332641.73117</v>
      </c>
      <c r="G828" s="17">
        <f t="shared" si="185"/>
        <v>21.261545097258857</v>
      </c>
      <c r="H828" s="16">
        <f t="shared" si="186"/>
        <v>1.526691508856066E-11</v>
      </c>
      <c r="I828" s="16">
        <f t="shared" si="187"/>
        <v>65501117560.37011</v>
      </c>
      <c r="J828" s="16">
        <f t="shared" si="188"/>
        <v>-48827072660.080963</v>
      </c>
      <c r="K828" s="18">
        <f t="shared" si="189"/>
        <v>43661348777.890495</v>
      </c>
      <c r="L828" s="17">
        <f t="shared" si="190"/>
        <v>19.56329214051523</v>
      </c>
      <c r="M828" s="16">
        <f t="shared" si="191"/>
        <v>2.0833642004455382E-11</v>
      </c>
      <c r="N828" s="16">
        <f t="shared" si="192"/>
        <v>71998933248.407425</v>
      </c>
      <c r="O828" s="16">
        <f t="shared" si="194"/>
        <v>-53670796409.361969</v>
      </c>
      <c r="P828" s="18">
        <f t="shared" si="193"/>
        <v>47992624450.986702</v>
      </c>
    </row>
    <row r="829" spans="1:16" x14ac:dyDescent="0.4">
      <c r="A829" s="14">
        <v>0.81599999999999995</v>
      </c>
      <c r="B829" s="44">
        <f t="shared" si="195"/>
        <v>5.1270792106585423</v>
      </c>
      <c r="C829" s="40">
        <f t="shared" si="181"/>
        <v>6.7314513420598149E-12</v>
      </c>
      <c r="D829" s="15">
        <f t="shared" si="182"/>
        <v>148556373534.44812</v>
      </c>
      <c r="E829" s="15">
        <f t="shared" si="183"/>
        <v>59854318963.311951</v>
      </c>
      <c r="F829" s="29">
        <f t="shared" si="184"/>
        <v>-135964909513.97935</v>
      </c>
      <c r="G829" s="17">
        <f t="shared" si="185"/>
        <v>21.287632882654268</v>
      </c>
      <c r="H829" s="16">
        <f t="shared" si="186"/>
        <v>1.520338648254202E-11</v>
      </c>
      <c r="I829" s="16">
        <f t="shared" si="187"/>
        <v>65774819389.633713</v>
      </c>
      <c r="J829" s="16">
        <f t="shared" si="188"/>
        <v>-50158074636.552742</v>
      </c>
      <c r="K829" s="18">
        <f t="shared" si="189"/>
        <v>42549904988.060066</v>
      </c>
      <c r="L829" s="17">
        <f t="shared" si="190"/>
        <v>19.587296179951448</v>
      </c>
      <c r="M829" s="16">
        <f t="shared" si="191"/>
        <v>2.0774573925532067E-11</v>
      </c>
      <c r="N829" s="16">
        <f t="shared" si="192"/>
        <v>72203646889.551453</v>
      </c>
      <c r="O829" s="16">
        <f t="shared" si="194"/>
        <v>-55060522299.027313</v>
      </c>
      <c r="P829" s="18">
        <f t="shared" si="193"/>
        <v>46708730536.26429</v>
      </c>
    </row>
    <row r="830" spans="1:16" x14ac:dyDescent="0.4">
      <c r="A830" s="14">
        <v>0.81699999999999995</v>
      </c>
      <c r="B830" s="44">
        <f t="shared" si="195"/>
        <v>5.1333623959657215</v>
      </c>
      <c r="C830" s="40">
        <f t="shared" si="181"/>
        <v>6.7320930158695008E-12</v>
      </c>
      <c r="D830" s="15">
        <f t="shared" si="182"/>
        <v>148542213787.40744</v>
      </c>
      <c r="E830" s="15">
        <f t="shared" si="183"/>
        <v>60701638223.512917</v>
      </c>
      <c r="F830" s="29">
        <f t="shared" si="184"/>
        <v>-135573228898.05942</v>
      </c>
      <c r="G830" s="17">
        <f t="shared" si="185"/>
        <v>21.313720668049676</v>
      </c>
      <c r="H830" s="16">
        <f t="shared" si="186"/>
        <v>1.5141782058197016E-11</v>
      </c>
      <c r="I830" s="16">
        <f t="shared" si="187"/>
        <v>66042424607.389534</v>
      </c>
      <c r="J830" s="16">
        <f t="shared" si="188"/>
        <v>-51459429014.437126</v>
      </c>
      <c r="K830" s="18">
        <f t="shared" si="189"/>
        <v>41394794522.147797</v>
      </c>
      <c r="L830" s="17">
        <f t="shared" si="190"/>
        <v>19.611300219387662</v>
      </c>
      <c r="M830" s="16">
        <f t="shared" si="191"/>
        <v>2.0713925002758453E-11</v>
      </c>
      <c r="N830" s="16">
        <f t="shared" si="192"/>
        <v>72415054114.574936</v>
      </c>
      <c r="O830" s="16">
        <f t="shared" si="194"/>
        <v>-56424902007.135551</v>
      </c>
      <c r="P830" s="18">
        <f t="shared" si="193"/>
        <v>45389101069.551559</v>
      </c>
    </row>
    <row r="831" spans="1:16" x14ac:dyDescent="0.4">
      <c r="A831" s="14">
        <v>0.81799999999999995</v>
      </c>
      <c r="B831" s="44">
        <f t="shared" si="195"/>
        <v>5.1396455812729016</v>
      </c>
      <c r="C831" s="40">
        <f t="shared" si="181"/>
        <v>6.7327328870283101E-12</v>
      </c>
      <c r="D831" s="15">
        <f t="shared" si="182"/>
        <v>148528096506.94153</v>
      </c>
      <c r="E831" s="15">
        <f t="shared" si="183"/>
        <v>61546416283.890457</v>
      </c>
      <c r="F831" s="29">
        <f t="shared" si="184"/>
        <v>-135176307445.44475</v>
      </c>
      <c r="G831" s="17">
        <f t="shared" si="185"/>
        <v>21.339808453445087</v>
      </c>
      <c r="H831" s="16">
        <f t="shared" si="186"/>
        <v>1.5082143739427833E-11</v>
      </c>
      <c r="I831" s="16">
        <f t="shared" si="187"/>
        <v>66303571778.446442</v>
      </c>
      <c r="J831" s="16">
        <f t="shared" si="188"/>
        <v>-52729378147.630455</v>
      </c>
      <c r="K831" s="18">
        <f t="shared" si="189"/>
        <v>40196720149.08419</v>
      </c>
      <c r="L831" s="17">
        <f t="shared" si="190"/>
        <v>19.635304258823876</v>
      </c>
      <c r="M831" s="16">
        <f t="shared" si="191"/>
        <v>2.0651730179996512E-11</v>
      </c>
      <c r="N831" s="16">
        <f t="shared" si="192"/>
        <v>72633139544.546066</v>
      </c>
      <c r="O831" s="16">
        <f t="shared" si="194"/>
        <v>-57763106547.134483</v>
      </c>
      <c r="P831" s="18">
        <f t="shared" si="193"/>
        <v>44034037767.639374</v>
      </c>
    </row>
    <row r="832" spans="1:16" x14ac:dyDescent="0.4">
      <c r="A832" s="14">
        <v>0.81899999999999995</v>
      </c>
      <c r="B832" s="44">
        <f t="shared" si="195"/>
        <v>5.1459287665800808</v>
      </c>
      <c r="C832" s="40">
        <f t="shared" si="181"/>
        <v>6.733370930275227E-12</v>
      </c>
      <c r="D832" s="15">
        <f t="shared" si="182"/>
        <v>148514022226.77267</v>
      </c>
      <c r="E832" s="15">
        <f t="shared" si="183"/>
        <v>62388621206.500916</v>
      </c>
      <c r="F832" s="29">
        <f t="shared" si="184"/>
        <v>-134774161996.74948</v>
      </c>
      <c r="G832" s="17">
        <f t="shared" si="185"/>
        <v>21.365896238840495</v>
      </c>
      <c r="H832" s="16">
        <f t="shared" si="186"/>
        <v>1.5024512112135102E-11</v>
      </c>
      <c r="I832" s="16">
        <f t="shared" si="187"/>
        <v>66557901683.364021</v>
      </c>
      <c r="J832" s="16">
        <f t="shared" si="188"/>
        <v>-53966175165.143761</v>
      </c>
      <c r="K832" s="18">
        <f t="shared" si="189"/>
        <v>38956465632.002243</v>
      </c>
      <c r="L832" s="17">
        <f t="shared" si="190"/>
        <v>19.65930829826009</v>
      </c>
      <c r="M832" s="16">
        <f t="shared" si="191"/>
        <v>2.058802529180362E-11</v>
      </c>
      <c r="N832" s="16">
        <f t="shared" si="192"/>
        <v>72857886015.769119</v>
      </c>
      <c r="O832" s="16">
        <f t="shared" si="194"/>
        <v>-59074299811.825844</v>
      </c>
      <c r="P832" s="18">
        <f t="shared" si="193"/>
        <v>42643858367.053497</v>
      </c>
    </row>
    <row r="833" spans="1:16" x14ac:dyDescent="0.4">
      <c r="A833" s="14">
        <v>0.82</v>
      </c>
      <c r="B833" s="44">
        <f t="shared" si="195"/>
        <v>5.15221195188726</v>
      </c>
      <c r="C833" s="40">
        <f t="shared" si="181"/>
        <v>6.7340071204213948E-12</v>
      </c>
      <c r="D833" s="15">
        <f t="shared" si="182"/>
        <v>148499991478.68777</v>
      </c>
      <c r="E833" s="15">
        <f t="shared" si="183"/>
        <v>63228221169.214882</v>
      </c>
      <c r="F833" s="29">
        <f t="shared" si="184"/>
        <v>-134366809580.89014</v>
      </c>
      <c r="G833" s="17">
        <f t="shared" si="185"/>
        <v>21.391984024235903</v>
      </c>
      <c r="H833" s="16">
        <f t="shared" si="186"/>
        <v>1.496892639659775E-11</v>
      </c>
      <c r="I833" s="16">
        <f t="shared" si="187"/>
        <v>66805058259.040375</v>
      </c>
      <c r="J833" s="16">
        <f t="shared" si="188"/>
        <v>-55168088545.146744</v>
      </c>
      <c r="K833" s="18">
        <f t="shared" si="189"/>
        <v>37674896353.78746</v>
      </c>
      <c r="L833" s="17">
        <f t="shared" si="190"/>
        <v>19.683312337696304</v>
      </c>
      <c r="M833" s="16">
        <f t="shared" si="191"/>
        <v>2.0522847042785884E-11</v>
      </c>
      <c r="N833" s="16">
        <f t="shared" si="192"/>
        <v>73089274449.729645</v>
      </c>
      <c r="O833" s="16">
        <f t="shared" si="194"/>
        <v>-60357638622.33532</v>
      </c>
      <c r="P833" s="18">
        <f t="shared" si="193"/>
        <v>41218897359.384544</v>
      </c>
    </row>
    <row r="834" spans="1:16" x14ac:dyDescent="0.4">
      <c r="A834" s="14">
        <v>0.82099999999999995</v>
      </c>
      <c r="B834" s="44">
        <f t="shared" si="195"/>
        <v>5.1584951371944401</v>
      </c>
      <c r="C834" s="40">
        <f t="shared" si="181"/>
        <v>6.734641432351119E-12</v>
      </c>
      <c r="D834" s="15">
        <f t="shared" si="182"/>
        <v>148486004792.52118</v>
      </c>
      <c r="E834" s="15">
        <f t="shared" si="183"/>
        <v>64065184466.745049</v>
      </c>
      <c r="F834" s="29">
        <f t="shared" si="184"/>
        <v>-133954267414.2431</v>
      </c>
      <c r="G834" s="17">
        <f t="shared" si="185"/>
        <v>21.418071809631314</v>
      </c>
      <c r="H834" s="16">
        <f t="shared" si="186"/>
        <v>1.4915424420782296E-11</v>
      </c>
      <c r="I834" s="16">
        <f t="shared" si="187"/>
        <v>67044689563.553917</v>
      </c>
      <c r="J834" s="16">
        <f t="shared" si="188"/>
        <v>-56333406806.95797</v>
      </c>
      <c r="K834" s="18">
        <f t="shared" si="189"/>
        <v>36352959662.111366</v>
      </c>
      <c r="L834" s="17">
        <f t="shared" si="190"/>
        <v>19.707316377132521</v>
      </c>
      <c r="M834" s="16">
        <f t="shared" si="191"/>
        <v>2.0456232986450161E-11</v>
      </c>
      <c r="N834" s="16">
        <f t="shared" si="192"/>
        <v>73327283718.051743</v>
      </c>
      <c r="O834" s="16">
        <f t="shared" si="194"/>
        <v>-61612272808.31144</v>
      </c>
      <c r="P834" s="18">
        <f t="shared" si="193"/>
        <v>39759506748.221397</v>
      </c>
    </row>
    <row r="835" spans="1:16" x14ac:dyDescent="0.4">
      <c r="A835" s="14">
        <v>0.82199999999999995</v>
      </c>
      <c r="B835" s="44">
        <f t="shared" si="195"/>
        <v>5.1647783225016193</v>
      </c>
      <c r="C835" s="40">
        <f t="shared" si="181"/>
        <v>6.7352738410228484E-12</v>
      </c>
      <c r="D835" s="15">
        <f t="shared" si="182"/>
        <v>148472062696.13763</v>
      </c>
      <c r="E835" s="15">
        <f t="shared" si="183"/>
        <v>64899479511.667465</v>
      </c>
      <c r="F835" s="29">
        <f t="shared" si="184"/>
        <v>-133536552899.79774</v>
      </c>
      <c r="G835" s="17">
        <f t="shared" si="185"/>
        <v>21.444159595026726</v>
      </c>
      <c r="H835" s="16">
        <f t="shared" si="186"/>
        <v>1.4864042594599659E-11</v>
      </c>
      <c r="I835" s="16">
        <f t="shared" si="187"/>
        <v>67276448761.208191</v>
      </c>
      <c r="J835" s="16">
        <f t="shared" si="188"/>
        <v>-57460443301.282112</v>
      </c>
      <c r="K835" s="18">
        <f t="shared" si="189"/>
        <v>34991684919.986557</v>
      </c>
      <c r="L835" s="17">
        <f t="shared" si="190"/>
        <v>19.731320416568735</v>
      </c>
      <c r="M835" s="16">
        <f t="shared" si="191"/>
        <v>2.0388221503567062E-11</v>
      </c>
      <c r="N835" s="16">
        <f t="shared" si="192"/>
        <v>73571890502.443512</v>
      </c>
      <c r="O835" s="16">
        <f t="shared" si="194"/>
        <v>-62837345321.077141</v>
      </c>
      <c r="P835" s="18">
        <f t="shared" si="193"/>
        <v>38266056827.209709</v>
      </c>
    </row>
    <row r="836" spans="1:16" x14ac:dyDescent="0.4">
      <c r="A836" s="14">
        <v>0.82299999999999995</v>
      </c>
      <c r="B836" s="44">
        <f t="shared" si="195"/>
        <v>5.1710615078087994</v>
      </c>
      <c r="C836" s="40">
        <f t="shared" si="181"/>
        <v>6.7359043214701716E-12</v>
      </c>
      <c r="D836" s="15">
        <f t="shared" si="182"/>
        <v>148458165715.41519</v>
      </c>
      <c r="E836" s="15">
        <f t="shared" si="183"/>
        <v>65731074835.437294</v>
      </c>
      <c r="F836" s="29">
        <f t="shared" si="184"/>
        <v>-133113683626.30426</v>
      </c>
      <c r="G836" s="17">
        <f t="shared" si="185"/>
        <v>21.470247380422137</v>
      </c>
      <c r="H836" s="16">
        <f t="shared" si="186"/>
        <v>1.4814815885126934E-11</v>
      </c>
      <c r="I836" s="16">
        <f t="shared" si="187"/>
        <v>67499995123.390762</v>
      </c>
      <c r="J836" s="16">
        <f t="shared" si="188"/>
        <v>-58547541077.349579</v>
      </c>
      <c r="K836" s="18">
        <f t="shared" si="189"/>
        <v>33592183249.28941</v>
      </c>
      <c r="L836" s="17">
        <f t="shared" si="190"/>
        <v>19.755324456004953</v>
      </c>
      <c r="M836" s="16">
        <f t="shared" si="191"/>
        <v>2.0318851780057138E-11</v>
      </c>
      <c r="N836" s="16">
        <f t="shared" si="192"/>
        <v>73823069149.618149</v>
      </c>
      <c r="O836" s="16">
        <f t="shared" si="194"/>
        <v>-64031992381.515442</v>
      </c>
      <c r="P836" s="18">
        <f t="shared" si="193"/>
        <v>36738936978.672241</v>
      </c>
    </row>
    <row r="837" spans="1:16" x14ac:dyDescent="0.4">
      <c r="A837" s="14">
        <v>0.82399999999999995</v>
      </c>
      <c r="B837" s="44">
        <f t="shared" si="195"/>
        <v>5.1773446931159786</v>
      </c>
      <c r="C837" s="40">
        <f t="shared" si="181"/>
        <v>6.7365328488028009E-12</v>
      </c>
      <c r="D837" s="15">
        <f t="shared" si="182"/>
        <v>148444314374.22849</v>
      </c>
      <c r="E837" s="15">
        <f t="shared" si="183"/>
        <v>66559939089.396278</v>
      </c>
      <c r="F837" s="29">
        <f t="shared" si="184"/>
        <v>-132685677367.41835</v>
      </c>
      <c r="G837" s="17">
        <f t="shared" si="185"/>
        <v>21.496335165817545</v>
      </c>
      <c r="H837" s="16">
        <f t="shared" si="186"/>
        <v>1.4767777792811149E-11</v>
      </c>
      <c r="I837" s="16">
        <f t="shared" si="187"/>
        <v>67714995040.539749</v>
      </c>
      <c r="J837" s="16">
        <f t="shared" si="188"/>
        <v>-59593077804.073311</v>
      </c>
      <c r="K837" s="18">
        <f t="shared" si="189"/>
        <v>32155646956.296612</v>
      </c>
      <c r="L837" s="17">
        <f t="shared" si="190"/>
        <v>19.779328495441167</v>
      </c>
      <c r="M837" s="16">
        <f t="shared" si="191"/>
        <v>2.0248163784413398E-11</v>
      </c>
      <c r="N837" s="16">
        <f t="shared" si="192"/>
        <v>74080791521.188095</v>
      </c>
      <c r="O837" s="16">
        <f t="shared" si="194"/>
        <v>-65195343664.523552</v>
      </c>
      <c r="P837" s="18">
        <f t="shared" si="193"/>
        <v>35178556492.135986</v>
      </c>
    </row>
    <row r="838" spans="1:16" x14ac:dyDescent="0.4">
      <c r="A838" s="14">
        <v>0.82499999999999996</v>
      </c>
      <c r="B838" s="44">
        <f t="shared" si="195"/>
        <v>5.1836278784231586</v>
      </c>
      <c r="C838" s="40">
        <f t="shared" si="181"/>
        <v>6.7371593982075513E-12</v>
      </c>
      <c r="D838" s="15">
        <f t="shared" si="182"/>
        <v>148430509194.43201</v>
      </c>
      <c r="E838" s="15">
        <f t="shared" si="183"/>
        <v>67386041045.775558</v>
      </c>
      <c r="F838" s="29">
        <f t="shared" si="184"/>
        <v>-132252552080.84044</v>
      </c>
      <c r="G838" s="17">
        <f t="shared" si="185"/>
        <v>21.522422951212956</v>
      </c>
      <c r="H838" s="16">
        <f t="shared" si="186"/>
        <v>1.4722960328671028E-11</v>
      </c>
      <c r="I838" s="16">
        <f t="shared" si="187"/>
        <v>67921123040.223885</v>
      </c>
      <c r="J838" s="16">
        <f t="shared" si="188"/>
        <v>-60595470720.934364</v>
      </c>
      <c r="K838" s="18">
        <f t="shared" si="189"/>
        <v>30683348630.056961</v>
      </c>
      <c r="L838" s="17">
        <f t="shared" si="190"/>
        <v>19.803332534877384</v>
      </c>
      <c r="M838" s="16">
        <f t="shared" si="191"/>
        <v>2.0176198244672711E-11</v>
      </c>
      <c r="N838" s="16">
        <f t="shared" si="192"/>
        <v>74345026838.545135</v>
      </c>
      <c r="O838" s="16">
        <f t="shared" si="194"/>
        <v>-66326522521.929306</v>
      </c>
      <c r="P838" s="18">
        <f t="shared" si="193"/>
        <v>33585345402.005337</v>
      </c>
    </row>
    <row r="839" spans="1:16" x14ac:dyDescent="0.4">
      <c r="A839" s="14">
        <v>0.82599999999999996</v>
      </c>
      <c r="B839" s="44">
        <f t="shared" si="195"/>
        <v>5.1899110637303378</v>
      </c>
      <c r="C839" s="40">
        <f t="shared" si="181"/>
        <v>6.7377839449493291E-12</v>
      </c>
      <c r="D839" s="15">
        <f t="shared" si="182"/>
        <v>148416750695.84326</v>
      </c>
      <c r="E839" s="15">
        <f t="shared" si="183"/>
        <v>68209349598.689674</v>
      </c>
      <c r="F839" s="29">
        <f t="shared" si="184"/>
        <v>-131814325907.45145</v>
      </c>
      <c r="G839" s="17">
        <f t="shared" si="185"/>
        <v>21.548510736608364</v>
      </c>
      <c r="H839" s="16">
        <f t="shared" si="186"/>
        <v>1.4680393992512461E-11</v>
      </c>
      <c r="I839" s="16">
        <f t="shared" si="187"/>
        <v>68118062806.082497</v>
      </c>
      <c r="J839" s="16">
        <f t="shared" si="188"/>
        <v>-61553181593.050011</v>
      </c>
      <c r="K839" s="18">
        <f t="shared" si="189"/>
        <v>29176639906.377312</v>
      </c>
      <c r="L839" s="17">
        <f t="shared" si="190"/>
        <v>19.827336574313595</v>
      </c>
      <c r="M839" s="16">
        <f t="shared" si="191"/>
        <v>2.0102996624949782E-11</v>
      </c>
      <c r="N839" s="16">
        <f t="shared" si="192"/>
        <v>74615741522.751572</v>
      </c>
      <c r="O839" s="16">
        <f t="shared" si="194"/>
        <v>-67424646245.810432</v>
      </c>
      <c r="P839" s="18">
        <f t="shared" si="193"/>
        <v>31959755343.515919</v>
      </c>
    </row>
    <row r="840" spans="1:16" x14ac:dyDescent="0.4">
      <c r="A840" s="14">
        <v>0.82699999999999996</v>
      </c>
      <c r="B840" s="44">
        <f t="shared" si="195"/>
        <v>5.1961942490375179</v>
      </c>
      <c r="C840" s="40">
        <f t="shared" si="181"/>
        <v>6.7384064643720944E-12</v>
      </c>
      <c r="D840" s="15">
        <f t="shared" si="182"/>
        <v>148403039396.22662</v>
      </c>
      <c r="E840" s="15">
        <f t="shared" si="183"/>
        <v>69029833765.126328</v>
      </c>
      <c r="F840" s="29">
        <f t="shared" si="184"/>
        <v>-131371017170.44371</v>
      </c>
      <c r="G840" s="17">
        <f t="shared" si="185"/>
        <v>21.574598522003775</v>
      </c>
      <c r="H840" s="16">
        <f t="shared" si="186"/>
        <v>1.4640107752172292E-11</v>
      </c>
      <c r="I840" s="16">
        <f t="shared" si="187"/>
        <v>68305508192.152512</v>
      </c>
      <c r="J840" s="16">
        <f t="shared" si="188"/>
        <v>-62464721643.808662</v>
      </c>
      <c r="K840" s="18">
        <f t="shared" si="189"/>
        <v>27636949892.303875</v>
      </c>
      <c r="L840" s="17">
        <f t="shared" si="190"/>
        <v>19.851340613749812</v>
      </c>
      <c r="M840" s="16">
        <f t="shared" si="191"/>
        <v>2.002860110154679E-11</v>
      </c>
      <c r="N840" s="16">
        <f t="shared" si="192"/>
        <v>74892899029.486206</v>
      </c>
      <c r="O840" s="16">
        <f t="shared" si="194"/>
        <v>-68488826374.213097</v>
      </c>
      <c r="P840" s="18">
        <f t="shared" si="193"/>
        <v>30302260425.976604</v>
      </c>
    </row>
    <row r="841" spans="1:16" x14ac:dyDescent="0.4">
      <c r="A841" s="14">
        <v>0.82799999999999996</v>
      </c>
      <c r="B841" s="44">
        <f t="shared" si="195"/>
        <v>5.2024774343446971</v>
      </c>
      <c r="C841" s="40">
        <f t="shared" si="181"/>
        <v>6.73902693189985E-12</v>
      </c>
      <c r="D841" s="15">
        <f t="shared" si="182"/>
        <v>148389375811.27643</v>
      </c>
      <c r="E841" s="15">
        <f t="shared" si="183"/>
        <v>69847462685.927032</v>
      </c>
      <c r="F841" s="29">
        <f t="shared" si="184"/>
        <v>-130922644374.4483</v>
      </c>
      <c r="G841" s="17">
        <f t="shared" si="185"/>
        <v>21.600686307399183</v>
      </c>
      <c r="H841" s="16">
        <f t="shared" si="186"/>
        <v>1.4602129023804789E-11</v>
      </c>
      <c r="I841" s="16">
        <f t="shared" si="187"/>
        <v>68483164226.926956</v>
      </c>
      <c r="J841" s="16">
        <f t="shared" si="188"/>
        <v>-63328656437.569923</v>
      </c>
      <c r="K841" s="18">
        <f t="shared" si="189"/>
        <v>26065783248.244846</v>
      </c>
      <c r="L841" s="17">
        <f t="shared" si="190"/>
        <v>19.875344653186026</v>
      </c>
      <c r="M841" s="16">
        <f t="shared" si="191"/>
        <v>1.9953054538653002E-11</v>
      </c>
      <c r="N841" s="16">
        <f t="shared" si="192"/>
        <v>75176459679.10347</v>
      </c>
      <c r="O841" s="16">
        <f t="shared" si="194"/>
        <v>-69518169041.302261</v>
      </c>
      <c r="P841" s="18">
        <f t="shared" si="193"/>
        <v>28613358122.191711</v>
      </c>
    </row>
    <row r="842" spans="1:16" x14ac:dyDescent="0.4">
      <c r="A842" s="14">
        <v>0.82899999999999996</v>
      </c>
      <c r="B842" s="44">
        <f t="shared" si="195"/>
        <v>5.2087606196518763</v>
      </c>
      <c r="C842" s="40">
        <f t="shared" si="181"/>
        <v>6.7396453230375968E-12</v>
      </c>
      <c r="D842" s="15">
        <f t="shared" si="182"/>
        <v>148375760454.60123</v>
      </c>
      <c r="E842" s="15">
        <f t="shared" si="183"/>
        <v>70662205626.763611</v>
      </c>
      <c r="F842" s="29">
        <f t="shared" si="184"/>
        <v>-130469226204.65787</v>
      </c>
      <c r="G842" s="17">
        <f t="shared" si="185"/>
        <v>21.626774092794591</v>
      </c>
      <c r="H842" s="16">
        <f t="shared" si="186"/>
        <v>1.4566483653223948E-11</v>
      </c>
      <c r="I842" s="16">
        <f t="shared" si="187"/>
        <v>68650748101.356194</v>
      </c>
      <c r="J842" s="16">
        <f t="shared" si="188"/>
        <v>-64143610684.277824</v>
      </c>
      <c r="K842" s="18">
        <f t="shared" si="189"/>
        <v>24464717927.244957</v>
      </c>
      <c r="L842" s="17">
        <f t="shared" si="190"/>
        <v>19.89934869262224</v>
      </c>
      <c r="M842" s="16">
        <f t="shared" si="191"/>
        <v>1.9876400463647732E-11</v>
      </c>
      <c r="N842" s="16">
        <f t="shared" si="192"/>
        <v>75466380481.887253</v>
      </c>
      <c r="O842" s="16">
        <f t="shared" si="194"/>
        <v>-70511775374.027298</v>
      </c>
      <c r="P842" s="18">
        <f t="shared" si="193"/>
        <v>26893570172.806946</v>
      </c>
    </row>
    <row r="843" spans="1:16" x14ac:dyDescent="0.4">
      <c r="A843" s="14">
        <v>0.83</v>
      </c>
      <c r="B843" s="44">
        <f t="shared" si="195"/>
        <v>5.2150438049590564</v>
      </c>
      <c r="C843" s="40">
        <f t="shared" si="181"/>
        <v>6.7402616133723124E-12</v>
      </c>
      <c r="D843" s="15">
        <f t="shared" si="182"/>
        <v>148362193837.70718</v>
      </c>
      <c r="E843" s="15">
        <f t="shared" si="183"/>
        <v>71474031979.106247</v>
      </c>
      <c r="F843" s="29">
        <f t="shared" si="184"/>
        <v>-130010781525.94537</v>
      </c>
      <c r="G843" s="17">
        <f t="shared" si="185"/>
        <v>21.652861878190002</v>
      </c>
      <c r="H843" s="16">
        <f t="shared" si="186"/>
        <v>1.4533195898314596E-11</v>
      </c>
      <c r="I843" s="16">
        <f t="shared" si="187"/>
        <v>68807990134.913773</v>
      </c>
      <c r="J843" s="16">
        <f t="shared" si="188"/>
        <v>-64908272937.404457</v>
      </c>
      <c r="K843" s="18">
        <f t="shared" si="189"/>
        <v>22835402573.41217</v>
      </c>
      <c r="L843" s="17">
        <f t="shared" si="190"/>
        <v>19.923352732058458</v>
      </c>
      <c r="M843" s="16">
        <f t="shared" si="191"/>
        <v>1.9798683042021387E-11</v>
      </c>
      <c r="N843" s="16">
        <f t="shared" si="192"/>
        <v>75762614958.598495</v>
      </c>
      <c r="O843" s="16">
        <f t="shared" si="194"/>
        <v>-71468741937.41272</v>
      </c>
      <c r="P843" s="18">
        <f t="shared" si="193"/>
        <v>25143443504.189247</v>
      </c>
    </row>
    <row r="844" spans="1:16" x14ac:dyDescent="0.4">
      <c r="A844" s="14">
        <v>0.83099999999999996</v>
      </c>
      <c r="B844" s="44">
        <f t="shared" si="195"/>
        <v>5.2213269902662356</v>
      </c>
      <c r="C844" s="40">
        <f t="shared" si="181"/>
        <v>6.7408757785739112E-12</v>
      </c>
      <c r="D844" s="15">
        <f t="shared" si="182"/>
        <v>148348676469.98212</v>
      </c>
      <c r="E844" s="15">
        <f t="shared" si="183"/>
        <v>72282911261.185333</v>
      </c>
      <c r="F844" s="29">
        <f t="shared" si="184"/>
        <v>-129547329381.97928</v>
      </c>
      <c r="G844" s="17">
        <f t="shared" si="185"/>
        <v>21.67894966358541</v>
      </c>
      <c r="H844" s="16">
        <f t="shared" si="186"/>
        <v>1.4502288412524049E-11</v>
      </c>
      <c r="I844" s="16">
        <f t="shared" si="187"/>
        <v>68954634713.815842</v>
      </c>
      <c r="J844" s="16">
        <f t="shared" si="188"/>
        <v>-65621400156.475876</v>
      </c>
      <c r="K844" s="18">
        <f t="shared" si="189"/>
        <v>21179553584.045258</v>
      </c>
      <c r="L844" s="17">
        <f t="shared" si="190"/>
        <v>19.947356771494668</v>
      </c>
      <c r="M844" s="16">
        <f t="shared" si="191"/>
        <v>1.9719947051928841E-11</v>
      </c>
      <c r="N844" s="16">
        <f t="shared" si="192"/>
        <v>76065112956.440857</v>
      </c>
      <c r="O844" s="16">
        <f t="shared" si="194"/>
        <v>-72388161230.619064</v>
      </c>
      <c r="P844" s="18">
        <f t="shared" si="193"/>
        <v>23363551158.289398</v>
      </c>
    </row>
    <row r="845" spans="1:16" x14ac:dyDescent="0.4">
      <c r="A845" s="14">
        <v>0.83199999999999996</v>
      </c>
      <c r="B845" s="44">
        <f t="shared" si="195"/>
        <v>5.2276101755734157</v>
      </c>
      <c r="C845" s="40">
        <f t="shared" ref="C845:C908" si="196">((semiejeMayorTierra*(1-(excentricidadTierra^2)))^-1)*(1+excentricidadTierra*COS(Φ))</f>
        <v>6.7414877943962013E-12</v>
      </c>
      <c r="D845" s="15">
        <f t="shared" ref="D845:D908" si="197">1/u0Tierra</f>
        <v>148335208858.67963</v>
      </c>
      <c r="E845" s="15">
        <f t="shared" ref="E845:E908" si="198">r0Tierra*COS(Φ)</f>
        <v>73088813118.947769</v>
      </c>
      <c r="F845" s="29">
        <f t="shared" ref="F845:F908" si="199">r0Tierra*SIN(Φ)</f>
        <v>-129078888994.33414</v>
      </c>
      <c r="G845" s="17">
        <f t="shared" ref="G845:G908" si="200">Φ*relaciónOrbitas</f>
        <v>21.705037448980821</v>
      </c>
      <c r="H845" s="16">
        <f t="shared" ref="H845:H908" si="201">((semiejeMayorMercurio*(1-(excentricidadMercurio^2)))^-1)*(1+excentricidadMercurio*COS(ΦMercurio))</f>
        <v>1.4473782229445677E-11</v>
      </c>
      <c r="I845" s="16">
        <f t="shared" ref="I845:I908" si="202">1/u0Mercurio</f>
        <v>69090441195.500732</v>
      </c>
      <c r="J845" s="16">
        <f t="shared" ref="J845:J908" si="203">r0Mercurio*COS(ΦMercurio)</f>
        <v>-66281822105.523834</v>
      </c>
      <c r="K845" s="18">
        <f t="shared" ref="K845:K908" si="204">r0Mercurio*SIN(ΦMercurio)</f>
        <v>19498951842.615456</v>
      </c>
      <c r="L845" s="17">
        <f t="shared" ref="L845:L908" si="205">ΦMercurio*(1-(simulaciónÁngulo*((3/2)*rsSol*((semiejeMayorMercurio*(1-(excentricidadMercurio^2)))^-1))))</f>
        <v>19.971360810930886</v>
      </c>
      <c r="M845" s="16">
        <f t="shared" ref="M845:M908" si="206">((semiejeMayorMercurio*(1-(excentricidadMercurio^2)))^-1)*(1+excentricidadMercurio*COS(ΦLPMercurio))</f>
        <v>1.9640237858389679E-11</v>
      </c>
      <c r="N845" s="16">
        <f t="shared" ref="N845:N908" si="207">1*simulaciónRadio/uMercurio</f>
        <v>76373820460.593262</v>
      </c>
      <c r="O845" s="16">
        <f t="shared" si="194"/>
        <v>-73269122235.941315</v>
      </c>
      <c r="P845" s="18">
        <f t="shared" ref="P845:P908" si="208">rMercurio*SIN(ΦMercurio)</f>
        <v>21554493232.772213</v>
      </c>
    </row>
    <row r="846" spans="1:16" x14ac:dyDescent="0.4">
      <c r="A846" s="14">
        <v>0.83299999999999996</v>
      </c>
      <c r="B846" s="44">
        <f t="shared" si="195"/>
        <v>5.2338933608805949</v>
      </c>
      <c r="C846" s="40">
        <f t="shared" si="196"/>
        <v>6.7420976366778459E-12</v>
      </c>
      <c r="D846" s="15">
        <f t="shared" si="197"/>
        <v>148321791508.90314</v>
      </c>
      <c r="E846" s="15">
        <f t="shared" si="198"/>
        <v>73891707327.004822</v>
      </c>
      <c r="F846" s="29">
        <f t="shared" si="199"/>
        <v>-128605479761.59799</v>
      </c>
      <c r="G846" s="17">
        <f t="shared" si="200"/>
        <v>21.731125234376229</v>
      </c>
      <c r="H846" s="16">
        <f t="shared" si="201"/>
        <v>1.4447696748504843E-11</v>
      </c>
      <c r="I846" s="16">
        <f t="shared" si="202"/>
        <v>69215184773.551361</v>
      </c>
      <c r="J846" s="16">
        <f t="shared" si="203"/>
        <v>-66888445559.171455</v>
      </c>
      <c r="K846" s="18">
        <f t="shared" si="204"/>
        <v>17795439132.39043</v>
      </c>
      <c r="L846" s="17">
        <f t="shared" si="205"/>
        <v>19.9953648503671</v>
      </c>
      <c r="M846" s="16">
        <f t="shared" si="206"/>
        <v>1.9559601387150506E-11</v>
      </c>
      <c r="N846" s="16">
        <f t="shared" si="207"/>
        <v>76688679401.483643</v>
      </c>
      <c r="O846" s="16">
        <f t="shared" ref="O846:O909" si="209">rMercurio*COS(ΦMercurio)</f>
        <v>-74110711022.923096</v>
      </c>
      <c r="P846" s="18">
        <f t="shared" si="208"/>
        <v>19716897829.535103</v>
      </c>
    </row>
    <row r="847" spans="1:16" x14ac:dyDescent="0.4">
      <c r="A847" s="14">
        <v>0.83399999999999996</v>
      </c>
      <c r="B847" s="44">
        <f t="shared" ref="B847:B910" si="210">A847*2*PI()</f>
        <v>5.240176546187775</v>
      </c>
      <c r="C847" s="40">
        <f t="shared" si="196"/>
        <v>6.7427052813433179E-12</v>
      </c>
      <c r="D847" s="15">
        <f t="shared" si="197"/>
        <v>148308424923.59012</v>
      </c>
      <c r="E847" s="15">
        <f t="shared" si="198"/>
        <v>74691563789.575302</v>
      </c>
      <c r="F847" s="29">
        <f t="shared" si="199"/>
        <v>-128127121258.47505</v>
      </c>
      <c r="G847" s="17">
        <f t="shared" si="200"/>
        <v>21.757213019771644</v>
      </c>
      <c r="H847" s="16">
        <f t="shared" si="201"/>
        <v>1.4424049721756901E-11</v>
      </c>
      <c r="I847" s="16">
        <f t="shared" si="202"/>
        <v>69328657297.376297</v>
      </c>
      <c r="J847" s="16">
        <f t="shared" si="203"/>
        <v>-67440258288.712051</v>
      </c>
      <c r="K847" s="18">
        <f t="shared" si="204"/>
        <v>16070914243.093105</v>
      </c>
      <c r="L847" s="17">
        <f t="shared" si="205"/>
        <v>20.019368889803321</v>
      </c>
      <c r="M847" s="16">
        <f t="shared" si="206"/>
        <v>1.9478084098223991E-11</v>
      </c>
      <c r="N847" s="16">
        <f t="shared" si="207"/>
        <v>77009627458.009064</v>
      </c>
      <c r="O847" s="16">
        <f t="shared" si="209"/>
        <v>-74912011409.777725</v>
      </c>
      <c r="P847" s="18">
        <f t="shared" si="208"/>
        <v>17851422009.539604</v>
      </c>
    </row>
    <row r="848" spans="1:16" x14ac:dyDescent="0.4">
      <c r="A848" s="14">
        <v>0.83499999999999996</v>
      </c>
      <c r="B848" s="44">
        <f t="shared" si="210"/>
        <v>5.2464597314949541</v>
      </c>
      <c r="C848" s="40">
        <f t="shared" si="196"/>
        <v>6.7433107044038432E-12</v>
      </c>
      <c r="D848" s="15">
        <f t="shared" si="197"/>
        <v>148295109603.49664</v>
      </c>
      <c r="E848" s="15">
        <f t="shared" si="198"/>
        <v>75488352541.420349</v>
      </c>
      <c r="F848" s="29">
        <f t="shared" si="199"/>
        <v>-127643833234.88574</v>
      </c>
      <c r="G848" s="17">
        <f t="shared" si="200"/>
        <v>21.783300805167052</v>
      </c>
      <c r="H848" s="16">
        <f t="shared" si="201"/>
        <v>1.4402857241806374E-11</v>
      </c>
      <c r="I848" s="16">
        <f t="shared" si="202"/>
        <v>69430668041.154755</v>
      </c>
      <c r="J848" s="16">
        <f t="shared" si="203"/>
        <v>-67936332801.461159</v>
      </c>
      <c r="K848" s="18">
        <f t="shared" si="204"/>
        <v>14327328785.581114</v>
      </c>
      <c r="L848" s="17">
        <f t="shared" si="205"/>
        <v>20.043372929239531</v>
      </c>
      <c r="M848" s="16">
        <f t="shared" si="206"/>
        <v>1.9395732959120312E-11</v>
      </c>
      <c r="N848" s="16">
        <f t="shared" si="207"/>
        <v>77336597856.935654</v>
      </c>
      <c r="O848" s="16">
        <f t="shared" si="209"/>
        <v>-75672105684.296188</v>
      </c>
      <c r="P848" s="18">
        <f t="shared" si="208"/>
        <v>15958752751.706297</v>
      </c>
    </row>
    <row r="849" spans="1:16" x14ac:dyDescent="0.4">
      <c r="A849" s="14">
        <v>0.83599999999999997</v>
      </c>
      <c r="B849" s="44">
        <f t="shared" si="210"/>
        <v>5.2527429168021342</v>
      </c>
      <c r="C849" s="40">
        <f t="shared" si="196"/>
        <v>6.7439138819583587E-12</v>
      </c>
      <c r="D849" s="15">
        <f t="shared" si="197"/>
        <v>148281846047.18158</v>
      </c>
      <c r="E849" s="15">
        <f t="shared" si="198"/>
        <v>76282043748.773209</v>
      </c>
      <c r="F849" s="29">
        <f t="shared" si="199"/>
        <v>-127155635615.06155</v>
      </c>
      <c r="G849" s="17">
        <f t="shared" si="200"/>
        <v>21.809388590562463</v>
      </c>
      <c r="H849" s="16">
        <f t="shared" si="201"/>
        <v>1.4384133730855331E-11</v>
      </c>
      <c r="I849" s="16">
        <f t="shared" si="202"/>
        <v>69521044416.801071</v>
      </c>
      <c r="J849" s="16">
        <f t="shared" si="203"/>
        <v>-68375829807.875977</v>
      </c>
      <c r="K849" s="18">
        <f t="shared" si="204"/>
        <v>12566682732.018291</v>
      </c>
      <c r="L849" s="17">
        <f t="shared" si="205"/>
        <v>20.067376968675749</v>
      </c>
      <c r="M849" s="16">
        <f t="shared" si="206"/>
        <v>1.9312595417785839E-11</v>
      </c>
      <c r="N849" s="16">
        <f t="shared" si="207"/>
        <v>77669519168.748413</v>
      </c>
      <c r="O849" s="16">
        <f t="shared" si="209"/>
        <v>-76390075386.417343</v>
      </c>
      <c r="P849" s="18">
        <f t="shared" si="208"/>
        <v>14039607913.401743</v>
      </c>
    </row>
    <row r="850" spans="1:16" x14ac:dyDescent="0.4">
      <c r="A850" s="14">
        <v>0.83699999999999997</v>
      </c>
      <c r="B850" s="44">
        <f t="shared" si="210"/>
        <v>5.2590261021093134</v>
      </c>
      <c r="C850" s="40">
        <f t="shared" si="196"/>
        <v>6.7445147901944454E-12</v>
      </c>
      <c r="D850" s="15">
        <f t="shared" si="197"/>
        <v>148268634750.99146</v>
      </c>
      <c r="E850" s="15">
        <f t="shared" si="198"/>
        <v>77072607710.26091</v>
      </c>
      <c r="F850" s="29">
        <f t="shared" si="199"/>
        <v>-126662548496.63788</v>
      </c>
      <c r="G850" s="17">
        <f t="shared" si="200"/>
        <v>21.835476375957871</v>
      </c>
      <c r="H850" s="16">
        <f t="shared" si="201"/>
        <v>1.4367891930888631E-11</v>
      </c>
      <c r="I850" s="16">
        <f t="shared" si="202"/>
        <v>69599632626.005676</v>
      </c>
      <c r="J850" s="16">
        <f t="shared" si="203"/>
        <v>-68758001392.406937</v>
      </c>
      <c r="K850" s="18">
        <f t="shared" si="204"/>
        <v>10791019701.433218</v>
      </c>
      <c r="L850" s="17">
        <f t="shared" si="205"/>
        <v>20.091381008111963</v>
      </c>
      <c r="M850" s="16">
        <f t="shared" si="206"/>
        <v>1.9228719375265469E-11</v>
      </c>
      <c r="N850" s="16">
        <f t="shared" si="207"/>
        <v>78008315100.250458</v>
      </c>
      <c r="O850" s="16">
        <f t="shared" si="209"/>
        <v>-77065002154.597763</v>
      </c>
      <c r="P850" s="18">
        <f t="shared" si="208"/>
        <v>12094737189.860989</v>
      </c>
    </row>
    <row r="851" spans="1:16" x14ac:dyDescent="0.4">
      <c r="A851" s="14">
        <v>0.83799999999999997</v>
      </c>
      <c r="B851" s="44">
        <f t="shared" si="210"/>
        <v>5.2653092874164926</v>
      </c>
      <c r="C851" s="40">
        <f t="shared" si="196"/>
        <v>6.7451134053892772E-12</v>
      </c>
      <c r="D851" s="15">
        <f t="shared" si="197"/>
        <v>148255476209.04492</v>
      </c>
      <c r="E851" s="15">
        <f t="shared" si="198"/>
        <v>77860014857.820724</v>
      </c>
      <c r="F851" s="29">
        <f t="shared" si="199"/>
        <v>-126164592149.74152</v>
      </c>
      <c r="G851" s="17">
        <f t="shared" si="200"/>
        <v>21.861564161353279</v>
      </c>
      <c r="H851" s="16">
        <f t="shared" si="201"/>
        <v>1.4354142895002549E-11</v>
      </c>
      <c r="I851" s="16">
        <f t="shared" si="202"/>
        <v>69666298246.769852</v>
      </c>
      <c r="J851" s="16">
        <f t="shared" si="203"/>
        <v>-69082193865.795074</v>
      </c>
      <c r="K851" s="18">
        <f t="shared" si="204"/>
        <v>9002422012.8026352</v>
      </c>
      <c r="L851" s="17">
        <f t="shared" si="205"/>
        <v>20.115385047548177</v>
      </c>
      <c r="M851" s="16">
        <f t="shared" si="206"/>
        <v>1.9144153158103497E-11</v>
      </c>
      <c r="N851" s="16">
        <f t="shared" si="207"/>
        <v>78352904284.254929</v>
      </c>
      <c r="O851" s="16">
        <f t="shared" si="209"/>
        <v>-77695968638.091858</v>
      </c>
      <c r="P851" s="18">
        <f t="shared" si="208"/>
        <v>10124923069.646513</v>
      </c>
    </row>
    <row r="852" spans="1:16" x14ac:dyDescent="0.4">
      <c r="A852" s="14">
        <v>0.83899999999999997</v>
      </c>
      <c r="B852" s="44">
        <f t="shared" si="210"/>
        <v>5.2715924727236727</v>
      </c>
      <c r="C852" s="40">
        <f t="shared" si="196"/>
        <v>6.7457097039105498E-12</v>
      </c>
      <c r="D852" s="15">
        <f t="shared" si="197"/>
        <v>148242370913.21774</v>
      </c>
      <c r="E852" s="15">
        <f t="shared" si="198"/>
        <v>78644235757.609238</v>
      </c>
      <c r="F852" s="29">
        <f t="shared" si="199"/>
        <v>-125661787016.07582</v>
      </c>
      <c r="G852" s="17">
        <f t="shared" si="200"/>
        <v>21.88765194674869</v>
      </c>
      <c r="H852" s="16">
        <f t="shared" si="201"/>
        <v>1.434289597988278E-11</v>
      </c>
      <c r="I852" s="16">
        <f t="shared" si="202"/>
        <v>69720926750.259583</v>
      </c>
      <c r="J852" s="16">
        <f t="shared" si="203"/>
        <v>-69347850278.513092</v>
      </c>
      <c r="K852" s="18">
        <f t="shared" si="204"/>
        <v>7203005529.915472</v>
      </c>
      <c r="L852" s="17">
        <f t="shared" si="205"/>
        <v>20.139389086984391</v>
      </c>
      <c r="M852" s="16">
        <f t="shared" si="206"/>
        <v>1.9058945490499568E-11</v>
      </c>
      <c r="N852" s="16">
        <f t="shared" si="207"/>
        <v>78703200066.746323</v>
      </c>
      <c r="O852" s="16">
        <f t="shared" si="209"/>
        <v>-78282059477.189392</v>
      </c>
      <c r="P852" s="18">
        <f t="shared" si="208"/>
        <v>8130981783.0369968</v>
      </c>
    </row>
    <row r="853" spans="1:16" x14ac:dyDescent="0.4">
      <c r="A853" s="14">
        <v>0.84</v>
      </c>
      <c r="B853" s="44">
        <f t="shared" si="210"/>
        <v>5.2778756580308519</v>
      </c>
      <c r="C853" s="40">
        <f t="shared" si="196"/>
        <v>6.7463036622174186E-12</v>
      </c>
      <c r="D853" s="15">
        <f t="shared" si="197"/>
        <v>148229319353.12759</v>
      </c>
      <c r="E853" s="15">
        <f t="shared" si="198"/>
        <v>79425241110.904419</v>
      </c>
      <c r="F853" s="29">
        <f t="shared" si="199"/>
        <v>-125154153708.00198</v>
      </c>
      <c r="G853" s="17">
        <f t="shared" si="200"/>
        <v>21.913739732144098</v>
      </c>
      <c r="H853" s="16">
        <f t="shared" si="201"/>
        <v>1.4334158839436891E-11</v>
      </c>
      <c r="I853" s="16">
        <f t="shared" si="202"/>
        <v>69763423944.260162</v>
      </c>
      <c r="J853" s="16">
        <f t="shared" si="203"/>
        <v>-69554512577.268845</v>
      </c>
      <c r="K853" s="18">
        <f t="shared" si="204"/>
        <v>5394914324.1688471</v>
      </c>
      <c r="L853" s="17">
        <f t="shared" si="205"/>
        <v>20.163393126420605</v>
      </c>
      <c r="M853" s="16">
        <f t="shared" si="206"/>
        <v>1.8973145466235412E-11</v>
      </c>
      <c r="N853" s="16">
        <f t="shared" si="207"/>
        <v>79059110291.933319</v>
      </c>
      <c r="O853" s="16">
        <f t="shared" si="209"/>
        <v>-78822362353.394623</v>
      </c>
      <c r="P853" s="18">
        <f t="shared" si="208"/>
        <v>6113764239.9945278</v>
      </c>
    </row>
    <row r="854" spans="1:16" x14ac:dyDescent="0.4">
      <c r="A854" s="14">
        <v>0.84099999999999997</v>
      </c>
      <c r="B854" s="44">
        <f t="shared" si="210"/>
        <v>5.284158843338032</v>
      </c>
      <c r="C854" s="40">
        <f t="shared" si="196"/>
        <v>6.7468952568614264E-12</v>
      </c>
      <c r="D854" s="15">
        <f t="shared" si="197"/>
        <v>148216322016.11914</v>
      </c>
      <c r="E854" s="15">
        <f t="shared" si="198"/>
        <v>80203001755.002594</v>
      </c>
      <c r="F854" s="29">
        <f t="shared" si="199"/>
        <v>-124641713007.61626</v>
      </c>
      <c r="G854" s="17">
        <f t="shared" si="200"/>
        <v>21.939827517539509</v>
      </c>
      <c r="H854" s="16">
        <f t="shared" si="201"/>
        <v>1.4327937419585574E-11</v>
      </c>
      <c r="I854" s="16">
        <f t="shared" si="202"/>
        <v>69793716340.01207</v>
      </c>
      <c r="J854" s="16">
        <f t="shared" si="203"/>
        <v>-69701823388.914993</v>
      </c>
      <c r="K854" s="18">
        <f t="shared" si="204"/>
        <v>3580315183.1326513</v>
      </c>
      <c r="L854" s="17">
        <f t="shared" si="205"/>
        <v>20.187397165856822</v>
      </c>
      <c r="M854" s="16">
        <f t="shared" si="206"/>
        <v>1.8886802520388666E-11</v>
      </c>
      <c r="N854" s="16">
        <f t="shared" si="207"/>
        <v>79420537085.65657</v>
      </c>
      <c r="O854" s="16">
        <f t="shared" si="209"/>
        <v>-79315969111.442947</v>
      </c>
      <c r="P854" s="18">
        <f t="shared" si="208"/>
        <v>4074156954.1169505</v>
      </c>
    </row>
    <row r="855" spans="1:16" x14ac:dyDescent="0.4">
      <c r="A855" s="14">
        <v>0.84199999999999997</v>
      </c>
      <c r="B855" s="44">
        <f t="shared" si="210"/>
        <v>5.2904420286452112</v>
      </c>
      <c r="C855" s="40">
        <f t="shared" si="196"/>
        <v>6.7474844644874307E-12</v>
      </c>
      <c r="D855" s="15">
        <f t="shared" si="197"/>
        <v>148203379387.24908</v>
      </c>
      <c r="E855" s="15">
        <f t="shared" si="198"/>
        <v>80977488664.106934</v>
      </c>
      <c r="F855" s="29">
        <f t="shared" si="199"/>
        <v>-124124485865.82472</v>
      </c>
      <c r="G855" s="17">
        <f t="shared" si="200"/>
        <v>21.965915302934917</v>
      </c>
      <c r="H855" s="16">
        <f t="shared" si="201"/>
        <v>1.4324235954216254E-11</v>
      </c>
      <c r="I855" s="16">
        <f t="shared" si="202"/>
        <v>69811751439.744751</v>
      </c>
      <c r="J855" s="16">
        <f t="shared" si="203"/>
        <v>-69789527418.715057</v>
      </c>
      <c r="K855" s="18">
        <f t="shared" si="204"/>
        <v>1761391994.1687791</v>
      </c>
      <c r="L855" s="17">
        <f t="shared" si="205"/>
        <v>20.211401205293036</v>
      </c>
      <c r="M855" s="16">
        <f t="shared" si="206"/>
        <v>1.8799966400850079E-11</v>
      </c>
      <c r="N855" s="16">
        <f t="shared" si="207"/>
        <v>79787376637.661148</v>
      </c>
      <c r="O855" s="16">
        <f t="shared" si="209"/>
        <v>-79761976954.946854</v>
      </c>
      <c r="P855" s="18">
        <f t="shared" si="208"/>
        <v>2013082948.7440126</v>
      </c>
    </row>
    <row r="856" spans="1:16" x14ac:dyDescent="0.4">
      <c r="A856" s="14">
        <v>0.84299999999999997</v>
      </c>
      <c r="B856" s="44">
        <f t="shared" si="210"/>
        <v>5.2967252139523913</v>
      </c>
      <c r="C856" s="40">
        <f t="shared" si="196"/>
        <v>6.748071261834523E-12</v>
      </c>
      <c r="D856" s="15">
        <f t="shared" si="197"/>
        <v>148190491949.27161</v>
      </c>
      <c r="E856" s="15">
        <f t="shared" si="198"/>
        <v>81748672950.211304</v>
      </c>
      <c r="F856" s="29">
        <f t="shared" si="199"/>
        <v>-123602493401.41373</v>
      </c>
      <c r="G856" s="17">
        <f t="shared" si="200"/>
        <v>21.992003088330328</v>
      </c>
      <c r="H856" s="16">
        <f t="shared" si="201"/>
        <v>1.4323056962301773E-11</v>
      </c>
      <c r="I856" s="16">
        <f t="shared" si="202"/>
        <v>69817497942.792236</v>
      </c>
      <c r="J856" s="16">
        <f t="shared" si="203"/>
        <v>-69817472452.676208</v>
      </c>
      <c r="K856" s="18">
        <f t="shared" si="204"/>
        <v>-59659966.446515523</v>
      </c>
      <c r="L856" s="17">
        <f t="shared" si="205"/>
        <v>20.235405244729254</v>
      </c>
      <c r="M856" s="16">
        <f t="shared" si="206"/>
        <v>1.8712687139660399E-11</v>
      </c>
      <c r="N856" s="16">
        <f t="shared" si="207"/>
        <v>80159518983.291367</v>
      </c>
      <c r="O856" s="16">
        <f t="shared" si="209"/>
        <v>-80159489717.340866</v>
      </c>
      <c r="P856" s="18">
        <f t="shared" si="208"/>
        <v>-68497358.883163765</v>
      </c>
    </row>
    <row r="857" spans="1:16" x14ac:dyDescent="0.4">
      <c r="A857" s="14">
        <v>0.84399999999999997</v>
      </c>
      <c r="B857" s="44">
        <f t="shared" si="210"/>
        <v>5.3030083992595705</v>
      </c>
      <c r="C857" s="40">
        <f t="shared" si="196"/>
        <v>6.748655625736948E-12</v>
      </c>
      <c r="D857" s="15">
        <f t="shared" si="197"/>
        <v>148177660182.62354</v>
      </c>
      <c r="E857" s="15">
        <f t="shared" si="198"/>
        <v>82516525863.975647</v>
      </c>
      <c r="F857" s="29">
        <f t="shared" si="199"/>
        <v>-123075756900.1178</v>
      </c>
      <c r="G857" s="17">
        <f t="shared" si="200"/>
        <v>22.018090873725736</v>
      </c>
      <c r="H857" s="16">
        <f t="shared" si="201"/>
        <v>1.4324401246186159E-11</v>
      </c>
      <c r="I857" s="16">
        <f t="shared" si="202"/>
        <v>69810945868.766968</v>
      </c>
      <c r="J857" s="16">
        <f t="shared" si="203"/>
        <v>-69785609956.539139</v>
      </c>
      <c r="K857" s="18">
        <f t="shared" si="204"/>
        <v>-1880639807.5383158</v>
      </c>
      <c r="L857" s="17">
        <f t="shared" si="205"/>
        <v>20.259409284165464</v>
      </c>
      <c r="M857" s="16">
        <f t="shared" si="206"/>
        <v>1.8625015024183688E-11</v>
      </c>
      <c r="N857" s="16">
        <f t="shared" si="207"/>
        <v>80536847785.213699</v>
      </c>
      <c r="O857" s="16">
        <f t="shared" si="209"/>
        <v>-80507619209.648651</v>
      </c>
      <c r="P857" s="18">
        <f t="shared" si="208"/>
        <v>-2169585299.750102</v>
      </c>
    </row>
    <row r="858" spans="1:16" x14ac:dyDescent="0.4">
      <c r="A858" s="14">
        <v>0.84499999999999997</v>
      </c>
      <c r="B858" s="44">
        <f t="shared" si="210"/>
        <v>5.3092915845667505</v>
      </c>
      <c r="C858" s="40">
        <f t="shared" si="196"/>
        <v>6.7492375331250197E-12</v>
      </c>
      <c r="D858" s="15">
        <f t="shared" si="197"/>
        <v>148164884565.40985</v>
      </c>
      <c r="E858" s="15">
        <f t="shared" si="198"/>
        <v>83281018795.596573</v>
      </c>
      <c r="F858" s="29">
        <f t="shared" si="199"/>
        <v>-122544297813.68335</v>
      </c>
      <c r="G858" s="17">
        <f t="shared" si="200"/>
        <v>22.044178659121147</v>
      </c>
      <c r="H858" s="16">
        <f t="shared" si="201"/>
        <v>1.4328267891038591E-11</v>
      </c>
      <c r="I858" s="16">
        <f t="shared" si="202"/>
        <v>69792106596.878723</v>
      </c>
      <c r="J858" s="16">
        <f t="shared" si="203"/>
        <v>-69693995266.984421</v>
      </c>
      <c r="K858" s="18">
        <f t="shared" si="204"/>
        <v>-3699346828.2434454</v>
      </c>
      <c r="L858" s="17">
        <f t="shared" si="205"/>
        <v>20.283413323601682</v>
      </c>
      <c r="M858" s="16">
        <f t="shared" si="206"/>
        <v>1.8537000568133295E-11</v>
      </c>
      <c r="N858" s="16">
        <f t="shared" si="207"/>
        <v>80919240115.827026</v>
      </c>
      <c r="O858" s="16">
        <f t="shared" si="209"/>
        <v>-80805486646.431747</v>
      </c>
      <c r="P858" s="18">
        <f t="shared" si="208"/>
        <v>-4289143126.1044941</v>
      </c>
    </row>
    <row r="859" spans="1:16" x14ac:dyDescent="0.4">
      <c r="A859" s="14">
        <v>0.84599999999999997</v>
      </c>
      <c r="B859" s="44">
        <f t="shared" si="210"/>
        <v>5.3155747698739297</v>
      </c>
      <c r="C859" s="40">
        <f t="shared" si="196"/>
        <v>6.7498169610260303E-12</v>
      </c>
      <c r="D859" s="15">
        <f t="shared" si="197"/>
        <v>148152165573.38931</v>
      </c>
      <c r="E859" s="15">
        <f t="shared" si="198"/>
        <v>84042123275.669739</v>
      </c>
      <c r="F859" s="29">
        <f t="shared" si="199"/>
        <v>-122008137758.93022</v>
      </c>
      <c r="G859" s="17">
        <f t="shared" si="200"/>
        <v>22.070266444516555</v>
      </c>
      <c r="H859" s="16">
        <f t="shared" si="201"/>
        <v>1.4334654265475975E-11</v>
      </c>
      <c r="I859" s="16">
        <f t="shared" si="202"/>
        <v>69761012821.106613</v>
      </c>
      <c r="J859" s="16">
        <f t="shared" si="203"/>
        <v>-69542787373.635681</v>
      </c>
      <c r="K859" s="18">
        <f t="shared" si="204"/>
        <v>-5513586322.1590786</v>
      </c>
      <c r="L859" s="17">
        <f t="shared" si="205"/>
        <v>20.307417363037896</v>
      </c>
      <c r="M859" s="16">
        <f t="shared" si="206"/>
        <v>1.8448694482467753E-11</v>
      </c>
      <c r="N859" s="16">
        <f t="shared" si="207"/>
        <v>81306566241.068542</v>
      </c>
      <c r="O859" s="16">
        <f t="shared" si="209"/>
        <v>-81052224151.085098</v>
      </c>
      <c r="P859" s="18">
        <f t="shared" si="208"/>
        <v>-6426093220.2641926</v>
      </c>
    </row>
    <row r="860" spans="1:16" x14ac:dyDescent="0.4">
      <c r="A860" s="14">
        <v>0.84699999999999998</v>
      </c>
      <c r="B860" s="44">
        <f t="shared" si="210"/>
        <v>5.3218579551811098</v>
      </c>
      <c r="C860" s="40">
        <f t="shared" si="196"/>
        <v>6.7503938865651616E-12</v>
      </c>
      <c r="D860" s="15">
        <f t="shared" si="197"/>
        <v>148139503679.96011</v>
      </c>
      <c r="E860" s="15">
        <f t="shared" si="198"/>
        <v>84799810976.047302</v>
      </c>
      <c r="F860" s="29">
        <f t="shared" si="199"/>
        <v>-121467298516.8089</v>
      </c>
      <c r="G860" s="17">
        <f t="shared" si="200"/>
        <v>22.09635422991197</v>
      </c>
      <c r="H860" s="16">
        <f t="shared" si="201"/>
        <v>1.4343556023353693E-11</v>
      </c>
      <c r="I860" s="16">
        <f t="shared" si="202"/>
        <v>69717718421.556961</v>
      </c>
      <c r="J860" s="16">
        <f t="shared" si="203"/>
        <v>-69332248293.477554</v>
      </c>
      <c r="K860" s="18">
        <f t="shared" si="204"/>
        <v>-7321175348.1992388</v>
      </c>
      <c r="L860" s="17">
        <f t="shared" si="205"/>
        <v>20.331421402474117</v>
      </c>
      <c r="M860" s="16">
        <f t="shared" si="206"/>
        <v>1.8360147646172646E-11</v>
      </c>
      <c r="N860" s="16">
        <f t="shared" si="207"/>
        <v>81698689406.383377</v>
      </c>
      <c r="O860" s="16">
        <f t="shared" si="209"/>
        <v>-81246976341.435165</v>
      </c>
      <c r="P860" s="18">
        <f t="shared" si="208"/>
        <v>-8579317344.3446522</v>
      </c>
    </row>
    <row r="861" spans="1:16" x14ac:dyDescent="0.4">
      <c r="A861" s="14">
        <v>0.84799999999999998</v>
      </c>
      <c r="B861" s="44">
        <f t="shared" si="210"/>
        <v>5.328141140488289</v>
      </c>
      <c r="C861" s="40">
        <f t="shared" si="196"/>
        <v>6.7509682869663753E-12</v>
      </c>
      <c r="D861" s="15">
        <f t="shared" si="197"/>
        <v>148126899356.14575</v>
      </c>
      <c r="E861" s="15">
        <f t="shared" si="198"/>
        <v>85554053710.68721</v>
      </c>
      <c r="F861" s="29">
        <f t="shared" si="199"/>
        <v>-120921802031.45576</v>
      </c>
      <c r="G861" s="17">
        <f t="shared" si="200"/>
        <v>22.122442015307378</v>
      </c>
      <c r="H861" s="16">
        <f t="shared" si="201"/>
        <v>1.43549671067233E-11</v>
      </c>
      <c r="I861" s="16">
        <f t="shared" si="202"/>
        <v>69662298252.960785</v>
      </c>
      <c r="J861" s="16">
        <f t="shared" si="203"/>
        <v>-69062742042.32695</v>
      </c>
      <c r="K861" s="18">
        <f t="shared" si="204"/>
        <v>-9119948436.2286358</v>
      </c>
      <c r="L861" s="17">
        <f t="shared" si="205"/>
        <v>20.355425441910327</v>
      </c>
      <c r="M861" s="16">
        <f t="shared" si="206"/>
        <v>1.8271411076946052E-11</v>
      </c>
      <c r="N861" s="16">
        <f t="shared" si="207"/>
        <v>82095465625.674881</v>
      </c>
      <c r="O861" s="16">
        <f t="shared" si="209"/>
        <v>-81388901996.349625</v>
      </c>
      <c r="P861" s="18">
        <f t="shared" si="208"/>
        <v>-10747655936.29426</v>
      </c>
    </row>
    <row r="862" spans="1:16" x14ac:dyDescent="0.4">
      <c r="A862" s="14">
        <v>0.84899999999999998</v>
      </c>
      <c r="B862" s="44">
        <f t="shared" si="210"/>
        <v>5.3344243257954682</v>
      </c>
      <c r="C862" s="40">
        <f t="shared" si="196"/>
        <v>6.7515401395533339E-12</v>
      </c>
      <c r="D862" s="15">
        <f t="shared" si="197"/>
        <v>148114353070.58066</v>
      </c>
      <c r="E862" s="15">
        <f t="shared" si="198"/>
        <v>86304823436.497391</v>
      </c>
      <c r="F862" s="29">
        <f t="shared" si="199"/>
        <v>-120371670409.24388</v>
      </c>
      <c r="G862" s="17">
        <f t="shared" si="200"/>
        <v>22.148529800702786</v>
      </c>
      <c r="H862" s="16">
        <f t="shared" si="201"/>
        <v>1.436887974995516E-11</v>
      </c>
      <c r="I862" s="16">
        <f t="shared" si="202"/>
        <v>69594847851.87381</v>
      </c>
      <c r="J862" s="16">
        <f t="shared" si="203"/>
        <v>-68734733210.957016</v>
      </c>
      <c r="K862" s="18">
        <f t="shared" si="204"/>
        <v>-10907763196.184046</v>
      </c>
      <c r="L862" s="17">
        <f t="shared" si="205"/>
        <v>20.379429481346541</v>
      </c>
      <c r="M862" s="16">
        <f t="shared" si="206"/>
        <v>1.8182535901803644E-11</v>
      </c>
      <c r="N862" s="16">
        <f t="shared" si="207"/>
        <v>82496743474.116028</v>
      </c>
      <c r="O862" s="16">
        <f t="shared" si="209"/>
        <v>-81477175803.804153</v>
      </c>
      <c r="P862" s="18">
        <f t="shared" si="208"/>
        <v>-12929907457.909199</v>
      </c>
    </row>
    <row r="863" spans="1:16" x14ac:dyDescent="0.4">
      <c r="A863" s="14">
        <v>0.85</v>
      </c>
      <c r="B863" s="44">
        <f t="shared" si="210"/>
        <v>5.3407075111026483</v>
      </c>
      <c r="C863" s="40">
        <f t="shared" si="196"/>
        <v>6.7521094217502712E-12</v>
      </c>
      <c r="D863" s="15">
        <f t="shared" si="197"/>
        <v>148101865289.49667</v>
      </c>
      <c r="E863" s="15">
        <f t="shared" si="198"/>
        <v>87052092254.172638</v>
      </c>
      <c r="F863" s="29">
        <f t="shared" si="199"/>
        <v>-119816925917.83197</v>
      </c>
      <c r="G863" s="17">
        <f t="shared" si="200"/>
        <v>22.174617586098197</v>
      </c>
      <c r="H863" s="16">
        <f t="shared" si="201"/>
        <v>1.4385284485023231E-11</v>
      </c>
      <c r="I863" s="16">
        <f t="shared" si="202"/>
        <v>69515483064.733078</v>
      </c>
      <c r="J863" s="16">
        <f t="shared" si="203"/>
        <v>-68348785156.350365</v>
      </c>
      <c r="K863" s="18">
        <f t="shared" si="204"/>
        <v>-12682505800.284567</v>
      </c>
      <c r="L863" s="17">
        <f t="shared" si="205"/>
        <v>20.403433520782759</v>
      </c>
      <c r="M863" s="16">
        <f t="shared" si="206"/>
        <v>1.8093573327621189E-11</v>
      </c>
      <c r="N863" s="16">
        <f t="shared" si="207"/>
        <v>82902363885.75264</v>
      </c>
      <c r="O863" s="16">
        <f t="shared" si="209"/>
        <v>-81510990190.551208</v>
      </c>
      <c r="P863" s="18">
        <f t="shared" si="208"/>
        <v>-15124827800.725819</v>
      </c>
    </row>
    <row r="864" spans="1:16" x14ac:dyDescent="0.4">
      <c r="A864" s="14">
        <v>0.85099999999999998</v>
      </c>
      <c r="B864" s="44">
        <f t="shared" si="210"/>
        <v>5.3469906964098275</v>
      </c>
      <c r="C864" s="40">
        <f t="shared" si="196"/>
        <v>6.7526761110829031E-12</v>
      </c>
      <c r="D864" s="15">
        <f t="shared" si="197"/>
        <v>148089436476.70871</v>
      </c>
      <c r="E864" s="15">
        <f t="shared" si="198"/>
        <v>87795832409.024628</v>
      </c>
      <c r="F864" s="29">
        <f t="shared" si="199"/>
        <v>-119257590985.20985</v>
      </c>
      <c r="G864" s="17">
        <f t="shared" si="200"/>
        <v>22.200705371493605</v>
      </c>
      <c r="H864" s="16">
        <f t="shared" si="201"/>
        <v>1.4404170147948364E-11</v>
      </c>
      <c r="I864" s="16">
        <f t="shared" si="202"/>
        <v>69424339599.489761</v>
      </c>
      <c r="J864" s="16">
        <f t="shared" si="203"/>
        <v>-67905557821.305794</v>
      </c>
      <c r="K864" s="18">
        <f t="shared" si="204"/>
        <v>-14442096309.143553</v>
      </c>
      <c r="L864" s="17">
        <f t="shared" si="205"/>
        <v>20.427437560218973</v>
      </c>
      <c r="M864" s="16">
        <f t="shared" si="206"/>
        <v>1.800457461163087E-11</v>
      </c>
      <c r="N864" s="16">
        <f t="shared" si="207"/>
        <v>83312159956.892685</v>
      </c>
      <c r="O864" s="16">
        <f t="shared" si="209"/>
        <v>-81489557233.213242</v>
      </c>
      <c r="P864" s="18">
        <f t="shared" si="208"/>
        <v>-17331129755.954639</v>
      </c>
    </row>
    <row r="865" spans="1:16" x14ac:dyDescent="0.4">
      <c r="A865" s="14">
        <v>0.85199999999999998</v>
      </c>
      <c r="B865" s="44">
        <f t="shared" si="210"/>
        <v>5.3532738817170076</v>
      </c>
      <c r="C865" s="40">
        <f t="shared" si="196"/>
        <v>6.7532401851793045E-12</v>
      </c>
      <c r="D865" s="15">
        <f t="shared" si="197"/>
        <v>148077067093.60126</v>
      </c>
      <c r="E865" s="15">
        <f t="shared" si="198"/>
        <v>88536016291.806732</v>
      </c>
      <c r="F865" s="29">
        <f t="shared" si="199"/>
        <v>-118693688198.74046</v>
      </c>
      <c r="G865" s="17">
        <f t="shared" si="200"/>
        <v>22.226793156889016</v>
      </c>
      <c r="H865" s="16">
        <f t="shared" si="201"/>
        <v>1.442552388639578E-11</v>
      </c>
      <c r="I865" s="16">
        <f t="shared" si="202"/>
        <v>69321572504.071472</v>
      </c>
      <c r="J865" s="16">
        <f t="shared" si="203"/>
        <v>-67405805198.219429</v>
      </c>
      <c r="K865" s="18">
        <f t="shared" si="204"/>
        <v>-16184493814.047205</v>
      </c>
      <c r="L865" s="17">
        <f t="shared" si="205"/>
        <v>20.451441599655187</v>
      </c>
      <c r="M865" s="16">
        <f t="shared" si="206"/>
        <v>1.791559103188851E-11</v>
      </c>
      <c r="N865" s="16">
        <f t="shared" si="207"/>
        <v>83725956756.330505</v>
      </c>
      <c r="O865" s="16">
        <f t="shared" si="209"/>
        <v>-81412110650.263901</v>
      </c>
      <c r="P865" s="18">
        <f t="shared" si="208"/>
        <v>-19547482554.848675</v>
      </c>
    </row>
    <row r="866" spans="1:16" x14ac:dyDescent="0.4">
      <c r="A866" s="14">
        <v>0.85299999999999998</v>
      </c>
      <c r="B866" s="44">
        <f t="shared" si="210"/>
        <v>5.3595570670241868</v>
      </c>
      <c r="C866" s="40">
        <f t="shared" si="196"/>
        <v>6.753801621770795E-12</v>
      </c>
      <c r="D866" s="15">
        <f t="shared" si="197"/>
        <v>148064757599.11462</v>
      </c>
      <c r="E866" s="15">
        <f t="shared" si="198"/>
        <v>89272616439.53067</v>
      </c>
      <c r="F866" s="29">
        <f t="shared" si="199"/>
        <v>-118125240304.20007</v>
      </c>
      <c r="G866" s="17">
        <f t="shared" si="200"/>
        <v>22.252880942284424</v>
      </c>
      <c r="H866" s="16">
        <f t="shared" si="201"/>
        <v>1.444933116842152E-11</v>
      </c>
      <c r="I866" s="16">
        <f t="shared" si="202"/>
        <v>69207355575.42366</v>
      </c>
      <c r="J866" s="16">
        <f t="shared" si="203"/>
        <v>-66850372455.275101</v>
      </c>
      <c r="K866" s="18">
        <f t="shared" si="204"/>
        <v>-17907701369.358398</v>
      </c>
      <c r="L866" s="17">
        <f t="shared" si="205"/>
        <v>20.475445639091401</v>
      </c>
      <c r="M866" s="16">
        <f t="shared" si="206"/>
        <v>1.7826673857728948E-11</v>
      </c>
      <c r="N866" s="16">
        <f t="shared" si="207"/>
        <v>84143571143.511932</v>
      </c>
      <c r="O866" s="16">
        <f t="shared" si="209"/>
        <v>-81277907873.974945</v>
      </c>
      <c r="P866" s="18">
        <f t="shared" si="208"/>
        <v>-21772511486.112366</v>
      </c>
    </row>
    <row r="867" spans="1:16" x14ac:dyDescent="0.4">
      <c r="A867" s="14">
        <v>0.85399999999999998</v>
      </c>
      <c r="B867" s="44">
        <f t="shared" si="210"/>
        <v>5.3658402523313669</v>
      </c>
      <c r="C867" s="40">
        <f t="shared" si="196"/>
        <v>6.7543603986928221E-12</v>
      </c>
      <c r="D867" s="15">
        <f t="shared" si="197"/>
        <v>148052508449.73138</v>
      </c>
      <c r="E867" s="15">
        <f t="shared" si="198"/>
        <v>90005605536.278275</v>
      </c>
      <c r="F867" s="29">
        <f t="shared" si="199"/>
        <v>-117552270204.81422</v>
      </c>
      <c r="G867" s="17">
        <f t="shared" si="200"/>
        <v>22.278968727679835</v>
      </c>
      <c r="H867" s="16">
        <f t="shared" si="201"/>
        <v>1.4475575792361922E-11</v>
      </c>
      <c r="I867" s="16">
        <f t="shared" si="202"/>
        <v>69081880703.332901</v>
      </c>
      <c r="J867" s="16">
        <f t="shared" si="203"/>
        <v>-66240192745.480415</v>
      </c>
      <c r="K867" s="18">
        <f t="shared" si="204"/>
        <v>-19609770690.93676</v>
      </c>
      <c r="L867" s="17">
        <f t="shared" si="205"/>
        <v>20.499449678527618</v>
      </c>
      <c r="M867" s="16">
        <f t="shared" si="206"/>
        <v>1.7737874320226368E-11</v>
      </c>
      <c r="N867" s="16">
        <f t="shared" si="207"/>
        <v>84564811595.804413</v>
      </c>
      <c r="O867" s="16">
        <f t="shared" si="209"/>
        <v>-81086232200.986801</v>
      </c>
      <c r="P867" s="18">
        <f t="shared" si="208"/>
        <v>-24004797597.179325</v>
      </c>
    </row>
    <row r="868" spans="1:16" x14ac:dyDescent="0.4">
      <c r="A868" s="14">
        <v>0.85499999999999998</v>
      </c>
      <c r="B868" s="44">
        <f t="shared" si="210"/>
        <v>5.3721234376385461</v>
      </c>
      <c r="C868" s="40">
        <f t="shared" si="196"/>
        <v>6.7549164938858279E-12</v>
      </c>
      <c r="D868" s="15">
        <f t="shared" si="197"/>
        <v>148040320099.46295</v>
      </c>
      <c r="E868" s="15">
        <f t="shared" si="198"/>
        <v>90734956414.00531</v>
      </c>
      <c r="F868" s="29">
        <f t="shared" si="199"/>
        <v>-116974800960.29236</v>
      </c>
      <c r="G868" s="17">
        <f t="shared" si="200"/>
        <v>22.305056513075243</v>
      </c>
      <c r="H868" s="16">
        <f t="shared" si="201"/>
        <v>1.45042398978594E-11</v>
      </c>
      <c r="I868" s="16">
        <f t="shared" si="202"/>
        <v>68945357153.640594</v>
      </c>
      <c r="J868" s="16">
        <f t="shared" si="203"/>
        <v>-65576283720.961693</v>
      </c>
      <c r="K868" s="18">
        <f t="shared" si="204"/>
        <v>-21288806598.562408</v>
      </c>
      <c r="L868" s="17">
        <f t="shared" si="205"/>
        <v>20.523453717963832</v>
      </c>
      <c r="M868" s="16">
        <f t="shared" si="206"/>
        <v>1.7649243582676707E-11</v>
      </c>
      <c r="N868" s="16">
        <f t="shared" si="207"/>
        <v>84989478046.090179</v>
      </c>
      <c r="O868" s="16">
        <f t="shared" si="209"/>
        <v>-80836395019.71254</v>
      </c>
      <c r="P868" s="18">
        <f t="shared" si="208"/>
        <v>-26242877486.355003</v>
      </c>
    </row>
    <row r="869" spans="1:16" x14ac:dyDescent="0.4">
      <c r="A869" s="14">
        <v>0.85599999999999998</v>
      </c>
      <c r="B869" s="44">
        <f t="shared" si="210"/>
        <v>5.3784066229457261</v>
      </c>
      <c r="C869" s="40">
        <f t="shared" si="196"/>
        <v>6.7554698853961263E-12</v>
      </c>
      <c r="D869" s="15">
        <f t="shared" si="197"/>
        <v>148028192999.83633</v>
      </c>
      <c r="E869" s="15">
        <f t="shared" si="198"/>
        <v>91460642053.340225</v>
      </c>
      <c r="F869" s="29">
        <f t="shared" si="199"/>
        <v>-116392855785.85812</v>
      </c>
      <c r="G869" s="17">
        <f t="shared" si="200"/>
        <v>22.331144298470655</v>
      </c>
      <c r="H869" s="16">
        <f t="shared" si="201"/>
        <v>1.4535303978017036E-11</v>
      </c>
      <c r="I869" s="16">
        <f t="shared" si="202"/>
        <v>68798010795.810272</v>
      </c>
      <c r="J869" s="16">
        <f t="shared" si="203"/>
        <v>-64859743776.651718</v>
      </c>
      <c r="K869" s="18">
        <f t="shared" si="204"/>
        <v>-22942971182.641441</v>
      </c>
      <c r="L869" s="17">
        <f t="shared" si="205"/>
        <v>20.547457757400046</v>
      </c>
      <c r="M869" s="16">
        <f t="shared" si="206"/>
        <v>1.7560832711119037E-11</v>
      </c>
      <c r="N869" s="16">
        <f t="shared" si="207"/>
        <v>85417361731.954834</v>
      </c>
      <c r="O869" s="16">
        <f t="shared" si="209"/>
        <v>-80527738112.299545</v>
      </c>
      <c r="P869" s="18">
        <f t="shared" si="208"/>
        <v>-28485243193.002972</v>
      </c>
    </row>
    <row r="870" spans="1:16" x14ac:dyDescent="0.4">
      <c r="A870" s="14">
        <v>0.85699999999999998</v>
      </c>
      <c r="B870" s="44">
        <f t="shared" si="210"/>
        <v>5.3846898082529053</v>
      </c>
      <c r="C870" s="40">
        <f t="shared" si="196"/>
        <v>6.7560205513767674E-12</v>
      </c>
      <c r="D870" s="15">
        <f t="shared" si="197"/>
        <v>148016127599.88071</v>
      </c>
      <c r="E870" s="15">
        <f t="shared" si="198"/>
        <v>92182635584.374908</v>
      </c>
      <c r="F870" s="29">
        <f t="shared" si="199"/>
        <v>-115806458051.2784</v>
      </c>
      <c r="G870" s="17">
        <f t="shared" si="200"/>
        <v>22.357232083866062</v>
      </c>
      <c r="H870" s="16">
        <f t="shared" si="201"/>
        <v>1.4568746892673669E-11</v>
      </c>
      <c r="I870" s="16">
        <f t="shared" si="202"/>
        <v>68640083280.112442</v>
      </c>
      <c r="J870" s="16">
        <f t="shared" si="203"/>
        <v>-64091748048.970169</v>
      </c>
      <c r="K870" s="18">
        <f t="shared" si="204"/>
        <v>-24570487677.864693</v>
      </c>
      <c r="L870" s="17">
        <f t="shared" si="205"/>
        <v>20.57146179683626</v>
      </c>
      <c r="M870" s="16">
        <f t="shared" si="206"/>
        <v>1.7472692644913082E-11</v>
      </c>
      <c r="N870" s="16">
        <f t="shared" si="207"/>
        <v>85848245057.793259</v>
      </c>
      <c r="O870" s="16">
        <f t="shared" si="209"/>
        <v>-80159636028.362946</v>
      </c>
      <c r="P870" s="18">
        <f t="shared" si="208"/>
        <v>-30730342193.072033</v>
      </c>
    </row>
    <row r="871" spans="1:16" x14ac:dyDescent="0.4">
      <c r="A871" s="14">
        <v>0.85799999999999998</v>
      </c>
      <c r="B871" s="44">
        <f t="shared" si="210"/>
        <v>5.3909729935600845</v>
      </c>
      <c r="C871" s="40">
        <f t="shared" si="196"/>
        <v>6.7565684700884019E-12</v>
      </c>
      <c r="D871" s="15">
        <f t="shared" si="197"/>
        <v>148004124346.11444</v>
      </c>
      <c r="E871" s="15">
        <f t="shared" si="198"/>
        <v>92900910287.450592</v>
      </c>
      <c r="F871" s="29">
        <f t="shared" si="199"/>
        <v>-115215631279.88824</v>
      </c>
      <c r="G871" s="17">
        <f t="shared" si="200"/>
        <v>22.38331986926147</v>
      </c>
      <c r="H871" s="16">
        <f t="shared" si="201"/>
        <v>1.4604545882790508E-11</v>
      </c>
      <c r="I871" s="16">
        <f t="shared" si="202"/>
        <v>68471831169.934937</v>
      </c>
      <c r="J871" s="16">
        <f t="shared" si="203"/>
        <v>-63273544196.280106</v>
      </c>
      <c r="K871" s="18">
        <f t="shared" si="204"/>
        <v>-26169644029.016941</v>
      </c>
      <c r="L871" s="17">
        <f t="shared" si="205"/>
        <v>20.595465836272474</v>
      </c>
      <c r="M871" s="16">
        <f t="shared" si="206"/>
        <v>1.7384874167389656E-11</v>
      </c>
      <c r="N871" s="16">
        <f t="shared" si="207"/>
        <v>86281901471.204346</v>
      </c>
      <c r="O871" s="16">
        <f t="shared" si="209"/>
        <v>-79731498527.155884</v>
      </c>
      <c r="P871" s="18">
        <f t="shared" si="208"/>
        <v>-32976577507.387794</v>
      </c>
    </row>
    <row r="872" spans="1:16" x14ac:dyDescent="0.4">
      <c r="A872" s="14">
        <v>0.85899999999999999</v>
      </c>
      <c r="B872" s="44">
        <f t="shared" si="210"/>
        <v>5.3972561788672646</v>
      </c>
      <c r="C872" s="40">
        <f t="shared" si="196"/>
        <v>6.7571136199001372E-12</v>
      </c>
      <c r="D872" s="15">
        <f t="shared" si="197"/>
        <v>147992183682.53201</v>
      </c>
      <c r="E872" s="15">
        <f t="shared" si="198"/>
        <v>93615439593.936111</v>
      </c>
      <c r="F872" s="29">
        <f t="shared" si="199"/>
        <v>-114620399147.61418</v>
      </c>
      <c r="G872" s="17">
        <f t="shared" si="200"/>
        <v>22.409407654656885</v>
      </c>
      <c r="H872" s="16">
        <f t="shared" si="201"/>
        <v>1.464267658593943E-11</v>
      </c>
      <c r="I872" s="16">
        <f t="shared" si="202"/>
        <v>68293525034.913757</v>
      </c>
      <c r="J872" s="16">
        <f t="shared" si="203"/>
        <v>-62406447988.816833</v>
      </c>
      <c r="K872" s="18">
        <f t="shared" si="204"/>
        <v>-27738796136.701603</v>
      </c>
      <c r="L872" s="17">
        <f t="shared" si="205"/>
        <v>20.619469875708695</v>
      </c>
      <c r="M872" s="16">
        <f t="shared" si="206"/>
        <v>1.7297427876591011E-11</v>
      </c>
      <c r="N872" s="16">
        <f t="shared" si="207"/>
        <v>86718095355.089355</v>
      </c>
      <c r="O872" s="16">
        <f t="shared" si="209"/>
        <v>-79242773084.270859</v>
      </c>
      <c r="P872" s="18">
        <f t="shared" si="208"/>
        <v>-35222307930.190025</v>
      </c>
    </row>
    <row r="873" spans="1:16" x14ac:dyDescent="0.4">
      <c r="A873" s="14">
        <v>0.86</v>
      </c>
      <c r="B873" s="44">
        <f t="shared" si="210"/>
        <v>5.4035393641744438</v>
      </c>
      <c r="C873" s="40">
        <f t="shared" si="196"/>
        <v>6.757655979290393E-12</v>
      </c>
      <c r="D873" s="15">
        <f t="shared" si="197"/>
        <v>147980306050.59122</v>
      </c>
      <c r="E873" s="15">
        <f t="shared" si="198"/>
        <v>94326197086.999954</v>
      </c>
      <c r="F873" s="29">
        <f t="shared" si="199"/>
        <v>-114020785481.99484</v>
      </c>
      <c r="G873" s="17">
        <f t="shared" si="200"/>
        <v>22.435495440052293</v>
      </c>
      <c r="H873" s="16">
        <f t="shared" si="201"/>
        <v>1.4683113052882411E-11</v>
      </c>
      <c r="I873" s="16">
        <f t="shared" si="202"/>
        <v>68105448510.708847</v>
      </c>
      <c r="J873" s="16">
        <f t="shared" si="203"/>
        <v>-61491838736.411827</v>
      </c>
      <c r="K873" s="18">
        <f t="shared" si="204"/>
        <v>-29276370773.371761</v>
      </c>
      <c r="L873" s="17">
        <f t="shared" si="205"/>
        <v>20.643473915144909</v>
      </c>
      <c r="M873" s="16">
        <f t="shared" si="206"/>
        <v>1.7210404156118048E-11</v>
      </c>
      <c r="N873" s="16">
        <f t="shared" si="207"/>
        <v>87156581936.90773</v>
      </c>
      <c r="O873" s="16">
        <f t="shared" si="209"/>
        <v>-78692947458.359131</v>
      </c>
      <c r="P873" s="18">
        <f t="shared" si="208"/>
        <v>-37465848385.440857</v>
      </c>
    </row>
    <row r="874" spans="1:16" x14ac:dyDescent="0.4">
      <c r="A874" s="14">
        <v>0.86099999999999999</v>
      </c>
      <c r="B874" s="44">
        <f t="shared" si="210"/>
        <v>5.4098225494816239</v>
      </c>
      <c r="C874" s="40">
        <f t="shared" si="196"/>
        <v>6.7581955268477485E-12</v>
      </c>
      <c r="D874" s="15">
        <f t="shared" si="197"/>
        <v>147968491889.20016</v>
      </c>
      <c r="E874" s="15">
        <f t="shared" si="198"/>
        <v>95033156502.376709</v>
      </c>
      <c r="F874" s="29">
        <f t="shared" si="199"/>
        <v>-113416814261.19792</v>
      </c>
      <c r="G874" s="17">
        <f t="shared" si="200"/>
        <v>22.461583225447704</v>
      </c>
      <c r="H874" s="16">
        <f t="shared" si="201"/>
        <v>1.472582776523091E-11</v>
      </c>
      <c r="I874" s="16">
        <f t="shared" si="202"/>
        <v>67907897331.319862</v>
      </c>
      <c r="J874" s="16">
        <f t="shared" si="203"/>
        <v>-60531154582.679596</v>
      </c>
      <c r="K874" s="18">
        <f t="shared" si="204"/>
        <v>-30780868162.688763</v>
      </c>
      <c r="L874" s="17">
        <f t="shared" si="205"/>
        <v>20.667477954581123</v>
      </c>
      <c r="M874" s="16">
        <f t="shared" si="206"/>
        <v>1.712385314610083E-11</v>
      </c>
      <c r="N874" s="16">
        <f t="shared" si="207"/>
        <v>87597107216.582031</v>
      </c>
      <c r="O874" s="16">
        <f t="shared" si="209"/>
        <v>-78081552312.72316</v>
      </c>
      <c r="P874" s="18">
        <f t="shared" si="208"/>
        <v>-39705470418.430313</v>
      </c>
    </row>
    <row r="875" spans="1:16" x14ac:dyDescent="0.4">
      <c r="A875" s="14">
        <v>0.86199999999999999</v>
      </c>
      <c r="B875" s="44">
        <f t="shared" si="210"/>
        <v>5.4161057347888031</v>
      </c>
      <c r="C875" s="40">
        <f t="shared" si="196"/>
        <v>6.75873224127179E-12</v>
      </c>
      <c r="D875" s="15">
        <f t="shared" si="197"/>
        <v>147956741634.70486</v>
      </c>
      <c r="E875" s="15">
        <f t="shared" si="198"/>
        <v>95736291729.125748</v>
      </c>
      <c r="F875" s="29">
        <f t="shared" si="199"/>
        <v>-112808509613.03645</v>
      </c>
      <c r="G875" s="17">
        <f t="shared" si="200"/>
        <v>22.487671010843112</v>
      </c>
      <c r="H875" s="16">
        <f t="shared" si="201"/>
        <v>1.4770791654173024E-11</v>
      </c>
      <c r="I875" s="16">
        <f t="shared" si="202"/>
        <v>67701178339.85434</v>
      </c>
      <c r="J875" s="16">
        <f t="shared" si="203"/>
        <v>-59525887694.419739</v>
      </c>
      <c r="K875" s="18">
        <f t="shared" si="204"/>
        <v>-32250864217.817345</v>
      </c>
      <c r="L875" s="17">
        <f t="shared" si="205"/>
        <v>20.691481994017337</v>
      </c>
      <c r="M875" s="16">
        <f t="shared" si="206"/>
        <v>1.7037824714309641E-11</v>
      </c>
      <c r="N875" s="16">
        <f t="shared" si="207"/>
        <v>88039407914.567154</v>
      </c>
      <c r="O875" s="16">
        <f t="shared" si="209"/>
        <v>-77408163885.984848</v>
      </c>
      <c r="P875" s="18">
        <f t="shared" si="208"/>
        <v>-41939402830.131714</v>
      </c>
    </row>
    <row r="876" spans="1:16" x14ac:dyDescent="0.4">
      <c r="A876" s="14">
        <v>0.86299999999999999</v>
      </c>
      <c r="B876" s="44">
        <f t="shared" si="210"/>
        <v>5.4223889200959832</v>
      </c>
      <c r="C876" s="40">
        <f t="shared" si="196"/>
        <v>6.7592661013739509E-12</v>
      </c>
      <c r="D876" s="15">
        <f t="shared" si="197"/>
        <v>147945055720.87637</v>
      </c>
      <c r="E876" s="15">
        <f t="shared" si="198"/>
        <v>96435576810.384933</v>
      </c>
      <c r="F876" s="29">
        <f t="shared" si="199"/>
        <v>-112195895813.98047</v>
      </c>
      <c r="G876" s="17">
        <f t="shared" si="200"/>
        <v>22.513758796238523</v>
      </c>
      <c r="H876" s="16">
        <f t="shared" si="201"/>
        <v>1.4817974120255841E-11</v>
      </c>
      <c r="I876" s="16">
        <f t="shared" si="202"/>
        <v>67485608483.620056</v>
      </c>
      <c r="J876" s="16">
        <f t="shared" si="203"/>
        <v>-58477579374.787643</v>
      </c>
      <c r="K876" s="18">
        <f t="shared" si="204"/>
        <v>-33685012436.836975</v>
      </c>
      <c r="L876" s="17">
        <f t="shared" si="205"/>
        <v>20.715486033453555</v>
      </c>
      <c r="M876" s="16">
        <f t="shared" si="206"/>
        <v>1.6952368427422822E-11</v>
      </c>
      <c r="N876" s="16">
        <f t="shared" si="207"/>
        <v>88483211441.626099</v>
      </c>
      <c r="O876" s="16">
        <f t="shared" si="209"/>
        <v>-76672406705.345154</v>
      </c>
      <c r="P876" s="18">
        <f t="shared" si="208"/>
        <v>-44165832461.685287</v>
      </c>
    </row>
    <row r="877" spans="1:16" x14ac:dyDescent="0.4">
      <c r="A877" s="14">
        <v>0.86399999999999999</v>
      </c>
      <c r="B877" s="44">
        <f t="shared" si="210"/>
        <v>5.4286721054031624</v>
      </c>
      <c r="C877" s="40">
        <f t="shared" si="196"/>
        <v>6.7597970860783486E-12</v>
      </c>
      <c r="D877" s="15">
        <f t="shared" si="197"/>
        <v>147933434578.8985</v>
      </c>
      <c r="E877" s="15">
        <f t="shared" si="198"/>
        <v>97130985944.116577</v>
      </c>
      <c r="F877" s="29">
        <f t="shared" si="199"/>
        <v>-111578997288.16832</v>
      </c>
      <c r="G877" s="17">
        <f t="shared" si="200"/>
        <v>22.539846581633931</v>
      </c>
      <c r="H877" s="16">
        <f t="shared" si="201"/>
        <v>1.4867343054209356E-11</v>
      </c>
      <c r="I877" s="16">
        <f t="shared" si="202"/>
        <v>67261513799.324913</v>
      </c>
      <c r="J877" s="16">
        <f t="shared" si="203"/>
        <v>-57387815128.358795</v>
      </c>
      <c r="K877" s="18">
        <f t="shared" si="204"/>
        <v>-35082045455.903633</v>
      </c>
      <c r="L877" s="17">
        <f t="shared" si="205"/>
        <v>20.739490072889769</v>
      </c>
      <c r="M877" s="16">
        <f t="shared" si="206"/>
        <v>1.6867533522468167E-11</v>
      </c>
      <c r="N877" s="16">
        <f t="shared" si="207"/>
        <v>88928235891.865601</v>
      </c>
      <c r="O877" s="16">
        <f t="shared" si="209"/>
        <v>-75873956335.259979</v>
      </c>
      <c r="P877" s="18">
        <f t="shared" si="208"/>
        <v>-46382905136.206764</v>
      </c>
    </row>
    <row r="878" spans="1:16" x14ac:dyDescent="0.4">
      <c r="A878" s="14">
        <v>0.86499999999999999</v>
      </c>
      <c r="B878" s="44">
        <f t="shared" si="210"/>
        <v>5.4349552907103424</v>
      </c>
      <c r="C878" s="40">
        <f t="shared" si="196"/>
        <v>6.7603251744226172E-12</v>
      </c>
      <c r="D878" s="15">
        <f t="shared" si="197"/>
        <v>147921878637.35529</v>
      </c>
      <c r="E878" s="15">
        <f t="shared" si="198"/>
        <v>97822493483.848282</v>
      </c>
      <c r="F878" s="29">
        <f t="shared" si="199"/>
        <v>-110957838606.41359</v>
      </c>
      <c r="G878" s="17">
        <f t="shared" si="200"/>
        <v>22.565934367029342</v>
      </c>
      <c r="H878" s="16">
        <f t="shared" si="201"/>
        <v>1.4918864858797981E-11</v>
      </c>
      <c r="I878" s="16">
        <f t="shared" si="202"/>
        <v>67029228394.027451</v>
      </c>
      <c r="J878" s="16">
        <f t="shared" si="203"/>
        <v>-56258219705.528458</v>
      </c>
      <c r="K878" s="18">
        <f t="shared" si="204"/>
        <v>-36440776263.18058</v>
      </c>
      <c r="L878" s="17">
        <f t="shared" si="205"/>
        <v>20.763494112325983</v>
      </c>
      <c r="M878" s="16">
        <f t="shared" si="206"/>
        <v>1.6783368878454141E-11</v>
      </c>
      <c r="N878" s="16">
        <f t="shared" si="207"/>
        <v>89374190060.59288</v>
      </c>
      <c r="O878" s="16">
        <f t="shared" si="209"/>
        <v>-75012542153.633209</v>
      </c>
      <c r="P878" s="18">
        <f t="shared" si="208"/>
        <v>-48588726764.923363</v>
      </c>
    </row>
    <row r="879" spans="1:16" x14ac:dyDescent="0.4">
      <c r="A879" s="14">
        <v>0.86599999999999999</v>
      </c>
      <c r="B879" s="44">
        <f t="shared" si="210"/>
        <v>5.4412384760175216</v>
      </c>
      <c r="C879" s="40">
        <f t="shared" si="196"/>
        <v>6.76085034555873E-12</v>
      </c>
      <c r="D879" s="15">
        <f t="shared" si="197"/>
        <v>147910388322.21896</v>
      </c>
      <c r="E879" s="15">
        <f t="shared" si="198"/>
        <v>98510073939.406357</v>
      </c>
      <c r="F879" s="29">
        <f t="shared" si="199"/>
        <v>-110332444485.21161</v>
      </c>
      <c r="G879" s="17">
        <f t="shared" si="200"/>
        <v>22.59202215242475</v>
      </c>
      <c r="H879" s="16">
        <f t="shared" si="201"/>
        <v>1.4972504471684541E-11</v>
      </c>
      <c r="I879" s="16">
        <f t="shared" si="202"/>
        <v>66789093427.299614</v>
      </c>
      <c r="J879" s="16">
        <f t="shared" si="203"/>
        <v>-55090452152.806313</v>
      </c>
      <c r="K879" s="18">
        <f t="shared" si="204"/>
        <v>-37760099078.788376</v>
      </c>
      <c r="L879" s="17">
        <f t="shared" si="205"/>
        <v>20.787498151762197</v>
      </c>
      <c r="M879" s="16">
        <f t="shared" si="206"/>
        <v>1.6699922988207492E-11</v>
      </c>
      <c r="N879" s="16">
        <f t="shared" si="207"/>
        <v>89820773488.549149</v>
      </c>
      <c r="O879" s="16">
        <f t="shared" si="209"/>
        <v>-74087950146.908234</v>
      </c>
      <c r="P879" s="18">
        <f t="shared" si="208"/>
        <v>-50781364624.343178</v>
      </c>
    </row>
    <row r="880" spans="1:16" x14ac:dyDescent="0.4">
      <c r="A880" s="14">
        <v>0.86699999999999999</v>
      </c>
      <c r="B880" s="44">
        <f t="shared" si="210"/>
        <v>5.4475216613247008</v>
      </c>
      <c r="C880" s="40">
        <f t="shared" si="196"/>
        <v>6.7613725787538322E-12</v>
      </c>
      <c r="D880" s="15">
        <f t="shared" si="197"/>
        <v>147898964056.83755</v>
      </c>
      <c r="E880" s="15">
        <f t="shared" si="198"/>
        <v>99193701977.643661</v>
      </c>
      <c r="F880" s="29">
        <f t="shared" si="199"/>
        <v>-109702839785.74182</v>
      </c>
      <c r="G880" s="17">
        <f t="shared" si="200"/>
        <v>22.618109937820158</v>
      </c>
      <c r="H880" s="16">
        <f t="shared" si="201"/>
        <v>1.5028225389291438E-11</v>
      </c>
      <c r="I880" s="16">
        <f t="shared" si="202"/>
        <v>66541456099.837532</v>
      </c>
      <c r="J880" s="16">
        <f t="shared" si="203"/>
        <v>-53886200894.467957</v>
      </c>
      <c r="K880" s="18">
        <f t="shared" si="204"/>
        <v>-39038989908.137314</v>
      </c>
      <c r="L880" s="17">
        <f t="shared" si="205"/>
        <v>20.811502191198411</v>
      </c>
      <c r="M880" s="16">
        <f t="shared" si="206"/>
        <v>1.6617243930433314E-11</v>
      </c>
      <c r="N880" s="16">
        <f t="shared" si="207"/>
        <v>90267676534.064438</v>
      </c>
      <c r="O880" s="16">
        <f t="shared" si="209"/>
        <v>-73100025714.696136</v>
      </c>
      <c r="P880" s="18">
        <f t="shared" si="208"/>
        <v>-52958848810.838524</v>
      </c>
    </row>
    <row r="881" spans="1:16" x14ac:dyDescent="0.4">
      <c r="A881" s="14">
        <v>0.86799999999999999</v>
      </c>
      <c r="B881" s="44">
        <f t="shared" si="210"/>
        <v>5.4538048466318809</v>
      </c>
      <c r="C881" s="40">
        <f t="shared" si="196"/>
        <v>6.7618918533910522E-12</v>
      </c>
      <c r="D881" s="15">
        <f t="shared" si="197"/>
        <v>147887606261.92291</v>
      </c>
      <c r="E881" s="15">
        <f t="shared" si="198"/>
        <v>99873352423.160782</v>
      </c>
      <c r="F881" s="29">
        <f t="shared" si="199"/>
        <v>-109069049512.86899</v>
      </c>
      <c r="G881" s="17">
        <f t="shared" si="200"/>
        <v>22.644197723215569</v>
      </c>
      <c r="H881" s="16">
        <f t="shared" si="201"/>
        <v>1.5085989691642553E-11</v>
      </c>
      <c r="I881" s="16">
        <f t="shared" si="202"/>
        <v>66286668653.498238</v>
      </c>
      <c r="J881" s="16">
        <f t="shared" si="203"/>
        <v>-52647178869.769798</v>
      </c>
      <c r="K881" s="18">
        <f t="shared" si="204"/>
        <v>-40276506777.936073</v>
      </c>
      <c r="L881" s="17">
        <f t="shared" si="205"/>
        <v>20.835506230634628</v>
      </c>
      <c r="M881" s="16">
        <f t="shared" si="206"/>
        <v>1.6535379342013699E-11</v>
      </c>
      <c r="N881" s="16">
        <f t="shared" si="207"/>
        <v>90714580474.652008</v>
      </c>
      <c r="O881" s="16">
        <f t="shared" si="209"/>
        <v>-72048676473.849136</v>
      </c>
      <c r="P881" s="18">
        <f t="shared" si="208"/>
        <v>-55119173878.594498</v>
      </c>
    </row>
    <row r="882" spans="1:16" x14ac:dyDescent="0.4">
      <c r="A882" s="14">
        <v>0.86899999999999999</v>
      </c>
      <c r="B882" s="44">
        <f t="shared" si="210"/>
        <v>5.4600880319390601</v>
      </c>
      <c r="C882" s="40">
        <f t="shared" si="196"/>
        <v>6.7624081489703162E-12</v>
      </c>
      <c r="D882" s="15">
        <f t="shared" si="197"/>
        <v>147876315355.53882</v>
      </c>
      <c r="E882" s="15">
        <f t="shared" si="198"/>
        <v>100549000259.02052</v>
      </c>
      <c r="F882" s="29">
        <f t="shared" si="199"/>
        <v>-108431098814.14214</v>
      </c>
      <c r="G882" s="17">
        <f t="shared" si="200"/>
        <v>22.670285508610977</v>
      </c>
      <c r="H882" s="16">
        <f t="shared" si="201"/>
        <v>1.5145758068169051E-11</v>
      </c>
      <c r="I882" s="16">
        <f t="shared" si="202"/>
        <v>66025087387.447525</v>
      </c>
      <c r="J882" s="16">
        <f t="shared" si="203"/>
        <v>-51375118748.512199</v>
      </c>
      <c r="K882" s="18">
        <f t="shared" si="204"/>
        <v>-41471789665.944641</v>
      </c>
      <c r="L882" s="17">
        <f t="shared" si="205"/>
        <v>20.859510270070842</v>
      </c>
      <c r="M882" s="16">
        <f t="shared" si="206"/>
        <v>1.6454376390561031E-11</v>
      </c>
      <c r="N882" s="16">
        <f t="shared" si="207"/>
        <v>91161157639.524246</v>
      </c>
      <c r="O882" s="16">
        <f t="shared" si="209"/>
        <v>-70933875051.149017</v>
      </c>
      <c r="P882" s="18">
        <f t="shared" si="208"/>
        <v>-57260300666.396851</v>
      </c>
    </row>
    <row r="883" spans="1:16" x14ac:dyDescent="0.4">
      <c r="A883" s="14">
        <v>0.87</v>
      </c>
      <c r="B883" s="44">
        <f t="shared" si="210"/>
        <v>5.4663712172462402</v>
      </c>
      <c r="C883" s="40">
        <f t="shared" si="196"/>
        <v>6.7629214451091557E-12</v>
      </c>
      <c r="D883" s="15">
        <f t="shared" si="197"/>
        <v>147865091753.0892</v>
      </c>
      <c r="E883" s="15">
        <f t="shared" si="198"/>
        <v>101220620627.45721</v>
      </c>
      <c r="F883" s="29">
        <f t="shared" si="199"/>
        <v>-107789012978.79051</v>
      </c>
      <c r="G883" s="17">
        <f t="shared" si="200"/>
        <v>22.696373294006388</v>
      </c>
      <c r="H883" s="16">
        <f t="shared" si="201"/>
        <v>1.520748984446162E-11</v>
      </c>
      <c r="I883" s="16">
        <f t="shared" si="202"/>
        <v>65757071694.786476</v>
      </c>
      <c r="J883" s="16">
        <f t="shared" si="203"/>
        <v>-50071768246.189713</v>
      </c>
      <c r="K883" s="18">
        <f t="shared" si="204"/>
        <v>-42624060137.123917</v>
      </c>
      <c r="L883" s="17">
        <f t="shared" si="205"/>
        <v>20.883514309507056</v>
      </c>
      <c r="M883" s="16">
        <f t="shared" si="206"/>
        <v>1.6374281747241523E-11</v>
      </c>
      <c r="N883" s="16">
        <f t="shared" si="207"/>
        <v>91607071574.464386</v>
      </c>
      <c r="O883" s="16">
        <f t="shared" si="209"/>
        <v>-69755661853.056122</v>
      </c>
      <c r="P883" s="18">
        <f t="shared" si="208"/>
        <v>-59380158318.171654</v>
      </c>
    </row>
    <row r="884" spans="1:16" x14ac:dyDescent="0.4">
      <c r="A884" s="14">
        <v>0.871</v>
      </c>
      <c r="B884" s="44">
        <f t="shared" si="210"/>
        <v>5.4726544025534194</v>
      </c>
      <c r="C884" s="40">
        <f t="shared" si="196"/>
        <v>6.7634317215435222E-12</v>
      </c>
      <c r="D884" s="15">
        <f t="shared" si="197"/>
        <v>147853935867.30615</v>
      </c>
      <c r="E884" s="15">
        <f t="shared" si="198"/>
        <v>101888188830.57808</v>
      </c>
      <c r="F884" s="29">
        <f t="shared" si="199"/>
        <v>-107142817436.71829</v>
      </c>
      <c r="G884" s="17">
        <f t="shared" si="200"/>
        <v>22.7224610794018</v>
      </c>
      <c r="H884" s="16">
        <f t="shared" si="201"/>
        <v>1.5271143009950728E-11</v>
      </c>
      <c r="I884" s="16">
        <f t="shared" si="202"/>
        <v>65482983123.686073</v>
      </c>
      <c r="J884" s="16">
        <f t="shared" si="203"/>
        <v>-48738885558.322876</v>
      </c>
      <c r="K884" s="18">
        <f t="shared" si="204"/>
        <v>-43732620700.223999</v>
      </c>
      <c r="L884" s="17">
        <f t="shared" si="205"/>
        <v>20.907518348943274</v>
      </c>
      <c r="M884" s="16">
        <f t="shared" si="206"/>
        <v>1.6295141559884898E-11</v>
      </c>
      <c r="N884" s="16">
        <f t="shared" si="207"/>
        <v>92051977240.423264</v>
      </c>
      <c r="O884" s="16">
        <f t="shared" si="209"/>
        <v>-68514147800.262642</v>
      </c>
      <c r="P884" s="18">
        <f t="shared" si="208"/>
        <v>-61476646501.538849</v>
      </c>
    </row>
    <row r="885" spans="1:16" x14ac:dyDescent="0.4">
      <c r="A885" s="14">
        <v>0.872</v>
      </c>
      <c r="B885" s="44">
        <f t="shared" si="210"/>
        <v>5.4789375878605995</v>
      </c>
      <c r="C885" s="40">
        <f t="shared" si="196"/>
        <v>6.7639389581285724E-12</v>
      </c>
      <c r="D885" s="15">
        <f t="shared" si="197"/>
        <v>147842848108.23859</v>
      </c>
      <c r="E885" s="15">
        <f t="shared" si="198"/>
        <v>102551680331.0601</v>
      </c>
      <c r="F885" s="29">
        <f t="shared" si="199"/>
        <v>-106492537757.49626</v>
      </c>
      <c r="G885" s="17">
        <f t="shared" si="200"/>
        <v>22.748548864797211</v>
      </c>
      <c r="H885" s="16">
        <f t="shared" si="201"/>
        <v>1.533667424649626E-11</v>
      </c>
      <c r="I885" s="16">
        <f t="shared" si="202"/>
        <v>65203184466.701118</v>
      </c>
      <c r="J885" s="16">
        <f t="shared" si="203"/>
        <v>-47378234931.825073</v>
      </c>
      <c r="K885" s="18">
        <f t="shared" si="204"/>
        <v>-44796853900.061378</v>
      </c>
      <c r="L885" s="17">
        <f t="shared" si="205"/>
        <v>20.931522388379491</v>
      </c>
      <c r="M885" s="16">
        <f t="shared" si="206"/>
        <v>1.6217001426395602E-11</v>
      </c>
      <c r="N885" s="16">
        <f t="shared" si="207"/>
        <v>92495521247.135422</v>
      </c>
      <c r="O885" s="16">
        <f t="shared" si="209"/>
        <v>-67209517014.102303</v>
      </c>
      <c r="P885" s="18">
        <f t="shared" si="208"/>
        <v>-63547637827.93483</v>
      </c>
    </row>
    <row r="886" spans="1:16" x14ac:dyDescent="0.4">
      <c r="A886" s="14">
        <v>0.873</v>
      </c>
      <c r="B886" s="44">
        <f t="shared" si="210"/>
        <v>5.4852207731677787</v>
      </c>
      <c r="C886" s="40">
        <f t="shared" si="196"/>
        <v>6.7644431348394778E-12</v>
      </c>
      <c r="D886" s="15">
        <f t="shared" si="197"/>
        <v>147831828883.24042</v>
      </c>
      <c r="E886" s="15">
        <f t="shared" si="198"/>
        <v>103211070752.83887</v>
      </c>
      <c r="F886" s="29">
        <f t="shared" si="199"/>
        <v>-105838199649.35234</v>
      </c>
      <c r="G886" s="17">
        <f t="shared" si="200"/>
        <v>22.774636650192619</v>
      </c>
      <c r="H886" s="16">
        <f t="shared" si="201"/>
        <v>1.5404038957866995E-11</v>
      </c>
      <c r="I886" s="16">
        <f t="shared" si="202"/>
        <v>64918038881.568146</v>
      </c>
      <c r="J886" s="16">
        <f t="shared" si="203"/>
        <v>-45991582389.475258</v>
      </c>
      <c r="K886" s="18">
        <f t="shared" si="204"/>
        <v>-45816221161.733788</v>
      </c>
      <c r="L886" s="17">
        <f t="shared" si="205"/>
        <v>20.955526427815702</v>
      </c>
      <c r="M886" s="16">
        <f t="shared" si="206"/>
        <v>1.6139906368480815E-11</v>
      </c>
      <c r="N886" s="16">
        <f t="shared" si="207"/>
        <v>92937342122.957367</v>
      </c>
      <c r="O886" s="16">
        <f t="shared" si="209"/>
        <v>-65842029441.225677</v>
      </c>
      <c r="P886" s="18">
        <f t="shared" si="208"/>
        <v>-65590980477.047272</v>
      </c>
    </row>
    <row r="887" spans="1:16" x14ac:dyDescent="0.4">
      <c r="A887" s="14">
        <v>0.874</v>
      </c>
      <c r="B887" s="44">
        <f t="shared" si="210"/>
        <v>5.4915039584749588</v>
      </c>
      <c r="C887" s="40">
        <f t="shared" si="196"/>
        <v>6.7649442317722017E-12</v>
      </c>
      <c r="D887" s="15">
        <f t="shared" si="197"/>
        <v>147820878596.9595</v>
      </c>
      <c r="E887" s="15">
        <f t="shared" si="198"/>
        <v>103866335881.79297</v>
      </c>
      <c r="F887" s="29">
        <f t="shared" si="199"/>
        <v>-105179828958.15912</v>
      </c>
      <c r="G887" s="17">
        <f t="shared" si="200"/>
        <v>22.80072443558803</v>
      </c>
      <c r="H887" s="16">
        <f t="shared" si="201"/>
        <v>1.5473191300089862E-11</v>
      </c>
      <c r="I887" s="16">
        <f t="shared" si="202"/>
        <v>64627909046.41581</v>
      </c>
      <c r="J887" s="16">
        <f t="shared" si="203"/>
        <v>-44580691621.736671</v>
      </c>
      <c r="K887" s="18">
        <f t="shared" si="204"/>
        <v>-46790261403.837151</v>
      </c>
      <c r="L887" s="17">
        <f t="shared" si="205"/>
        <v>20.979530467251919</v>
      </c>
      <c r="M887" s="16">
        <f t="shared" si="206"/>
        <v>1.6063900805710377E-11</v>
      </c>
      <c r="N887" s="16">
        <f t="shared" si="207"/>
        <v>93377070622.023621</v>
      </c>
      <c r="O887" s="16">
        <f t="shared" si="209"/>
        <v>-64412023402.332664</v>
      </c>
      <c r="P887" s="18">
        <f t="shared" si="208"/>
        <v>-67604501027.429657</v>
      </c>
    </row>
    <row r="888" spans="1:16" x14ac:dyDescent="0.4">
      <c r="A888" s="14">
        <v>0.875</v>
      </c>
      <c r="B888" s="44">
        <f t="shared" si="210"/>
        <v>5.497787143782138</v>
      </c>
      <c r="C888" s="40">
        <f t="shared" si="196"/>
        <v>6.7654422291442964E-12</v>
      </c>
      <c r="D888" s="15">
        <f t="shared" si="197"/>
        <v>147809997651.32596</v>
      </c>
      <c r="E888" s="15">
        <f t="shared" si="198"/>
        <v>104517451666.42023</v>
      </c>
      <c r="F888" s="29">
        <f t="shared" si="199"/>
        <v>-104517451666.42027</v>
      </c>
      <c r="G888" s="17">
        <f t="shared" si="200"/>
        <v>22.826812220983438</v>
      </c>
      <c r="H888" s="16">
        <f t="shared" si="201"/>
        <v>1.5544084212648281E-11</v>
      </c>
      <c r="I888" s="16">
        <f t="shared" si="202"/>
        <v>64333156351.938454</v>
      </c>
      <c r="J888" s="16">
        <f t="shared" si="203"/>
        <v>-43147320058.326775</v>
      </c>
      <c r="K888" s="18">
        <f t="shared" si="204"/>
        <v>-47718589438.365334</v>
      </c>
      <c r="L888" s="17">
        <f t="shared" si="205"/>
        <v>21.003534506688133</v>
      </c>
      <c r="M888" s="16">
        <f t="shared" si="206"/>
        <v>1.5989028529923878E-11</v>
      </c>
      <c r="N888" s="16">
        <f t="shared" si="207"/>
        <v>93814330069.69194</v>
      </c>
      <c r="O888" s="16">
        <f t="shared" si="209"/>
        <v>-62919918050.197456</v>
      </c>
      <c r="P888" s="18">
        <f t="shared" si="208"/>
        <v>-69586007494.190536</v>
      </c>
    </row>
    <row r="889" spans="1:16" x14ac:dyDescent="0.4">
      <c r="A889" s="14">
        <v>0.876</v>
      </c>
      <c r="B889" s="44">
        <f t="shared" si="210"/>
        <v>5.5040703290893171</v>
      </c>
      <c r="C889" s="40">
        <f t="shared" si="196"/>
        <v>6.7659371072956806E-12</v>
      </c>
      <c r="D889" s="15">
        <f t="shared" si="197"/>
        <v>147799186445.5412</v>
      </c>
      <c r="E889" s="15">
        <f t="shared" si="198"/>
        <v>105164394218.50952</v>
      </c>
      <c r="F889" s="29">
        <f t="shared" si="199"/>
        <v>-103851093892.25407</v>
      </c>
      <c r="G889" s="17">
        <f t="shared" si="200"/>
        <v>22.852900006378846</v>
      </c>
      <c r="H889" s="16">
        <f t="shared" si="201"/>
        <v>1.5616669450508482E-11</v>
      </c>
      <c r="I889" s="16">
        <f t="shared" si="202"/>
        <v>64034140132.705429</v>
      </c>
      <c r="J889" s="16">
        <f t="shared" si="203"/>
        <v>-41693215130.102264</v>
      </c>
      <c r="K889" s="18">
        <f t="shared" si="204"/>
        <v>-48600894175.415817</v>
      </c>
      <c r="L889" s="17">
        <f t="shared" si="205"/>
        <v>21.027538546124347</v>
      </c>
      <c r="M889" s="16">
        <f t="shared" si="206"/>
        <v>1.5915332679999166E-11</v>
      </c>
      <c r="N889" s="16">
        <f t="shared" si="207"/>
        <v>94248736747.115143</v>
      </c>
      <c r="O889" s="16">
        <f t="shared" si="209"/>
        <v>-61366215721.710587</v>
      </c>
      <c r="P889" s="18">
        <f t="shared" si="208"/>
        <v>-71533292573.62262</v>
      </c>
    </row>
    <row r="890" spans="1:16" x14ac:dyDescent="0.4">
      <c r="A890" s="14">
        <v>0.877</v>
      </c>
      <c r="B890" s="44">
        <f t="shared" si="210"/>
        <v>5.5103535143964972</v>
      </c>
      <c r="C890" s="40">
        <f t="shared" si="196"/>
        <v>6.7664288466894087E-12</v>
      </c>
      <c r="D890" s="15">
        <f t="shared" si="197"/>
        <v>147788445376.06674</v>
      </c>
      <c r="E890" s="15">
        <f t="shared" si="198"/>
        <v>105807139813.80522</v>
      </c>
      <c r="F890" s="29">
        <f t="shared" si="199"/>
        <v>-103180781888.3756</v>
      </c>
      <c r="G890" s="17">
        <f t="shared" si="200"/>
        <v>22.878987791774257</v>
      </c>
      <c r="H890" s="16">
        <f t="shared" si="201"/>
        <v>1.5690897616951885E-11</v>
      </c>
      <c r="I890" s="16">
        <f t="shared" si="202"/>
        <v>63731216939.407967</v>
      </c>
      <c r="J890" s="16">
        <f t="shared" si="203"/>
        <v>-40220110730.022636</v>
      </c>
      <c r="K890" s="18">
        <f t="shared" si="204"/>
        <v>-49436936651.076988</v>
      </c>
      <c r="L890" s="17">
        <f t="shared" si="205"/>
        <v>21.051542585560565</v>
      </c>
      <c r="M890" s="16">
        <f t="shared" si="206"/>
        <v>1.5842855716997218E-11</v>
      </c>
      <c r="N890" s="16">
        <f t="shared" si="207"/>
        <v>94679900315.617035</v>
      </c>
      <c r="O890" s="16">
        <f t="shared" si="209"/>
        <v>-59751504168.233398</v>
      </c>
      <c r="P890" s="18">
        <f t="shared" si="208"/>
        <v>-73444137093.499603</v>
      </c>
    </row>
    <row r="891" spans="1:16" x14ac:dyDescent="0.4">
      <c r="A891" s="14">
        <v>0.878</v>
      </c>
      <c r="B891" s="44">
        <f t="shared" si="210"/>
        <v>5.5166366997036764</v>
      </c>
      <c r="C891" s="40">
        <f t="shared" si="196"/>
        <v>6.766917427912455E-12</v>
      </c>
      <c r="D891" s="15">
        <f t="shared" si="197"/>
        <v>147777774836.61313</v>
      </c>
      <c r="E891" s="15">
        <f t="shared" si="198"/>
        <v>106445664892.66541</v>
      </c>
      <c r="F891" s="29">
        <f t="shared" si="199"/>
        <v>-102506542041.0771</v>
      </c>
      <c r="G891" s="17">
        <f t="shared" si="200"/>
        <v>22.905075577169665</v>
      </c>
      <c r="H891" s="16">
        <f t="shared" si="201"/>
        <v>1.5766718197191198E-11</v>
      </c>
      <c r="I891" s="16">
        <f t="shared" si="202"/>
        <v>63424739853.481209</v>
      </c>
      <c r="J891" s="16">
        <f t="shared" si="203"/>
        <v>-38729723880.181969</v>
      </c>
      <c r="K891" s="18">
        <f t="shared" si="204"/>
        <v>-50226547896.970093</v>
      </c>
      <c r="L891" s="17">
        <f t="shared" si="205"/>
        <v>21.075546624996775</v>
      </c>
      <c r="M891" s="16">
        <f t="shared" si="206"/>
        <v>1.5771639399697559E-11</v>
      </c>
      <c r="N891" s="16">
        <f t="shared" si="207"/>
        <v>95107424281.382217</v>
      </c>
      <c r="O891" s="16">
        <f t="shared" si="209"/>
        <v>-58076458648.19532</v>
      </c>
      <c r="P891" s="18">
        <f t="shared" si="208"/>
        <v>-75316313666.58429</v>
      </c>
    </row>
    <row r="892" spans="1:16" x14ac:dyDescent="0.4">
      <c r="A892" s="14">
        <v>0.879</v>
      </c>
      <c r="B892" s="44">
        <f t="shared" si="210"/>
        <v>5.5229198850108565</v>
      </c>
      <c r="C892" s="40">
        <f t="shared" si="196"/>
        <v>6.7674028316764668E-12</v>
      </c>
      <c r="D892" s="15">
        <f t="shared" si="197"/>
        <v>147767175218.12918</v>
      </c>
      <c r="E892" s="15">
        <f t="shared" si="198"/>
        <v>107079946060.7151</v>
      </c>
      <c r="F892" s="29">
        <f t="shared" si="199"/>
        <v>-101828400869.20563</v>
      </c>
      <c r="G892" s="17">
        <f t="shared" si="200"/>
        <v>22.931163362565076</v>
      </c>
      <c r="H892" s="16">
        <f t="shared" si="201"/>
        <v>1.5844079592747523E-11</v>
      </c>
      <c r="I892" s="16">
        <f t="shared" si="202"/>
        <v>63115057845.186569</v>
      </c>
      <c r="J892" s="16">
        <f t="shared" si="203"/>
        <v>-37223751610.186951</v>
      </c>
      <c r="K892" s="18">
        <f t="shared" si="204"/>
        <v>-50969626669.854584</v>
      </c>
      <c r="L892" s="17">
        <f t="shared" si="205"/>
        <v>21.099550664432993</v>
      </c>
      <c r="M892" s="16">
        <f t="shared" si="206"/>
        <v>1.5701724760538136E-11</v>
      </c>
      <c r="N892" s="16">
        <f t="shared" si="207"/>
        <v>95530906500.783127</v>
      </c>
      <c r="O892" s="16">
        <f t="shared" si="209"/>
        <v>-56341843865.589394</v>
      </c>
      <c r="P892" s="18">
        <f t="shared" si="208"/>
        <v>-77147590543.625626</v>
      </c>
    </row>
    <row r="893" spans="1:16" x14ac:dyDescent="0.4">
      <c r="A893" s="14">
        <v>0.88</v>
      </c>
      <c r="B893" s="44">
        <f t="shared" si="210"/>
        <v>5.5292030703180357</v>
      </c>
      <c r="C893" s="40">
        <f t="shared" si="196"/>
        <v>6.7678850388185345E-12</v>
      </c>
      <c r="D893" s="15">
        <f t="shared" si="197"/>
        <v>147756646908.79108</v>
      </c>
      <c r="E893" s="15">
        <f t="shared" si="198"/>
        <v>107709960089.49153</v>
      </c>
      <c r="F893" s="29">
        <f t="shared" si="199"/>
        <v>-101146385023.14009</v>
      </c>
      <c r="G893" s="17">
        <f t="shared" si="200"/>
        <v>22.957251147960484</v>
      </c>
      <c r="H893" s="16">
        <f t="shared" si="201"/>
        <v>1.5922929156564784E-11</v>
      </c>
      <c r="I893" s="16">
        <f t="shared" si="202"/>
        <v>62802515175.90374</v>
      </c>
      <c r="J893" s="16">
        <f t="shared" si="203"/>
        <v>-35703868050.524857</v>
      </c>
      <c r="K893" s="18">
        <f t="shared" si="204"/>
        <v>-51666137059.493141</v>
      </c>
      <c r="L893" s="17">
        <f t="shared" si="205"/>
        <v>21.123554703869207</v>
      </c>
      <c r="M893" s="16">
        <f t="shared" si="206"/>
        <v>1.5633152081973966E-11</v>
      </c>
      <c r="N893" s="16">
        <f t="shared" si="207"/>
        <v>95949939726.460983</v>
      </c>
      <c r="O893" s="16">
        <f t="shared" si="209"/>
        <v>-54548515737.850433</v>
      </c>
      <c r="P893" s="18">
        <f t="shared" si="208"/>
        <v>-78935735660.782822</v>
      </c>
    </row>
    <row r="894" spans="1:16" x14ac:dyDescent="0.4">
      <c r="A894" s="14">
        <v>0.88100000000000001</v>
      </c>
      <c r="B894" s="44">
        <f t="shared" si="210"/>
        <v>5.5354862556252158</v>
      </c>
      <c r="C894" s="40">
        <f t="shared" si="196"/>
        <v>6.768364030301947E-12</v>
      </c>
      <c r="D894" s="15">
        <f t="shared" si="197"/>
        <v>147746190293.9917</v>
      </c>
      <c r="E894" s="15">
        <f t="shared" si="198"/>
        <v>108335683917.08513</v>
      </c>
      <c r="F894" s="29">
        <f t="shared" si="199"/>
        <v>-100460521283.76514</v>
      </c>
      <c r="G894" s="17">
        <f t="shared" si="200"/>
        <v>22.983338933355896</v>
      </c>
      <c r="H894" s="16">
        <f t="shared" si="201"/>
        <v>1.600321322883792E-11</v>
      </c>
      <c r="I894" s="16">
        <f t="shared" si="202"/>
        <v>62487450845.058533</v>
      </c>
      <c r="J894" s="16">
        <f t="shared" si="203"/>
        <v>-34171721742.993801</v>
      </c>
      <c r="K894" s="18">
        <f t="shared" si="204"/>
        <v>-52316105992.638741</v>
      </c>
      <c r="L894" s="17">
        <f t="shared" si="205"/>
        <v>21.147558743305424</v>
      </c>
      <c r="M894" s="16">
        <f t="shared" si="206"/>
        <v>1.5565960873267619E-11</v>
      </c>
      <c r="N894" s="16">
        <f t="shared" si="207"/>
        <v>96364112194.065842</v>
      </c>
      <c r="O894" s="16">
        <f t="shared" si="209"/>
        <v>-52697422976.515236</v>
      </c>
      <c r="P894" s="18">
        <f t="shared" si="208"/>
        <v>-80678520875.04303</v>
      </c>
    </row>
    <row r="895" spans="1:16" x14ac:dyDescent="0.4">
      <c r="A895" s="14">
        <v>0.88200000000000001</v>
      </c>
      <c r="B895" s="44">
        <f t="shared" si="210"/>
        <v>5.541769440932395</v>
      </c>
      <c r="C895" s="40">
        <f t="shared" si="196"/>
        <v>6.768839787216941E-12</v>
      </c>
      <c r="D895" s="15">
        <f t="shared" si="197"/>
        <v>147735805756.32999</v>
      </c>
      <c r="E895" s="15">
        <f t="shared" si="198"/>
        <v>108957094648.77255</v>
      </c>
      <c r="F895" s="29">
        <f t="shared" si="199"/>
        <v>-99770836561.44458</v>
      </c>
      <c r="G895" s="17">
        <f t="shared" si="200"/>
        <v>23.009426718751303</v>
      </c>
      <c r="H895" s="16">
        <f t="shared" si="201"/>
        <v>1.6084877173530132E-11</v>
      </c>
      <c r="I895" s="16">
        <f t="shared" si="202"/>
        <v>62170198081.812958</v>
      </c>
      <c r="J895" s="16">
        <f t="shared" si="203"/>
        <v>-32628933168.810394</v>
      </c>
      <c r="K895" s="18">
        <f t="shared" si="204"/>
        <v>-52919620650.540993</v>
      </c>
      <c r="L895" s="17">
        <f t="shared" si="205"/>
        <v>21.171562782741635</v>
      </c>
      <c r="M895" s="16">
        <f t="shared" si="206"/>
        <v>1.5500189847725424E-11</v>
      </c>
      <c r="N895" s="16">
        <f t="shared" si="207"/>
        <v>96773008249.322678</v>
      </c>
      <c r="O895" s="16">
        <f t="shared" si="209"/>
        <v>-50789608464.117142</v>
      </c>
      <c r="P895" s="18">
        <f t="shared" si="208"/>
        <v>-82373726379.745346</v>
      </c>
    </row>
    <row r="896" spans="1:16" x14ac:dyDescent="0.4">
      <c r="A896" s="14">
        <v>0.88300000000000001</v>
      </c>
      <c r="B896" s="44">
        <f t="shared" si="210"/>
        <v>5.5480526262395751</v>
      </c>
      <c r="C896" s="40">
        <f t="shared" si="196"/>
        <v>6.7693122907814478E-12</v>
      </c>
      <c r="D896" s="15">
        <f t="shared" si="197"/>
        <v>147725493675.60059</v>
      </c>
      <c r="E896" s="15">
        <f t="shared" si="198"/>
        <v>109574169557.6454</v>
      </c>
      <c r="F896" s="29">
        <f t="shared" si="199"/>
        <v>-99077357894.991745</v>
      </c>
      <c r="G896" s="17">
        <f t="shared" si="200"/>
        <v>23.035514504146718</v>
      </c>
      <c r="H896" s="16">
        <f t="shared" si="201"/>
        <v>1.6167865415554643E-11</v>
      </c>
      <c r="I896" s="16">
        <f t="shared" si="202"/>
        <v>61851083881.359406</v>
      </c>
      <c r="J896" s="16">
        <f t="shared" si="203"/>
        <v>-31077092493.625175</v>
      </c>
      <c r="K896" s="18">
        <f t="shared" si="204"/>
        <v>-53476825816.811745</v>
      </c>
      <c r="L896" s="17">
        <f t="shared" si="205"/>
        <v>21.195566822177856</v>
      </c>
      <c r="M896" s="16">
        <f t="shared" si="206"/>
        <v>1.5435876900392024E-11</v>
      </c>
      <c r="N896" s="16">
        <f t="shared" si="207"/>
        <v>97176209014.850632</v>
      </c>
      <c r="O896" s="16">
        <f t="shared" si="209"/>
        <v>-48826210410.914322</v>
      </c>
      <c r="P896" s="18">
        <f t="shared" si="208"/>
        <v>-84019145290.862488</v>
      </c>
    </row>
    <row r="897" spans="1:16" x14ac:dyDescent="0.4">
      <c r="A897" s="14">
        <v>0.88400000000000001</v>
      </c>
      <c r="B897" s="44">
        <f t="shared" si="210"/>
        <v>5.5543358115467543</v>
      </c>
      <c r="C897" s="40">
        <f t="shared" si="196"/>
        <v>6.7697815223418352E-12</v>
      </c>
      <c r="D897" s="15">
        <f t="shared" si="197"/>
        <v>147715254428.78329</v>
      </c>
      <c r="E897" s="15">
        <f t="shared" si="198"/>
        <v>110186886085.23108</v>
      </c>
      <c r="F897" s="29">
        <f t="shared" si="199"/>
        <v>-98380112450.639587</v>
      </c>
      <c r="G897" s="17">
        <f t="shared" si="200"/>
        <v>23.061602289542126</v>
      </c>
      <c r="H897" s="16">
        <f t="shared" si="201"/>
        <v>1.6252121478595298E-11</v>
      </c>
      <c r="I897" s="16">
        <f t="shared" si="202"/>
        <v>61530428585.402863</v>
      </c>
      <c r="J897" s="16">
        <f t="shared" si="203"/>
        <v>-29517757527.422768</v>
      </c>
      <c r="K897" s="18">
        <f t="shared" si="204"/>
        <v>-53987921171.829155</v>
      </c>
      <c r="L897" s="17">
        <f t="shared" si="205"/>
        <v>21.21957086161407</v>
      </c>
      <c r="M897" s="16">
        <f t="shared" si="206"/>
        <v>1.5373059086216721E-11</v>
      </c>
      <c r="N897" s="16">
        <f t="shared" si="207"/>
        <v>97573293095.89917</v>
      </c>
      <c r="O897" s="16">
        <f t="shared" si="209"/>
        <v>-46808463275.358612</v>
      </c>
      <c r="P897" s="18">
        <f t="shared" si="208"/>
        <v>-85612588393.165924</v>
      </c>
    </row>
    <row r="898" spans="1:16" x14ac:dyDescent="0.4">
      <c r="A898" s="14">
        <v>0.88500000000000001</v>
      </c>
      <c r="B898" s="44">
        <f t="shared" si="210"/>
        <v>5.5606189968539335</v>
      </c>
      <c r="C898" s="40">
        <f t="shared" si="196"/>
        <v>6.7702474633736448E-12</v>
      </c>
      <c r="D898" s="15">
        <f t="shared" si="197"/>
        <v>147705088390.03287</v>
      </c>
      <c r="E898" s="15">
        <f t="shared" si="198"/>
        <v>110795221842.10907</v>
      </c>
      <c r="F898" s="29">
        <f t="shared" si="199"/>
        <v>-97679127521.007568</v>
      </c>
      <c r="G898" s="17">
        <f t="shared" si="200"/>
        <v>23.087690074937534</v>
      </c>
      <c r="H898" s="16">
        <f t="shared" si="201"/>
        <v>1.633758802354078E-11</v>
      </c>
      <c r="I898" s="16">
        <f t="shared" si="202"/>
        <v>61208545506.172829</v>
      </c>
      <c r="J898" s="16">
        <f t="shared" si="203"/>
        <v>-27952451896.106136</v>
      </c>
      <c r="K898" s="18">
        <f t="shared" si="204"/>
        <v>-54453158549.133789</v>
      </c>
      <c r="L898" s="17">
        <f t="shared" si="205"/>
        <v>21.243574901050284</v>
      </c>
      <c r="M898" s="16">
        <f t="shared" si="206"/>
        <v>1.531177259870349E-11</v>
      </c>
      <c r="N898" s="16">
        <f t="shared" si="207"/>
        <v>97963837323.904037</v>
      </c>
      <c r="O898" s="16">
        <f t="shared" si="209"/>
        <v>-44737698432.618958</v>
      </c>
      <c r="P898" s="18">
        <f t="shared" si="208"/>
        <v>-87151889033.895172</v>
      </c>
    </row>
    <row r="899" spans="1:16" x14ac:dyDescent="0.4">
      <c r="A899" s="14">
        <v>0.88600000000000001</v>
      </c>
      <c r="B899" s="44">
        <f t="shared" si="210"/>
        <v>5.5669021821611135</v>
      </c>
      <c r="C899" s="40">
        <f t="shared" si="196"/>
        <v>6.7707100954823224E-12</v>
      </c>
      <c r="D899" s="15">
        <f t="shared" si="197"/>
        <v>147694995930.66882</v>
      </c>
      <c r="E899" s="15">
        <f t="shared" si="198"/>
        <v>111399154608.52019</v>
      </c>
      <c r="F899" s="29">
        <f t="shared" si="199"/>
        <v>-96974430524.068024</v>
      </c>
      <c r="G899" s="17">
        <f t="shared" si="200"/>
        <v>23.113777860332945</v>
      </c>
      <c r="H899" s="16">
        <f t="shared" si="201"/>
        <v>1.6424206887505717E-11</v>
      </c>
      <c r="I899" s="16">
        <f t="shared" si="202"/>
        <v>60885740593.095161</v>
      </c>
      <c r="J899" s="16">
        <f t="shared" si="203"/>
        <v>-26382663420.533489</v>
      </c>
      <c r="K899" s="18">
        <f t="shared" si="204"/>
        <v>-54872839168.467674</v>
      </c>
      <c r="L899" s="17">
        <f t="shared" si="205"/>
        <v>21.267578940486498</v>
      </c>
      <c r="M899" s="16">
        <f t="shared" si="206"/>
        <v>1.5252052749057605E-11</v>
      </c>
      <c r="N899" s="16">
        <f t="shared" si="207"/>
        <v>98347417536.480927</v>
      </c>
      <c r="O899" s="16">
        <f t="shared" si="209"/>
        <v>-42615344576.06485</v>
      </c>
      <c r="P899" s="18">
        <f t="shared" si="208"/>
        <v>-88634908149.995712</v>
      </c>
    </row>
    <row r="900" spans="1:16" x14ac:dyDescent="0.4">
      <c r="A900" s="14">
        <v>0.88700000000000001</v>
      </c>
      <c r="B900" s="44">
        <f t="shared" si="210"/>
        <v>5.5731853674682927</v>
      </c>
      <c r="C900" s="40">
        <f t="shared" si="196"/>
        <v>6.7711694004039446E-12</v>
      </c>
      <c r="D900" s="15">
        <f t="shared" si="197"/>
        <v>147684977419.16534</v>
      </c>
      <c r="E900" s="15">
        <f t="shared" si="198"/>
        <v>111998662334.96982</v>
      </c>
      <c r="F900" s="29">
        <f t="shared" si="199"/>
        <v>-96266049002.110764</v>
      </c>
      <c r="G900" s="17">
        <f t="shared" si="200"/>
        <v>23.139865645728353</v>
      </c>
      <c r="H900" s="16">
        <f t="shared" si="201"/>
        <v>1.6511919123412493E-11</v>
      </c>
      <c r="I900" s="16">
        <f t="shared" si="202"/>
        <v>60562312141.057259</v>
      </c>
      <c r="J900" s="16">
        <f t="shared" si="203"/>
        <v>-24809842697.822693</v>
      </c>
      <c r="K900" s="18">
        <f t="shared" si="204"/>
        <v>-55247310859.263962</v>
      </c>
      <c r="L900" s="17">
        <f t="shared" si="205"/>
        <v>21.291582979922712</v>
      </c>
      <c r="M900" s="16">
        <f t="shared" si="206"/>
        <v>1.5193933945840476E-11</v>
      </c>
      <c r="N900" s="16">
        <f t="shared" si="207"/>
        <v>98723609392.197159</v>
      </c>
      <c r="O900" s="16">
        <f t="shared" si="209"/>
        <v>-40442927837.314629</v>
      </c>
      <c r="P900" s="18">
        <f t="shared" si="208"/>
        <v>-90059539413.484009</v>
      </c>
    </row>
    <row r="901" spans="1:16" x14ac:dyDescent="0.4">
      <c r="A901" s="14">
        <v>0.88800000000000001</v>
      </c>
      <c r="B901" s="44">
        <f t="shared" si="210"/>
        <v>5.5794685527754728</v>
      </c>
      <c r="C901" s="40">
        <f t="shared" si="196"/>
        <v>6.7716253600059386E-12</v>
      </c>
      <c r="D901" s="15">
        <f t="shared" si="197"/>
        <v>147675033221.14133</v>
      </c>
      <c r="E901" s="15">
        <f t="shared" si="198"/>
        <v>112593723142.82597</v>
      </c>
      <c r="F901" s="29">
        <f t="shared" si="199"/>
        <v>-95554010620.705231</v>
      </c>
      <c r="G901" s="17">
        <f t="shared" si="200"/>
        <v>23.165953431123764</v>
      </c>
      <c r="H901" s="16">
        <f t="shared" si="201"/>
        <v>1.6600665040106817E-11</v>
      </c>
      <c r="I901" s="16">
        <f t="shared" si="202"/>
        <v>60238550539.031029</v>
      </c>
      <c r="J901" s="16">
        <f t="shared" si="203"/>
        <v>-23235401878.914066</v>
      </c>
      <c r="K901" s="18">
        <f t="shared" si="204"/>
        <v>-55576965287.506943</v>
      </c>
      <c r="L901" s="17">
        <f t="shared" si="205"/>
        <v>21.315587019358929</v>
      </c>
      <c r="M901" s="16">
        <f t="shared" si="206"/>
        <v>1.5137449675144599E-11</v>
      </c>
      <c r="N901" s="16">
        <f t="shared" si="207"/>
        <v>99091989218.168701</v>
      </c>
      <c r="O901" s="16">
        <f t="shared" si="209"/>
        <v>-38222071611.323425</v>
      </c>
      <c r="P901" s="18">
        <f t="shared" si="208"/>
        <v>-91423714477.987198</v>
      </c>
    </row>
    <row r="902" spans="1:16" x14ac:dyDescent="0.4">
      <c r="A902" s="14">
        <v>0.88900000000000001</v>
      </c>
      <c r="B902" s="44">
        <f t="shared" si="210"/>
        <v>5.585751738082652</v>
      </c>
      <c r="C902" s="40">
        <f t="shared" si="196"/>
        <v>6.7720779562878033E-12</v>
      </c>
      <c r="D902" s="15">
        <f t="shared" si="197"/>
        <v>147665163699.35028</v>
      </c>
      <c r="E902" s="15">
        <f t="shared" si="198"/>
        <v>113184315324.90982</v>
      </c>
      <c r="F902" s="29">
        <f t="shared" si="199"/>
        <v>-94838343167.662415</v>
      </c>
      <c r="G902" s="17">
        <f t="shared" si="200"/>
        <v>23.192041216519172</v>
      </c>
      <c r="H902" s="16">
        <f t="shared" si="201"/>
        <v>1.6690384242979479E-11</v>
      </c>
      <c r="I902" s="16">
        <f t="shared" si="202"/>
        <v>59914738057.671303</v>
      </c>
      <c r="J902" s="16">
        <f t="shared" si="203"/>
        <v>-21660713635.669231</v>
      </c>
      <c r="K902" s="18">
        <f t="shared" si="204"/>
        <v>-55862235197.966248</v>
      </c>
      <c r="L902" s="17">
        <f t="shared" si="205"/>
        <v>21.339591058795143</v>
      </c>
      <c r="M902" s="16">
        <f t="shared" si="206"/>
        <v>1.508263248130004E-11</v>
      </c>
      <c r="N902" s="16">
        <f t="shared" si="207"/>
        <v>99452134888.239899</v>
      </c>
      <c r="O902" s="16">
        <f t="shared" si="209"/>
        <v>-35954496074.013893</v>
      </c>
      <c r="P902" s="18">
        <f t="shared" si="208"/>
        <v>-92725408308.038116</v>
      </c>
    </row>
    <row r="903" spans="1:16" x14ac:dyDescent="0.4">
      <c r="A903" s="14">
        <v>0.89</v>
      </c>
      <c r="B903" s="44">
        <f t="shared" si="210"/>
        <v>5.5920349233898321</v>
      </c>
      <c r="C903" s="40">
        <f t="shared" si="196"/>
        <v>6.7725271713818082E-12</v>
      </c>
      <c r="D903" s="15">
        <f t="shared" si="197"/>
        <v>147655369213.67102</v>
      </c>
      <c r="E903" s="15">
        <f t="shared" si="198"/>
        <v>113770417346.08211</v>
      </c>
      <c r="F903" s="29">
        <f t="shared" si="199"/>
        <v>-94119074551.994019</v>
      </c>
      <c r="G903" s="17">
        <f t="shared" si="200"/>
        <v>23.218129001914583</v>
      </c>
      <c r="H903" s="16">
        <f t="shared" si="201"/>
        <v>1.6781015675067026E-11</v>
      </c>
      <c r="I903" s="16">
        <f t="shared" si="202"/>
        <v>59591148674.378784</v>
      </c>
      <c r="J903" s="16">
        <f t="shared" si="203"/>
        <v>-20087110310.158382</v>
      </c>
      <c r="K903" s="18">
        <f t="shared" si="204"/>
        <v>-56103591682.881096</v>
      </c>
      <c r="L903" s="17">
        <f t="shared" si="205"/>
        <v>21.363595098231361</v>
      </c>
      <c r="M903" s="16">
        <f t="shared" si="206"/>
        <v>1.5029513948123419E-11</v>
      </c>
      <c r="N903" s="16">
        <f t="shared" si="207"/>
        <v>99803626729.212326</v>
      </c>
      <c r="O903" s="16">
        <f t="shared" si="209"/>
        <v>-33642017381.106617</v>
      </c>
      <c r="P903" s="18">
        <f t="shared" si="208"/>
        <v>-93962644571.304321</v>
      </c>
    </row>
    <row r="904" spans="1:16" x14ac:dyDescent="0.4">
      <c r="A904" s="14">
        <v>0.89100000000000001</v>
      </c>
      <c r="B904" s="44">
        <f t="shared" si="210"/>
        <v>5.5983181086970113</v>
      </c>
      <c r="C904" s="40">
        <f t="shared" si="196"/>
        <v>6.7729729875537147E-12</v>
      </c>
      <c r="D904" s="15">
        <f t="shared" si="197"/>
        <v>147645650121.09747</v>
      </c>
      <c r="E904" s="15">
        <f t="shared" si="198"/>
        <v>114352007843.82153</v>
      </c>
      <c r="F904" s="29">
        <f t="shared" si="199"/>
        <v>-93396232802.871185</v>
      </c>
      <c r="G904" s="17">
        <f t="shared" si="200"/>
        <v>23.244216787309991</v>
      </c>
      <c r="H904" s="16">
        <f t="shared" si="201"/>
        <v>1.6872497658603009E-11</v>
      </c>
      <c r="I904" s="16">
        <f t="shared" si="202"/>
        <v>59268047934.214203</v>
      </c>
      <c r="J904" s="16">
        <f t="shared" si="203"/>
        <v>-18515883238.291176</v>
      </c>
      <c r="K904" s="18">
        <f t="shared" si="204"/>
        <v>-56301541487.229996</v>
      </c>
      <c r="L904" s="17">
        <f t="shared" si="205"/>
        <v>21.387599137667571</v>
      </c>
      <c r="M904" s="16">
        <f t="shared" si="206"/>
        <v>1.4978124680720462E-11</v>
      </c>
      <c r="N904" s="16">
        <f t="shared" si="207"/>
        <v>100146048452.29854</v>
      </c>
      <c r="O904" s="16">
        <f t="shared" si="209"/>
        <v>-31286546538.148533</v>
      </c>
      <c r="P904" s="18">
        <f t="shared" si="208"/>
        <v>-95133501072.57901</v>
      </c>
    </row>
    <row r="905" spans="1:16" x14ac:dyDescent="0.4">
      <c r="A905" s="14">
        <v>0.89200000000000002</v>
      </c>
      <c r="B905" s="44">
        <f t="shared" si="210"/>
        <v>5.6046012940041914</v>
      </c>
      <c r="C905" s="40">
        <f t="shared" si="196"/>
        <v>6.7734153872034596E-12</v>
      </c>
      <c r="D905" s="15">
        <f t="shared" si="197"/>
        <v>147636006775.72943</v>
      </c>
      <c r="E905" s="15">
        <f t="shared" si="198"/>
        <v>114929065628.79901</v>
      </c>
      <c r="F905" s="29">
        <f t="shared" si="199"/>
        <v>-92669846068.580658</v>
      </c>
      <c r="G905" s="17">
        <f t="shared" si="200"/>
        <v>23.270304572705403</v>
      </c>
      <c r="H905" s="16">
        <f t="shared" si="201"/>
        <v>1.6964767936991896E-11</v>
      </c>
      <c r="I905" s="16">
        <f t="shared" si="202"/>
        <v>58945692844.962944</v>
      </c>
      <c r="J905" s="16">
        <f t="shared" si="203"/>
        <v>-16948282239.51993</v>
      </c>
      <c r="K905" s="18">
        <f t="shared" si="204"/>
        <v>-56456624359.788719</v>
      </c>
      <c r="L905" s="17">
        <f t="shared" si="205"/>
        <v>21.411603177103789</v>
      </c>
      <c r="M905" s="16">
        <f t="shared" si="206"/>
        <v>1.4928494287852275E-11</v>
      </c>
      <c r="N905" s="16">
        <f t="shared" si="207"/>
        <v>100478988106.69681</v>
      </c>
      <c r="O905" s="16">
        <f t="shared" si="209"/>
        <v>-28890087933.187893</v>
      </c>
      <c r="P905" s="18">
        <f t="shared" si="208"/>
        <v>-96236115207.121643</v>
      </c>
    </row>
    <row r="906" spans="1:16" x14ac:dyDescent="0.4">
      <c r="A906" s="14">
        <v>0.89300000000000002</v>
      </c>
      <c r="B906" s="44">
        <f t="shared" si="210"/>
        <v>5.6108844793113706</v>
      </c>
      <c r="C906" s="40">
        <f t="shared" si="196"/>
        <v>6.7738543528658657E-12</v>
      </c>
      <c r="D906" s="15">
        <f t="shared" si="197"/>
        <v>147626439528.76288</v>
      </c>
      <c r="E906" s="15">
        <f t="shared" si="198"/>
        <v>115501569685.44444</v>
      </c>
      <c r="F906" s="29">
        <f t="shared" si="199"/>
        <v>-91939942615.48082</v>
      </c>
      <c r="G906" s="17">
        <f t="shared" si="200"/>
        <v>23.29639235810081</v>
      </c>
      <c r="H906" s="16">
        <f t="shared" si="201"/>
        <v>1.7057763717176692E-11</v>
      </c>
      <c r="I906" s="16">
        <f t="shared" si="202"/>
        <v>58624331804.586311</v>
      </c>
      <c r="J906" s="16">
        <f t="shared" si="203"/>
        <v>-15385515264.037455</v>
      </c>
      <c r="K906" s="18">
        <f t="shared" si="204"/>
        <v>-56569410458.252968</v>
      </c>
      <c r="L906" s="17">
        <f t="shared" si="205"/>
        <v>21.435607216540003</v>
      </c>
      <c r="M906" s="16">
        <f t="shared" si="206"/>
        <v>1.4880651364875894E-11</v>
      </c>
      <c r="N906" s="16">
        <f t="shared" si="207"/>
        <v>100802039051.90477</v>
      </c>
      <c r="O906" s="16">
        <f t="shared" si="209"/>
        <v>-26454737525.176376</v>
      </c>
      <c r="P906" s="18">
        <f t="shared" si="208"/>
        <v>-97268689409.777481</v>
      </c>
    </row>
    <row r="907" spans="1:16" x14ac:dyDescent="0.4">
      <c r="A907" s="14">
        <v>0.89400000000000002</v>
      </c>
      <c r="B907" s="44">
        <f t="shared" si="210"/>
        <v>5.6171676646185498</v>
      </c>
      <c r="C907" s="40">
        <f t="shared" si="196"/>
        <v>6.7742898672113176E-12</v>
      </c>
      <c r="D907" s="15">
        <f t="shared" si="197"/>
        <v>147616948728.4808</v>
      </c>
      <c r="E907" s="15">
        <f t="shared" si="198"/>
        <v>116069499172.50879</v>
      </c>
      <c r="F907" s="29">
        <f t="shared" si="199"/>
        <v>-91206550826.954941</v>
      </c>
      <c r="G907" s="17">
        <f t="shared" si="200"/>
        <v>23.322480143496218</v>
      </c>
      <c r="H907" s="16">
        <f t="shared" si="201"/>
        <v>1.715142171237183E-11</v>
      </c>
      <c r="I907" s="16">
        <f t="shared" si="202"/>
        <v>58304204559.244804</v>
      </c>
      <c r="J907" s="16">
        <f t="shared" si="203"/>
        <v>-13828748188.64592</v>
      </c>
      <c r="K907" s="18">
        <f t="shared" si="204"/>
        <v>-56640497815.796822</v>
      </c>
      <c r="L907" s="17">
        <f t="shared" si="205"/>
        <v>21.459611255976217</v>
      </c>
      <c r="M907" s="16">
        <f t="shared" si="206"/>
        <v>1.48346234772685E-11</v>
      </c>
      <c r="N907" s="16">
        <f t="shared" si="207"/>
        <v>101114800945.13292</v>
      </c>
      <c r="O907" s="16">
        <f t="shared" si="209"/>
        <v>-23982680682.907703</v>
      </c>
      <c r="P907" s="18">
        <f t="shared" si="208"/>
        <v>-98229496575.293198</v>
      </c>
    </row>
    <row r="908" spans="1:16" x14ac:dyDescent="0.4">
      <c r="A908" s="14">
        <v>0.89500000000000002</v>
      </c>
      <c r="B908" s="44">
        <f t="shared" si="210"/>
        <v>5.6234508499257299</v>
      </c>
      <c r="C908" s="40">
        <f t="shared" si="196"/>
        <v>6.7747219130464565E-12</v>
      </c>
      <c r="D908" s="15">
        <f t="shared" si="197"/>
        <v>147607534720.24359</v>
      </c>
      <c r="E908" s="15">
        <f t="shared" si="198"/>
        <v>116632833423.61922</v>
      </c>
      <c r="F908" s="29">
        <f t="shared" si="199"/>
        <v>-90469699202.363922</v>
      </c>
      <c r="G908" s="17">
        <f t="shared" si="200"/>
        <v>23.348567928891629</v>
      </c>
      <c r="H908" s="16">
        <f t="shared" si="201"/>
        <v>1.7245678185131963E-11</v>
      </c>
      <c r="I908" s="16">
        <f t="shared" si="202"/>
        <v>57985542190.050323</v>
      </c>
      <c r="J908" s="16">
        <f t="shared" si="203"/>
        <v>-12279104752.333618</v>
      </c>
      <c r="K908" s="18">
        <f t="shared" si="204"/>
        <v>-56670509875.554535</v>
      </c>
      <c r="L908" s="17">
        <f t="shared" si="205"/>
        <v>21.483615295412431</v>
      </c>
      <c r="M908" s="16">
        <f t="shared" si="206"/>
        <v>1.479043714474517E-11</v>
      </c>
      <c r="N908" s="16">
        <f t="shared" si="207"/>
        <v>101416880739.9265</v>
      </c>
      <c r="O908" s="16">
        <f t="shared" si="209"/>
        <v>-21476189671.192974</v>
      </c>
      <c r="P908" s="18">
        <f t="shared" si="208"/>
        <v>-99116885424.34845</v>
      </c>
    </row>
    <row r="909" spans="1:16" x14ac:dyDescent="0.4">
      <c r="A909" s="14">
        <v>0.89600000000000002</v>
      </c>
      <c r="B909" s="44">
        <f t="shared" si="210"/>
        <v>5.6297340352329091</v>
      </c>
      <c r="C909" s="40">
        <f t="shared" ref="C909:C972" si="211">((semiejeMayorTierra*(1-(excentricidadTierra^2)))^-1)*(1+excentricidadTierra*COS(Φ))</f>
        <v>6.7751504733148531E-12</v>
      </c>
      <c r="D909" s="15">
        <f t="shared" ref="D909:D972" si="212">1/u0Tierra</f>
        <v>147598197846.48026</v>
      </c>
      <c r="E909" s="15">
        <f t="shared" ref="E909:E972" si="213">r0Tierra*COS(Φ)</f>
        <v>117191551947.82889</v>
      </c>
      <c r="F909" s="29">
        <f t="shared" ref="F909:F972" si="214">r0Tierra*SIN(Φ)</f>
        <v>-89729416355.998047</v>
      </c>
      <c r="G909" s="17">
        <f t="shared" ref="G909:G972" si="215">Φ*relaciónOrbitas</f>
        <v>23.374655714287041</v>
      </c>
      <c r="H909" s="16">
        <f t="shared" ref="H909:H972" si="216">((semiejeMayorMercurio*(1-(excentricidadMercurio^2)))^-1)*(1+excentricidadMercurio*COS(ΦMercurio))</f>
        <v>1.7340468990727403E-11</v>
      </c>
      <c r="I909" s="16">
        <f t="shared" ref="I909:I972" si="217">1/u0Mercurio</f>
        <v>57668567126.687134</v>
      </c>
      <c r="J909" s="16">
        <f t="shared" ref="J909:J972" si="218">r0Mercurio*COS(ΦMercurio)</f>
        <v>-10737666622.512671</v>
      </c>
      <c r="K909" s="18">
        <f t="shared" ref="K909:K972" si="219">r0Mercurio*SIN(ΦMercurio)</f>
        <v>-56660093098.661575</v>
      </c>
      <c r="L909" s="17">
        <f t="shared" ref="L909:L972" si="220">ΦMercurio*(1-(simulaciónÁngulo*((3/2)*rsSol*((semiejeMayorMercurio*(1-(excentricidadMercurio^2)))^-1))))</f>
        <v>21.507619334848648</v>
      </c>
      <c r="M909" s="16">
        <f t="shared" ref="M909:M972" si="221">((semiejeMayorMercurio*(1-(excentricidadMercurio^2)))^-1)*(1+excentricidadMercurio*COS(ΦLPMercurio))</f>
        <v>1.4748117825979119E-11</v>
      </c>
      <c r="N909" s="16">
        <f t="shared" ref="N909:N972" si="222">1*simulaciónRadio/uMercurio</f>
        <v>101707893691.87968</v>
      </c>
      <c r="O909" s="16">
        <f t="shared" si="209"/>
        <v>-18937620782.951145</v>
      </c>
      <c r="P909" s="18">
        <f t="shared" ref="P909:P972" si="223">rMercurio*SIN(ΦMercurio)</f>
        <v>-99929285789.101059</v>
      </c>
    </row>
    <row r="910" spans="1:16" x14ac:dyDescent="0.4">
      <c r="A910" s="14">
        <v>0.89700000000000002</v>
      </c>
      <c r="B910" s="44">
        <f t="shared" si="210"/>
        <v>5.6360172205400891</v>
      </c>
      <c r="C910" s="40">
        <f t="shared" si="211"/>
        <v>6.775575531097679E-12</v>
      </c>
      <c r="D910" s="15">
        <f t="shared" si="212"/>
        <v>147588938446.67905</v>
      </c>
      <c r="E910" s="15">
        <f t="shared" si="213"/>
        <v>117745634430.16096</v>
      </c>
      <c r="F910" s="29">
        <f t="shared" si="214"/>
        <v>-88985731016.025879</v>
      </c>
      <c r="G910" s="17">
        <f t="shared" si="215"/>
        <v>23.400743499682452</v>
      </c>
      <c r="H910" s="16">
        <f t="shared" si="216"/>
        <v>1.7435729620796849E-11</v>
      </c>
      <c r="I910" s="16">
        <f t="shared" si="217"/>
        <v>57353493186.039551</v>
      </c>
      <c r="J910" s="16">
        <f t="shared" si="218"/>
        <v>-9205473582.8644772</v>
      </c>
      <c r="K910" s="18">
        <f t="shared" si="219"/>
        <v>-56609914650.671127</v>
      </c>
      <c r="L910" s="17">
        <f t="shared" si="220"/>
        <v>21.531623374284866</v>
      </c>
      <c r="M910" s="16">
        <f t="shared" si="221"/>
        <v>1.4707689903933258E-11</v>
      </c>
      <c r="N910" s="16">
        <f t="shared" si="222"/>
        <v>101987464367.11703</v>
      </c>
      <c r="O910" s="16">
        <f t="shared" ref="O910:O973" si="224">rMercurio*COS(ΦMercurio)</f>
        <v>-16369411117.984919</v>
      </c>
      <c r="P910" s="18">
        <f t="shared" si="223"/>
        <v>-100665213791.47992</v>
      </c>
    </row>
    <row r="911" spans="1:16" x14ac:dyDescent="0.4">
      <c r="A911" s="14">
        <v>0.89800000000000002</v>
      </c>
      <c r="B911" s="44">
        <f t="shared" ref="B911:B974" si="225">A911*2*PI()</f>
        <v>5.6423004058472683</v>
      </c>
      <c r="C911" s="40">
        <f t="shared" si="211"/>
        <v>6.7759970696143831E-12</v>
      </c>
      <c r="D911" s="15">
        <f t="shared" si="212"/>
        <v>147579756857.37851</v>
      </c>
      <c r="E911" s="15">
        <f t="shared" si="213"/>
        <v>118295060732.14594</v>
      </c>
      <c r="F911" s="29">
        <f t="shared" si="214"/>
        <v>-88238672023.443695</v>
      </c>
      <c r="G911" s="17">
        <f t="shared" si="215"/>
        <v>23.42683128507786</v>
      </c>
      <c r="H911" s="16">
        <f t="shared" si="216"/>
        <v>1.7531395247247475E-11</v>
      </c>
      <c r="I911" s="16">
        <f t="shared" si="217"/>
        <v>57040525633.976875</v>
      </c>
      <c r="J911" s="16">
        <f t="shared" si="218"/>
        <v>-7683523833.797431</v>
      </c>
      <c r="K911" s="18">
        <f t="shared" si="219"/>
        <v>-56520660170.382301</v>
      </c>
      <c r="L911" s="17">
        <f t="shared" si="220"/>
        <v>21.55562741372108</v>
      </c>
      <c r="M911" s="16">
        <f t="shared" si="221"/>
        <v>1.4669176671811548E-11</v>
      </c>
      <c r="N911" s="16">
        <f t="shared" si="222"/>
        <v>102255227649.03476</v>
      </c>
      <c r="O911" s="16">
        <f t="shared" si="224"/>
        <v>-13774075011.394014</v>
      </c>
      <c r="P911" s="18">
        <f t="shared" si="223"/>
        <v>-101323276887.08263</v>
      </c>
    </row>
    <row r="912" spans="1:16" x14ac:dyDescent="0.4">
      <c r="A912" s="14">
        <v>0.89900000000000002</v>
      </c>
      <c r="B912" s="44">
        <f t="shared" si="225"/>
        <v>5.6485835911544484</v>
      </c>
      <c r="C912" s="40">
        <f t="shared" si="211"/>
        <v>6.776415072223346E-12</v>
      </c>
      <c r="D912" s="15">
        <f t="shared" si="212"/>
        <v>147570653412.15872</v>
      </c>
      <c r="E912" s="15">
        <f t="shared" si="213"/>
        <v>118839810892.35432</v>
      </c>
      <c r="F912" s="29">
        <f t="shared" si="214"/>
        <v>-87488268331.022171</v>
      </c>
      <c r="G912" s="17">
        <f t="shared" si="215"/>
        <v>23.452919070473271</v>
      </c>
      <c r="H912" s="16">
        <f t="shared" si="216"/>
        <v>1.7627400766372711E-11</v>
      </c>
      <c r="I912" s="16">
        <f t="shared" si="217"/>
        <v>56729861268.467407</v>
      </c>
      <c r="J912" s="16">
        <f t="shared" si="218"/>
        <v>-6172774396.6272421</v>
      </c>
      <c r="K912" s="18">
        <f t="shared" si="219"/>
        <v>-56393031624.376266</v>
      </c>
      <c r="L912" s="17">
        <f t="shared" si="220"/>
        <v>21.579631453157294</v>
      </c>
      <c r="M912" s="16">
        <f t="shared" si="221"/>
        <v>1.4632600319638257E-11</v>
      </c>
      <c r="N912" s="16">
        <f t="shared" si="222"/>
        <v>102510829738.63954</v>
      </c>
      <c r="O912" s="16">
        <f t="shared" si="224"/>
        <v>-11154200116.815893</v>
      </c>
      <c r="P912" s="18">
        <f t="shared" si="223"/>
        <v>-101902178747.35736</v>
      </c>
    </row>
    <row r="913" spans="1:16" x14ac:dyDescent="0.4">
      <c r="A913" s="14">
        <v>0.9</v>
      </c>
      <c r="B913" s="44">
        <f t="shared" si="225"/>
        <v>5.6548667764616276</v>
      </c>
      <c r="C913" s="40">
        <f t="shared" si="211"/>
        <v>6.7768295224225392E-12</v>
      </c>
      <c r="D913" s="15">
        <f t="shared" si="212"/>
        <v>147561628441.63242</v>
      </c>
      <c r="E913" s="15">
        <f t="shared" si="213"/>
        <v>119379865126.9222</v>
      </c>
      <c r="F913" s="29">
        <f t="shared" si="214"/>
        <v>-86734549002.253128</v>
      </c>
      <c r="G913" s="17">
        <f t="shared" si="215"/>
        <v>23.479006855868679</v>
      </c>
      <c r="H913" s="16">
        <f t="shared" si="216"/>
        <v>1.7723680843157431E-11</v>
      </c>
      <c r="I913" s="16">
        <f t="shared" si="217"/>
        <v>56421688522.227554</v>
      </c>
      <c r="J913" s="16">
        <f t="shared" si="218"/>
        <v>-4674141612.7559757</v>
      </c>
      <c r="K913" s="18">
        <f t="shared" si="219"/>
        <v>-56227745249.860123</v>
      </c>
      <c r="L913" s="17">
        <f t="shared" si="220"/>
        <v>21.603635492593508</v>
      </c>
      <c r="M913" s="16">
        <f t="shared" si="221"/>
        <v>1.4597981921472802E-11</v>
      </c>
      <c r="N913" s="16">
        <f t="shared" si="222"/>
        <v>102753929143.69795</v>
      </c>
      <c r="O913" s="16">
        <f t="shared" si="224"/>
        <v>-8512443151.9898024</v>
      </c>
      <c r="P913" s="18">
        <f t="shared" si="223"/>
        <v>-102400723952.77408</v>
      </c>
    </row>
    <row r="914" spans="1:16" x14ac:dyDescent="0.4">
      <c r="A914" s="14">
        <v>0.90100000000000002</v>
      </c>
      <c r="B914" s="44">
        <f t="shared" si="225"/>
        <v>5.6611499617688077</v>
      </c>
      <c r="C914" s="40">
        <f t="shared" si="211"/>
        <v>6.7772404038501806E-12</v>
      </c>
      <c r="D914" s="15">
        <f t="shared" si="212"/>
        <v>147552682273.43619</v>
      </c>
      <c r="E914" s="15">
        <f t="shared" si="213"/>
        <v>119915203830.07204</v>
      </c>
      <c r="F914" s="29">
        <f t="shared" si="214"/>
        <v>-85977543210.293488</v>
      </c>
      <c r="G914" s="17">
        <f t="shared" si="215"/>
        <v>23.50509464126409</v>
      </c>
      <c r="H914" s="16">
        <f t="shared" si="216"/>
        <v>1.7820169955740752E-11</v>
      </c>
      <c r="I914" s="16">
        <f t="shared" si="217"/>
        <v>56116187583.152138</v>
      </c>
      <c r="J914" s="16">
        <f t="shared" si="218"/>
        <v>-3188501729.3201551</v>
      </c>
      <c r="K914" s="18">
        <f t="shared" si="219"/>
        <v>-56025529587.765976</v>
      </c>
      <c r="L914" s="17">
        <f t="shared" si="220"/>
        <v>21.627639532029725</v>
      </c>
      <c r="M914" s="16">
        <f t="shared" si="221"/>
        <v>1.4565341423267592E-11</v>
      </c>
      <c r="N914" s="16">
        <f t="shared" si="222"/>
        <v>102984197651.81787</v>
      </c>
      <c r="O914" s="16">
        <f t="shared" si="224"/>
        <v>-5851525316.4499655</v>
      </c>
      <c r="P914" s="18">
        <f t="shared" si="223"/>
        <v>-102817822469.93774</v>
      </c>
    </row>
    <row r="915" spans="1:16" x14ac:dyDescent="0.4">
      <c r="A915" s="14">
        <v>0.90200000000000002</v>
      </c>
      <c r="B915" s="44">
        <f t="shared" si="225"/>
        <v>5.6674331470759869</v>
      </c>
      <c r="C915" s="40">
        <f t="shared" si="211"/>
        <v>6.7776477002853747E-12</v>
      </c>
      <c r="D915" s="15">
        <f t="shared" si="212"/>
        <v>147543815232.22205</v>
      </c>
      <c r="E915" s="15">
        <f t="shared" si="213"/>
        <v>120445807574.62677</v>
      </c>
      <c r="F915" s="29">
        <f t="shared" si="214"/>
        <v>-85217280236.910049</v>
      </c>
      <c r="G915" s="17">
        <f t="shared" si="215"/>
        <v>23.531182426659498</v>
      </c>
      <c r="H915" s="16">
        <f t="shared" si="216"/>
        <v>1.7916802440005783E-11</v>
      </c>
      <c r="I915" s="16">
        <f t="shared" si="217"/>
        <v>55813530530.823738</v>
      </c>
      <c r="J915" s="16">
        <f t="shared" si="218"/>
        <v>-1716691563.0306356</v>
      </c>
      <c r="K915" s="18">
        <f t="shared" si="219"/>
        <v>-55787123607.447388</v>
      </c>
      <c r="L915" s="17">
        <f t="shared" si="220"/>
        <v>21.651643571465939</v>
      </c>
      <c r="M915" s="16">
        <f t="shared" si="221"/>
        <v>1.4534697631375863E-11</v>
      </c>
      <c r="N915" s="16">
        <f t="shared" si="222"/>
        <v>103201321282.52667</v>
      </c>
      <c r="O915" s="16">
        <f t="shared" si="224"/>
        <v>-3174227393.5078511</v>
      </c>
      <c r="P915" s="18">
        <f t="shared" si="223"/>
        <v>-103152493886.05977</v>
      </c>
    </row>
    <row r="916" spans="1:16" x14ac:dyDescent="0.4">
      <c r="A916" s="14">
        <v>0.90300000000000002</v>
      </c>
      <c r="B916" s="44">
        <f t="shared" si="225"/>
        <v>5.6737163323831661</v>
      </c>
      <c r="C916" s="40">
        <f t="shared" si="211"/>
        <v>6.7780513956487531E-12</v>
      </c>
      <c r="D916" s="15">
        <f t="shared" si="212"/>
        <v>147535027639.64896</v>
      </c>
      <c r="E916" s="15">
        <f t="shared" si="213"/>
        <v>120971657112.51903</v>
      </c>
      <c r="F916" s="29">
        <f t="shared" si="214"/>
        <v>-84453789471.421036</v>
      </c>
      <c r="G916" s="17">
        <f t="shared" si="215"/>
        <v>23.557270212054906</v>
      </c>
      <c r="H916" s="16">
        <f t="shared" si="216"/>
        <v>1.801351253426637E-11</v>
      </c>
      <c r="I916" s="16">
        <f t="shared" si="217"/>
        <v>55513881487.452309</v>
      </c>
      <c r="J916" s="16">
        <f t="shared" si="218"/>
        <v>-259509234.18649173</v>
      </c>
      <c r="K916" s="18">
        <f t="shared" si="219"/>
        <v>-55513274923.753799</v>
      </c>
      <c r="L916" s="17">
        <f t="shared" si="220"/>
        <v>21.675647610902153</v>
      </c>
      <c r="M916" s="16">
        <f t="shared" si="221"/>
        <v>1.4506068201716064E-11</v>
      </c>
      <c r="N916" s="16">
        <f t="shared" si="222"/>
        <v>103405001213.39223</v>
      </c>
      <c r="O916" s="16">
        <f t="shared" si="224"/>
        <v>-483384550.97948831</v>
      </c>
      <c r="P916" s="18">
        <f t="shared" si="223"/>
        <v>-103403871374.90318</v>
      </c>
    </row>
    <row r="917" spans="1:16" x14ac:dyDescent="0.4">
      <c r="A917" s="14">
        <v>0.90400000000000003</v>
      </c>
      <c r="B917" s="44">
        <f t="shared" si="225"/>
        <v>5.6799995176903462</v>
      </c>
      <c r="C917" s="40">
        <f t="shared" si="211"/>
        <v>6.7784514740031174E-12</v>
      </c>
      <c r="D917" s="15">
        <f t="shared" si="212"/>
        <v>147526319814.37418</v>
      </c>
      <c r="E917" s="15">
        <f t="shared" si="213"/>
        <v>121492733375.29372</v>
      </c>
      <c r="F917" s="29">
        <f t="shared" si="214"/>
        <v>-83687100409.637833</v>
      </c>
      <c r="G917" s="17">
        <f t="shared" si="215"/>
        <v>23.583357997450317</v>
      </c>
      <c r="H917" s="16">
        <f t="shared" si="216"/>
        <v>1.8110234424020132E-11</v>
      </c>
      <c r="I917" s="16">
        <f t="shared" si="217"/>
        <v>55217396781.660149</v>
      </c>
      <c r="J917" s="16">
        <f t="shared" si="218"/>
        <v>1182285036.8446484</v>
      </c>
      <c r="K917" s="18">
        <f t="shared" si="219"/>
        <v>-55204738106.750816</v>
      </c>
      <c r="L917" s="17">
        <f t="shared" si="220"/>
        <v>21.699651650338367</v>
      </c>
      <c r="M917" s="16">
        <f t="shared" si="221"/>
        <v>1.4479469629599124E-11</v>
      </c>
      <c r="N917" s="16">
        <f t="shared" si="222"/>
        <v>103594954675.25137</v>
      </c>
      <c r="O917" s="16">
        <f t="shared" si="224"/>
        <v>2218119142.5856791</v>
      </c>
      <c r="P917" s="18">
        <f t="shared" si="223"/>
        <v>-103571205369.23708</v>
      </c>
    </row>
    <row r="918" spans="1:16" x14ac:dyDescent="0.4">
      <c r="A918" s="14">
        <v>0.90500000000000003</v>
      </c>
      <c r="B918" s="44">
        <f t="shared" si="225"/>
        <v>5.6862827029975254</v>
      </c>
      <c r="C918" s="40">
        <f t="shared" si="211"/>
        <v>6.7788479195540581E-12</v>
      </c>
      <c r="D918" s="15">
        <f t="shared" si="212"/>
        <v>147517692072.04523</v>
      </c>
      <c r="E918" s="15">
        <f t="shared" si="213"/>
        <v>122009017474.60512</v>
      </c>
      <c r="F918" s="29">
        <f t="shared" si="214"/>
        <v>-82917242652.805695</v>
      </c>
      <c r="G918" s="17">
        <f t="shared" si="215"/>
        <v>23.609445782845725</v>
      </c>
      <c r="H918" s="16">
        <f t="shared" si="216"/>
        <v>1.8206902286737402E-11</v>
      </c>
      <c r="I918" s="16">
        <f t="shared" si="217"/>
        <v>54924225123.591614</v>
      </c>
      <c r="J918" s="16">
        <f t="shared" si="218"/>
        <v>2607968078.0745378</v>
      </c>
      <c r="K918" s="18">
        <f t="shared" si="219"/>
        <v>-54862273083.884491</v>
      </c>
      <c r="L918" s="17">
        <f t="shared" si="220"/>
        <v>21.723655689774581</v>
      </c>
      <c r="M918" s="16">
        <f t="shared" si="221"/>
        <v>1.4454917240224413E-11</v>
      </c>
      <c r="N918" s="16">
        <f t="shared" si="222"/>
        <v>103770915811.67105</v>
      </c>
      <c r="O918" s="16">
        <f t="shared" si="224"/>
        <v>4927356467.2131186</v>
      </c>
      <c r="P918" s="18">
        <f t="shared" si="223"/>
        <v>-103653866915.99081</v>
      </c>
    </row>
    <row r="919" spans="1:16" x14ac:dyDescent="0.4">
      <c r="A919" s="14">
        <v>0.90600000000000003</v>
      </c>
      <c r="B919" s="44">
        <f t="shared" si="225"/>
        <v>5.6925658883047054</v>
      </c>
      <c r="C919" s="40">
        <f t="shared" si="211"/>
        <v>6.779240716650582E-12</v>
      </c>
      <c r="D919" s="15">
        <f t="shared" si="212"/>
        <v>147509144725.29156</v>
      </c>
      <c r="E919" s="15">
        <f t="shared" si="213"/>
        <v>122520490702.70882</v>
      </c>
      <c r="F919" s="29">
        <f t="shared" si="214"/>
        <v>-82144245906.542084</v>
      </c>
      <c r="G919" s="17">
        <f t="shared" si="215"/>
        <v>23.635533568241136</v>
      </c>
      <c r="H919" s="16">
        <f t="shared" si="216"/>
        <v>1.830345033665581E-11</v>
      </c>
      <c r="I919" s="16">
        <f t="shared" si="217"/>
        <v>54634507789.896194</v>
      </c>
      <c r="J919" s="16">
        <f t="shared" si="218"/>
        <v>4016852866.3283091</v>
      </c>
      <c r="K919" s="18">
        <f t="shared" si="219"/>
        <v>-54486643633.963158</v>
      </c>
      <c r="L919" s="17">
        <f t="shared" si="220"/>
        <v>21.747659729210799</v>
      </c>
      <c r="M919" s="16">
        <f t="shared" si="221"/>
        <v>1.4432425179849872E-11</v>
      </c>
      <c r="N919" s="16">
        <f t="shared" si="222"/>
        <v>103932636497.86703</v>
      </c>
      <c r="O919" s="16">
        <f t="shared" si="224"/>
        <v>7641363045.2569437</v>
      </c>
      <c r="P919" s="18">
        <f t="shared" si="223"/>
        <v>-103651350691.6738</v>
      </c>
    </row>
    <row r="920" spans="1:16" x14ac:dyDescent="0.4">
      <c r="A920" s="14">
        <v>0.90700000000000003</v>
      </c>
      <c r="B920" s="44">
        <f t="shared" si="225"/>
        <v>5.6988490736118846</v>
      </c>
      <c r="C920" s="40">
        <f t="shared" si="211"/>
        <v>6.7796298497857354E-12</v>
      </c>
      <c r="D920" s="15">
        <f t="shared" si="212"/>
        <v>147500678083.71634</v>
      </c>
      <c r="E920" s="15">
        <f t="shared" si="213"/>
        <v>123027134532.9467</v>
      </c>
      <c r="F920" s="29">
        <f t="shared" si="214"/>
        <v>-81368139979.775558</v>
      </c>
      <c r="G920" s="17">
        <f t="shared" si="215"/>
        <v>23.661621353636544</v>
      </c>
      <c r="H920" s="16">
        <f t="shared" si="216"/>
        <v>1.8399812869549609E-11</v>
      </c>
      <c r="I920" s="16">
        <f t="shared" si="217"/>
        <v>54348378817.206856</v>
      </c>
      <c r="J920" s="16">
        <f t="shared" si="218"/>
        <v>5408287586.366437</v>
      </c>
      <c r="K920" s="18">
        <f t="shared" si="219"/>
        <v>-54078615971.951187</v>
      </c>
      <c r="L920" s="17">
        <f t="shared" si="220"/>
        <v>21.771663768647013</v>
      </c>
      <c r="M920" s="16">
        <f t="shared" si="221"/>
        <v>1.441200640764144E-11</v>
      </c>
      <c r="N920" s="16">
        <f t="shared" si="222"/>
        <v>104079887114.44646</v>
      </c>
      <c r="O920" s="16">
        <f t="shared" si="224"/>
        <v>10357143556.474714</v>
      </c>
      <c r="P920" s="18">
        <f t="shared" si="223"/>
        <v>-103563277657.22023</v>
      </c>
    </row>
    <row r="921" spans="1:16" x14ac:dyDescent="0.4">
      <c r="A921" s="14">
        <v>0.90800000000000003</v>
      </c>
      <c r="B921" s="44">
        <f t="shared" si="225"/>
        <v>5.7051322589190647</v>
      </c>
      <c r="C921" s="40">
        <f t="shared" si="211"/>
        <v>6.7800153035972047E-12</v>
      </c>
      <c r="D921" s="15">
        <f t="shared" si="212"/>
        <v>147492292453.8887</v>
      </c>
      <c r="E921" s="15">
        <f t="shared" si="213"/>
        <v>123528930620.2278</v>
      </c>
      <c r="F921" s="29">
        <f t="shared" si="214"/>
        <v>-80588954783.682251</v>
      </c>
      <c r="G921" s="17">
        <f t="shared" si="215"/>
        <v>23.687709139031959</v>
      </c>
      <c r="H921" s="16">
        <f t="shared" si="216"/>
        <v>1.8495924307443734E-11</v>
      </c>
      <c r="I921" s="16">
        <f t="shared" si="217"/>
        <v>54065965202.806725</v>
      </c>
      <c r="J921" s="16">
        <f t="shared" si="218"/>
        <v>6781654655.0501108</v>
      </c>
      <c r="K921" s="18">
        <f t="shared" si="219"/>
        <v>-53638957423.226868</v>
      </c>
      <c r="L921" s="17">
        <f t="shared" si="220"/>
        <v>21.79566780808323</v>
      </c>
      <c r="M921" s="16">
        <f t="shared" si="221"/>
        <v>1.4393672688206381E-11</v>
      </c>
      <c r="N921" s="16">
        <f t="shared" si="222"/>
        <v>104212457271.52335</v>
      </c>
      <c r="O921" s="16">
        <f t="shared" si="224"/>
        <v>13071678149.434914</v>
      </c>
      <c r="P921" s="18">
        <f t="shared" si="223"/>
        <v>-103389397333.22108</v>
      </c>
    </row>
    <row r="922" spans="1:16" x14ac:dyDescent="0.4">
      <c r="A922" s="14">
        <v>0.90900000000000003</v>
      </c>
      <c r="B922" s="44">
        <f t="shared" si="225"/>
        <v>5.7114154442262439</v>
      </c>
      <c r="C922" s="40">
        <f t="shared" si="211"/>
        <v>6.7803970628679354E-12</v>
      </c>
      <c r="D922" s="15">
        <f t="shared" si="212"/>
        <v>147483988139.33551</v>
      </c>
      <c r="E922" s="15">
        <f t="shared" si="213"/>
        <v>124025860801.5016</v>
      </c>
      <c r="F922" s="29">
        <f t="shared" si="214"/>
        <v>-79806720330.622559</v>
      </c>
      <c r="G922" s="17">
        <f t="shared" si="215"/>
        <v>23.713796924427367</v>
      </c>
      <c r="H922" s="16">
        <f t="shared" si="216"/>
        <v>1.859171924324173E-11</v>
      </c>
      <c r="I922" s="16">
        <f t="shared" si="217"/>
        <v>53787387111.254364</v>
      </c>
      <c r="J922" s="16">
        <f t="shared" si="218"/>
        <v>8136369716.5296535</v>
      </c>
      <c r="K922" s="18">
        <f t="shared" si="219"/>
        <v>-53168435185.661346</v>
      </c>
      <c r="L922" s="17">
        <f t="shared" si="220"/>
        <v>21.819671847519444</v>
      </c>
      <c r="M922" s="16">
        <f t="shared" si="221"/>
        <v>1.4377434584814951E-11</v>
      </c>
      <c r="N922" s="16">
        <f t="shared" si="222"/>
        <v>104330156478.97704</v>
      </c>
      <c r="O922" s="16">
        <f t="shared" si="224"/>
        <v>15781929022.514894</v>
      </c>
      <c r="P922" s="18">
        <f t="shared" si="223"/>
        <v>-103129589678.50175</v>
      </c>
    </row>
    <row r="923" spans="1:16" x14ac:dyDescent="0.4">
      <c r="A923" s="14">
        <v>0.91</v>
      </c>
      <c r="B923" s="44">
        <f t="shared" si="225"/>
        <v>5.717698629533424</v>
      </c>
      <c r="C923" s="40">
        <f t="shared" si="211"/>
        <v>6.7807751125267268E-12</v>
      </c>
      <c r="D923" s="15">
        <f t="shared" si="212"/>
        <v>147475765440.53369</v>
      </c>
      <c r="E923" s="15">
        <f t="shared" si="213"/>
        <v>124517907096.22762</v>
      </c>
      <c r="F923" s="29">
        <f t="shared" si="214"/>
        <v>-79021466733.075394</v>
      </c>
      <c r="G923" s="17">
        <f t="shared" si="215"/>
        <v>23.739884709822778</v>
      </c>
      <c r="H923" s="16">
        <f t="shared" si="216"/>
        <v>1.8687132485237629E-11</v>
      </c>
      <c r="I923" s="16">
        <f t="shared" si="217"/>
        <v>53512758085.80986</v>
      </c>
      <c r="J923" s="16">
        <f t="shared" si="218"/>
        <v>9471880614.0878315</v>
      </c>
      <c r="K923" s="18">
        <f t="shared" si="219"/>
        <v>-52667815177.609901</v>
      </c>
      <c r="L923" s="17">
        <f t="shared" si="220"/>
        <v>21.843675886955662</v>
      </c>
      <c r="M923" s="16">
        <f t="shared" si="221"/>
        <v>1.4363301453314174E-11</v>
      </c>
      <c r="N923" s="16">
        <f t="shared" si="222"/>
        <v>104432814758.8862</v>
      </c>
      <c r="O923" s="16">
        <f t="shared" si="224"/>
        <v>18484847146.228897</v>
      </c>
      <c r="P923" s="18">
        <f t="shared" si="223"/>
        <v>-102783866557.18102</v>
      </c>
    </row>
    <row r="924" spans="1:16" x14ac:dyDescent="0.4">
      <c r="A924" s="14">
        <v>0.91100000000000003</v>
      </c>
      <c r="B924" s="44">
        <f t="shared" si="225"/>
        <v>5.7239818148406032</v>
      </c>
      <c r="C924" s="40">
        <f t="shared" si="211"/>
        <v>6.7811494376488228E-12</v>
      </c>
      <c r="D924" s="15">
        <f t="shared" si="212"/>
        <v>147467624654.90253</v>
      </c>
      <c r="E924" s="15">
        <f t="shared" si="213"/>
        <v>125005051706.83751</v>
      </c>
      <c r="F924" s="29">
        <f t="shared" si="214"/>
        <v>-78233224202.573288</v>
      </c>
      <c r="G924" s="17">
        <f t="shared" si="215"/>
        <v>23.765972495218186</v>
      </c>
      <c r="H924" s="16">
        <f t="shared" si="216"/>
        <v>1.8782099101481001E-11</v>
      </c>
      <c r="I924" s="16">
        <f t="shared" si="217"/>
        <v>53242185263.581551</v>
      </c>
      <c r="J924" s="16">
        <f t="shared" si="218"/>
        <v>10787666343.88862</v>
      </c>
      <c r="K924" s="18">
        <f t="shared" si="219"/>
        <v>-52137860969.687599</v>
      </c>
      <c r="L924" s="17">
        <f t="shared" si="220"/>
        <v>21.867679926391876</v>
      </c>
      <c r="M924" s="16">
        <f t="shared" si="221"/>
        <v>1.4351281436737334E-11</v>
      </c>
      <c r="N924" s="16">
        <f t="shared" si="222"/>
        <v>104520283196.46797</v>
      </c>
      <c r="O924" s="16">
        <f t="shared" si="224"/>
        <v>21177379097.237995</v>
      </c>
      <c r="P924" s="18">
        <f t="shared" si="223"/>
        <v>-102352372781.68852</v>
      </c>
    </row>
    <row r="925" spans="1:16" x14ac:dyDescent="0.4">
      <c r="A925" s="14">
        <v>0.91200000000000003</v>
      </c>
      <c r="B925" s="44">
        <f t="shared" si="225"/>
        <v>5.7302650001477833</v>
      </c>
      <c r="C925" s="40">
        <f t="shared" si="211"/>
        <v>6.7815200234565108E-12</v>
      </c>
      <c r="D925" s="15">
        <f t="shared" si="212"/>
        <v>147459566076.79593</v>
      </c>
      <c r="E925" s="15">
        <f t="shared" si="213"/>
        <v>125487277019.1931</v>
      </c>
      <c r="F925" s="29">
        <f t="shared" si="214"/>
        <v>-77442023048.634491</v>
      </c>
      <c r="G925" s="17">
        <f t="shared" si="215"/>
        <v>23.792060280613597</v>
      </c>
      <c r="H925" s="16">
        <f t="shared" si="216"/>
        <v>1.8876554463965455E-11</v>
      </c>
      <c r="I925" s="16">
        <f t="shared" si="217"/>
        <v>52975769593.384094</v>
      </c>
      <c r="J925" s="16">
        <f t="shared" si="218"/>
        <v>12083235995.541668</v>
      </c>
      <c r="K925" s="18">
        <f t="shared" si="219"/>
        <v>-51579332798.005104</v>
      </c>
      <c r="L925" s="17">
        <f t="shared" si="220"/>
        <v>21.89168396582809</v>
      </c>
      <c r="M925" s="16">
        <f t="shared" si="221"/>
        <v>1.4341381460612223E-11</v>
      </c>
      <c r="N925" s="16">
        <f t="shared" si="222"/>
        <v>104592434426.18575</v>
      </c>
      <c r="O925" s="16">
        <f t="shared" si="224"/>
        <v>23856473973.294601</v>
      </c>
      <c r="P925" s="18">
        <f t="shared" si="223"/>
        <v>-101835386721.69652</v>
      </c>
    </row>
    <row r="926" spans="1:16" x14ac:dyDescent="0.4">
      <c r="A926" s="14">
        <v>0.91300000000000003</v>
      </c>
      <c r="B926" s="44">
        <f t="shared" si="225"/>
        <v>5.7365481854549625</v>
      </c>
      <c r="C926" s="40">
        <f t="shared" si="211"/>
        <v>6.7818868553196955E-12</v>
      </c>
      <c r="D926" s="15">
        <f t="shared" si="212"/>
        <v>147451589997.49493</v>
      </c>
      <c r="E926" s="15">
        <f t="shared" si="213"/>
        <v>125964565603.03745</v>
      </c>
      <c r="F926" s="29">
        <f t="shared" si="214"/>
        <v>-76647893677.696198</v>
      </c>
      <c r="G926" s="17">
        <f t="shared" si="215"/>
        <v>23.818148066009005</v>
      </c>
      <c r="H926" s="16">
        <f t="shared" si="216"/>
        <v>1.8970434292610084E-11</v>
      </c>
      <c r="I926" s="16">
        <f t="shared" si="217"/>
        <v>52713606055.373711</v>
      </c>
      <c r="J926" s="16">
        <f t="shared" si="218"/>
        <v>13358127684.024254</v>
      </c>
      <c r="K926" s="18">
        <f t="shared" si="219"/>
        <v>-50992986656.386749</v>
      </c>
      <c r="L926" s="17">
        <f t="shared" si="220"/>
        <v>21.915688005264304</v>
      </c>
      <c r="M926" s="16">
        <f t="shared" si="221"/>
        <v>1.4333607228970893E-11</v>
      </c>
      <c r="N926" s="16">
        <f t="shared" si="222"/>
        <v>104649163050.05347</v>
      </c>
      <c r="O926" s="16">
        <f t="shared" si="224"/>
        <v>26519090357.438774</v>
      </c>
      <c r="P926" s="18">
        <f t="shared" si="223"/>
        <v>-101233320471.52594</v>
      </c>
    </row>
    <row r="927" spans="1:16" x14ac:dyDescent="0.4">
      <c r="A927" s="14">
        <v>0.91400000000000003</v>
      </c>
      <c r="B927" s="44">
        <f t="shared" si="225"/>
        <v>5.7428313707621417</v>
      </c>
      <c r="C927" s="40">
        <f t="shared" si="211"/>
        <v>6.7822499187564848E-12</v>
      </c>
      <c r="D927" s="15">
        <f t="shared" si="212"/>
        <v>147443696705.20023</v>
      </c>
      <c r="E927" s="15">
        <f t="shared" si="213"/>
        <v>126436900212.44135</v>
      </c>
      <c r="F927" s="29">
        <f t="shared" si="214"/>
        <v>-75850866592.04509</v>
      </c>
      <c r="G927" s="17">
        <f t="shared" si="215"/>
        <v>23.844235851404413</v>
      </c>
      <c r="H927" s="16">
        <f t="shared" si="216"/>
        <v>1.9063674699004341E-11</v>
      </c>
      <c r="I927" s="16">
        <f t="shared" si="217"/>
        <v>52455783881.594879</v>
      </c>
      <c r="J927" s="16">
        <f t="shared" si="218"/>
        <v>14611907477.170439</v>
      </c>
      <c r="K927" s="18">
        <f t="shared" si="219"/>
        <v>-50379573464.958992</v>
      </c>
      <c r="L927" s="17">
        <f t="shared" si="220"/>
        <v>21.939692044700518</v>
      </c>
      <c r="M927" s="16">
        <f t="shared" si="221"/>
        <v>1.4327963221063181E-11</v>
      </c>
      <c r="N927" s="16">
        <f t="shared" si="222"/>
        <v>104690385985.55916</v>
      </c>
      <c r="O927" s="16">
        <f t="shared" si="224"/>
        <v>29162203299.129135</v>
      </c>
      <c r="P927" s="18">
        <f t="shared" si="223"/>
        <v>-100546719571.28001</v>
      </c>
    </row>
    <row r="928" spans="1:16" x14ac:dyDescent="0.4">
      <c r="A928" s="14">
        <v>0.91500000000000004</v>
      </c>
      <c r="B928" s="44">
        <f t="shared" si="225"/>
        <v>5.7491145560693218</v>
      </c>
      <c r="C928" s="40">
        <f t="shared" si="211"/>
        <v>6.7826091994337555E-12</v>
      </c>
      <c r="D928" s="15">
        <f t="shared" si="212"/>
        <v>147435886485.02478</v>
      </c>
      <c r="E928" s="15">
        <f t="shared" si="213"/>
        <v>126904263786.24359</v>
      </c>
      <c r="F928" s="29">
        <f t="shared" si="214"/>
        <v>-75050972388.748032</v>
      </c>
      <c r="G928" s="17">
        <f t="shared" si="215"/>
        <v>23.870323636799824</v>
      </c>
      <c r="H928" s="16">
        <f t="shared" si="216"/>
        <v>1.9156212229886216E-11</v>
      </c>
      <c r="I928" s="16">
        <f t="shared" si="217"/>
        <v>52202386776.644089</v>
      </c>
      <c r="J928" s="16">
        <f t="shared" si="218"/>
        <v>15844168322.591759</v>
      </c>
      <c r="K928" s="18">
        <f t="shared" si="219"/>
        <v>-49739838312.400307</v>
      </c>
      <c r="L928" s="17">
        <f t="shared" si="220"/>
        <v>21.963696084136735</v>
      </c>
      <c r="M928" s="16">
        <f t="shared" si="221"/>
        <v>1.4324452688775919E-11</v>
      </c>
      <c r="N928" s="16">
        <f t="shared" si="222"/>
        <v>104716042741.04947</v>
      </c>
      <c r="O928" s="16">
        <f t="shared" si="224"/>
        <v>31782811279.564274</v>
      </c>
      <c r="P928" s="18">
        <f t="shared" si="223"/>
        <v>-99776262279.727142</v>
      </c>
    </row>
    <row r="929" spans="1:16" x14ac:dyDescent="0.4">
      <c r="A929" s="14">
        <v>0.91600000000000004</v>
      </c>
      <c r="B929" s="44">
        <f t="shared" si="225"/>
        <v>5.755397741376501</v>
      </c>
      <c r="C929" s="40">
        <f t="shared" si="211"/>
        <v>6.7829646831677206E-12</v>
      </c>
      <c r="D929" s="15">
        <f t="shared" si="212"/>
        <v>147428159618.98666</v>
      </c>
      <c r="E929" s="15">
        <f t="shared" si="213"/>
        <v>127366639448.4857</v>
      </c>
      <c r="F929" s="29">
        <f t="shared" si="214"/>
        <v>-74248241758.582077</v>
      </c>
      <c r="G929" s="17">
        <f t="shared" si="215"/>
        <v>23.896411422195232</v>
      </c>
      <c r="H929" s="16">
        <f t="shared" si="216"/>
        <v>1.9247983910324333E-11</v>
      </c>
      <c r="I929" s="16">
        <f t="shared" si="217"/>
        <v>51953493137.721031</v>
      </c>
      <c r="J929" s="16">
        <f t="shared" si="218"/>
        <v>17054528977.575808</v>
      </c>
      <c r="K929" s="18">
        <f t="shared" si="219"/>
        <v>-49074519769.064003</v>
      </c>
      <c r="L929" s="17">
        <f t="shared" si="220"/>
        <v>21.987700123572949</v>
      </c>
      <c r="M929" s="16">
        <f t="shared" si="221"/>
        <v>1.432307765475931E-11</v>
      </c>
      <c r="N929" s="16">
        <f t="shared" si="222"/>
        <v>104726095616.8576</v>
      </c>
      <c r="O929" s="16">
        <f t="shared" si="224"/>
        <v>34377943128.318764</v>
      </c>
      <c r="P929" s="18">
        <f t="shared" si="223"/>
        <v>-98922758399.759979</v>
      </c>
    </row>
    <row r="930" spans="1:16" x14ac:dyDescent="0.4">
      <c r="A930" s="14">
        <v>0.91700000000000004</v>
      </c>
      <c r="B930" s="44">
        <f t="shared" si="225"/>
        <v>5.761680926683681</v>
      </c>
      <c r="C930" s="40">
        <f t="shared" si="211"/>
        <v>6.783316355924491E-12</v>
      </c>
      <c r="D930" s="15">
        <f t="shared" si="212"/>
        <v>147420516386.00174</v>
      </c>
      <c r="E930" s="15">
        <f t="shared" si="213"/>
        <v>127824010508.84174</v>
      </c>
      <c r="F930" s="29">
        <f t="shared" si="214"/>
        <v>-73442705484.962387</v>
      </c>
      <c r="G930" s="17">
        <f t="shared" si="215"/>
        <v>23.922499207590644</v>
      </c>
      <c r="H930" s="16">
        <f t="shared" si="216"/>
        <v>1.933892728657457E-11</v>
      </c>
      <c r="I930" s="16">
        <f t="shared" si="217"/>
        <v>51709176273.402603</v>
      </c>
      <c r="J930" s="16">
        <f t="shared" si="218"/>
        <v>18242632945.196739</v>
      </c>
      <c r="K930" s="18">
        <f t="shared" si="219"/>
        <v>-48384349268.132614</v>
      </c>
      <c r="L930" s="17">
        <f t="shared" si="220"/>
        <v>22.011704163009163</v>
      </c>
      <c r="M930" s="16">
        <f t="shared" si="221"/>
        <v>1.4323838911261532E-11</v>
      </c>
      <c r="N930" s="16">
        <f t="shared" si="222"/>
        <v>104720529830.91609</v>
      </c>
      <c r="O930" s="16">
        <f t="shared" si="224"/>
        <v>36944664858.538071</v>
      </c>
      <c r="P930" s="18">
        <f t="shared" si="223"/>
        <v>-97987147660.078812</v>
      </c>
    </row>
    <row r="931" spans="1:16" x14ac:dyDescent="0.4">
      <c r="A931" s="14">
        <v>0.91800000000000004</v>
      </c>
      <c r="B931" s="44">
        <f t="shared" si="225"/>
        <v>5.7679641119908602</v>
      </c>
      <c r="C931" s="40">
        <f t="shared" si="211"/>
        <v>6.7836642038206319E-12</v>
      </c>
      <c r="D931" s="15">
        <f t="shared" si="212"/>
        <v>147412957061.87659</v>
      </c>
      <c r="E931" s="15">
        <f t="shared" si="213"/>
        <v>128276360463.04132</v>
      </c>
      <c r="F931" s="29">
        <f t="shared" si="214"/>
        <v>-72634394442.870926</v>
      </c>
      <c r="G931" s="17">
        <f t="shared" si="215"/>
        <v>23.948586992986051</v>
      </c>
      <c r="H931" s="16">
        <f t="shared" si="216"/>
        <v>1.9428980468581884E-11</v>
      </c>
      <c r="I931" s="16">
        <f t="shared" si="217"/>
        <v>51469504620.537079</v>
      </c>
      <c r="J931" s="16">
        <f t="shared" si="218"/>
        <v>19408147419.56673</v>
      </c>
      <c r="K931" s="18">
        <f t="shared" si="219"/>
        <v>-47670050551.933052</v>
      </c>
      <c r="L931" s="17">
        <f t="shared" si="220"/>
        <v>22.035708202445377</v>
      </c>
      <c r="M931" s="16">
        <f t="shared" si="221"/>
        <v>1.4326736019672294E-11</v>
      </c>
      <c r="N931" s="16">
        <f t="shared" si="222"/>
        <v>104699353568.06488</v>
      </c>
      <c r="O931" s="16">
        <f t="shared" si="224"/>
        <v>39480086388.310364</v>
      </c>
      <c r="P931" s="18">
        <f t="shared" si="223"/>
        <v>-96970497659.557312</v>
      </c>
    </row>
    <row r="932" spans="1:16" x14ac:dyDescent="0.4">
      <c r="A932" s="14">
        <v>0.91900000000000004</v>
      </c>
      <c r="B932" s="44">
        <f t="shared" si="225"/>
        <v>5.7742472972980403</v>
      </c>
      <c r="C932" s="40">
        <f t="shared" si="211"/>
        <v>6.7840082131236995E-12</v>
      </c>
      <c r="D932" s="15">
        <f t="shared" si="212"/>
        <v>147405481919.30173</v>
      </c>
      <c r="E932" s="15">
        <f t="shared" si="213"/>
        <v>128723672993.28876</v>
      </c>
      <c r="F932" s="29">
        <f t="shared" si="214"/>
        <v>-71823339597.782913</v>
      </c>
      <c r="G932" s="17">
        <f t="shared" si="215"/>
        <v>23.974674778381463</v>
      </c>
      <c r="H932" s="16">
        <f t="shared" si="216"/>
        <v>1.9518082172098696E-11</v>
      </c>
      <c r="I932" s="16">
        <f t="shared" si="217"/>
        <v>51234541958.713058</v>
      </c>
      <c r="J932" s="16">
        <f t="shared" si="218"/>
        <v>20550762242.880997</v>
      </c>
      <c r="K932" s="18">
        <f t="shared" si="219"/>
        <v>-46932339180.523544</v>
      </c>
      <c r="L932" s="17">
        <f t="shared" si="220"/>
        <v>22.059712241881595</v>
      </c>
      <c r="M932" s="16">
        <f t="shared" si="221"/>
        <v>1.433176731077552E-11</v>
      </c>
      <c r="N932" s="16">
        <f t="shared" si="222"/>
        <v>104662597952.74559</v>
      </c>
      <c r="O932" s="16">
        <f t="shared" si="224"/>
        <v>41981368116.502342</v>
      </c>
      <c r="P932" s="18">
        <f t="shared" si="223"/>
        <v>-95874001383.507431</v>
      </c>
    </row>
    <row r="933" spans="1:16" x14ac:dyDescent="0.4">
      <c r="A933" s="14">
        <v>0.92</v>
      </c>
      <c r="B933" s="44">
        <f t="shared" si="225"/>
        <v>5.7805304826052195</v>
      </c>
      <c r="C933" s="40">
        <f t="shared" si="211"/>
        <v>6.7843483702527969E-12</v>
      </c>
      <c r="D933" s="15">
        <f t="shared" si="212"/>
        <v>147398091227.84451</v>
      </c>
      <c r="E933" s="15">
        <f t="shared" si="213"/>
        <v>129165931968.67496</v>
      </c>
      <c r="F933" s="29">
        <f t="shared" si="214"/>
        <v>-71009572004.593903</v>
      </c>
      <c r="G933" s="17">
        <f t="shared" si="215"/>
        <v>24.00076256377687</v>
      </c>
      <c r="H933" s="16">
        <f t="shared" si="216"/>
        <v>1.9606171760390777E-11</v>
      </c>
      <c r="I933" s="16">
        <f t="shared" si="217"/>
        <v>51004347621.815826</v>
      </c>
      <c r="J933" s="16">
        <f t="shared" si="218"/>
        <v>21670188876.627476</v>
      </c>
      <c r="K933" s="18">
        <f t="shared" si="219"/>
        <v>-46171922099.673523</v>
      </c>
      <c r="L933" s="17">
        <f t="shared" si="220"/>
        <v>22.083716281317809</v>
      </c>
      <c r="M933" s="16">
        <f t="shared" si="221"/>
        <v>1.4338929885711121E-11</v>
      </c>
      <c r="N933" s="16">
        <f t="shared" si="222"/>
        <v>104610316945.25294</v>
      </c>
      <c r="O933" s="16">
        <f t="shared" si="224"/>
        <v>44445727322.230759</v>
      </c>
      <c r="P933" s="18">
        <f t="shared" si="223"/>
        <v>-94698974303.759933</v>
      </c>
    </row>
    <row r="934" spans="1:16" x14ac:dyDescent="0.4">
      <c r="A934" s="14">
        <v>0.92100000000000004</v>
      </c>
      <c r="B934" s="44">
        <f t="shared" si="225"/>
        <v>5.7868136679123996</v>
      </c>
      <c r="C934" s="40">
        <f t="shared" si="211"/>
        <v>6.7846846617791048E-12</v>
      </c>
      <c r="D934" s="15">
        <f t="shared" si="212"/>
        <v>147390785253.94226</v>
      </c>
      <c r="E934" s="15">
        <f t="shared" si="213"/>
        <v>129603121445.58519</v>
      </c>
      <c r="F934" s="29">
        <f t="shared" si="214"/>
        <v>-70193122806.544373</v>
      </c>
      <c r="G934" s="17">
        <f t="shared" si="215"/>
        <v>24.026850349172285</v>
      </c>
      <c r="H934" s="16">
        <f t="shared" si="216"/>
        <v>1.9693189285502734E-11</v>
      </c>
      <c r="I934" s="16">
        <f t="shared" si="217"/>
        <v>50778976706.233986</v>
      </c>
      <c r="J934" s="16">
        <f t="shared" si="218"/>
        <v>22766159389.085331</v>
      </c>
      <c r="K934" s="18">
        <f t="shared" si="219"/>
        <v>-45389497265.369827</v>
      </c>
      <c r="L934" s="17">
        <f t="shared" si="220"/>
        <v>22.107720320754026</v>
      </c>
      <c r="M934" s="16">
        <f t="shared" si="221"/>
        <v>1.4348219617645201E-11</v>
      </c>
      <c r="N934" s="16">
        <f t="shared" si="222"/>
        <v>104542587162.19572</v>
      </c>
      <c r="O934" s="16">
        <f t="shared" si="224"/>
        <v>46870444358.31855</v>
      </c>
      <c r="P934" s="18">
        <f t="shared" si="223"/>
        <v>-93446851077.064407</v>
      </c>
    </row>
    <row r="935" spans="1:16" x14ac:dyDescent="0.4">
      <c r="A935" s="14">
        <v>0.92200000000000004</v>
      </c>
      <c r="B935" s="44">
        <f t="shared" si="225"/>
        <v>5.7930968532195788</v>
      </c>
      <c r="C935" s="40">
        <f t="shared" si="211"/>
        <v>6.7850170744264068E-12</v>
      </c>
      <c r="D935" s="15">
        <f t="shared" si="212"/>
        <v>147383564260.89587</v>
      </c>
      <c r="E935" s="15">
        <f t="shared" si="213"/>
        <v>130035225668.10057</v>
      </c>
      <c r="F935" s="29">
        <f t="shared" si="214"/>
        <v>-69374023234.14566</v>
      </c>
      <c r="G935" s="17">
        <f t="shared" si="215"/>
        <v>24.052938134567693</v>
      </c>
      <c r="H935" s="16">
        <f t="shared" si="216"/>
        <v>1.9779075529054484E-11</v>
      </c>
      <c r="I935" s="16">
        <f t="shared" si="217"/>
        <v>50558480275.331848</v>
      </c>
      <c r="J935" s="16">
        <f t="shared" si="218"/>
        <v>23838425460.983074</v>
      </c>
      <c r="K935" s="18">
        <f t="shared" si="219"/>
        <v>-44585753322.022873</v>
      </c>
      <c r="L935" s="17">
        <f t="shared" si="220"/>
        <v>22.13172436019024</v>
      </c>
      <c r="M935" s="16">
        <f t="shared" si="221"/>
        <v>1.4359631154147813E-11</v>
      </c>
      <c r="N935" s="16">
        <f t="shared" si="222"/>
        <v>104459507622.29164</v>
      </c>
      <c r="O935" s="16">
        <f t="shared" si="224"/>
        <v>49252868610.45089</v>
      </c>
      <c r="P935" s="18">
        <f t="shared" si="223"/>
        <v>-92119181858.792404</v>
      </c>
    </row>
    <row r="936" spans="1:16" x14ac:dyDescent="0.4">
      <c r="A936" s="14">
        <v>0.92300000000000004</v>
      </c>
      <c r="B936" s="44">
        <f t="shared" si="225"/>
        <v>5.799380038526758</v>
      </c>
      <c r="C936" s="40">
        <f t="shared" si="211"/>
        <v>6.785345595071623E-12</v>
      </c>
      <c r="D936" s="15">
        <f t="shared" si="212"/>
        <v>147376428508.86276</v>
      </c>
      <c r="E936" s="15">
        <f t="shared" si="213"/>
        <v>130462229068.39439</v>
      </c>
      <c r="F936" s="29">
        <f t="shared" si="214"/>
        <v>-68552304604.103027</v>
      </c>
      <c r="G936" s="17">
        <f t="shared" si="215"/>
        <v>24.079025919963101</v>
      </c>
      <c r="H936" s="16">
        <f t="shared" si="216"/>
        <v>1.9863772042541524E-11</v>
      </c>
      <c r="I936" s="16">
        <f t="shared" si="217"/>
        <v>50342905559.847145</v>
      </c>
      <c r="J936" s="16">
        <f t="shared" si="218"/>
        <v>24886757410.972092</v>
      </c>
      <c r="K936" s="18">
        <f t="shared" si="219"/>
        <v>-43761369331.581871</v>
      </c>
      <c r="L936" s="17">
        <f t="shared" si="220"/>
        <v>22.155728399626454</v>
      </c>
      <c r="M936" s="16">
        <f t="shared" si="221"/>
        <v>1.4373157920276843E-11</v>
      </c>
      <c r="N936" s="16">
        <f t="shared" si="222"/>
        <v>104361199419.08412</v>
      </c>
      <c r="O936" s="16">
        <f t="shared" si="224"/>
        <v>51590424195.387146</v>
      </c>
      <c r="P936" s="18">
        <f t="shared" si="223"/>
        <v>-90717628251.238235</v>
      </c>
    </row>
    <row r="937" spans="1:16" x14ac:dyDescent="0.4">
      <c r="A937" s="14">
        <v>0.92400000000000004</v>
      </c>
      <c r="B937" s="44">
        <f t="shared" si="225"/>
        <v>5.8056632238339381</v>
      </c>
      <c r="C937" s="40">
        <f t="shared" si="211"/>
        <v>6.7856702107453215E-12</v>
      </c>
      <c r="D937" s="15">
        <f t="shared" si="212"/>
        <v>147369378254.85074</v>
      </c>
      <c r="E937" s="15">
        <f t="shared" si="213"/>
        <v>130884116267.12314</v>
      </c>
      <c r="F937" s="29">
        <f t="shared" si="214"/>
        <v>-67727998318.239601</v>
      </c>
      <c r="G937" s="17">
        <f t="shared" si="215"/>
        <v>24.105113705358512</v>
      </c>
      <c r="H937" s="16">
        <f t="shared" si="216"/>
        <v>1.9947221187111038E-11</v>
      </c>
      <c r="I937" s="16">
        <f t="shared" si="217"/>
        <v>50132296153.92009</v>
      </c>
      <c r="J937" s="16">
        <f t="shared" si="218"/>
        <v>25910943242.344326</v>
      </c>
      <c r="K937" s="18">
        <f t="shared" si="219"/>
        <v>-42917014550.83242</v>
      </c>
      <c r="L937" s="17">
        <f t="shared" si="220"/>
        <v>22.179732439062672</v>
      </c>
      <c r="M937" s="16">
        <f t="shared" si="221"/>
        <v>1.438879212236627E-11</v>
      </c>
      <c r="N937" s="16">
        <f t="shared" si="222"/>
        <v>104247805322.61394</v>
      </c>
      <c r="O937" s="16">
        <f t="shared" si="224"/>
        <v>53880615373.369316</v>
      </c>
      <c r="P937" s="18">
        <f t="shared" si="223"/>
        <v>-89243958907.976791</v>
      </c>
    </row>
    <row r="938" spans="1:16" x14ac:dyDescent="0.4">
      <c r="A938" s="14">
        <v>0.92500000000000004</v>
      </c>
      <c r="B938" s="44">
        <f t="shared" si="225"/>
        <v>5.8119464091411173</v>
      </c>
      <c r="C938" s="40">
        <f t="shared" si="211"/>
        <v>6.7859909086322274E-12</v>
      </c>
      <c r="D938" s="15">
        <f t="shared" si="212"/>
        <v>147362413752.71136</v>
      </c>
      <c r="E938" s="15">
        <f t="shared" si="213"/>
        <v>131300872073.81148</v>
      </c>
      <c r="F938" s="29">
        <f t="shared" si="214"/>
        <v>-66901135862.419319</v>
      </c>
      <c r="G938" s="17">
        <f t="shared" si="215"/>
        <v>24.13120149075392</v>
      </c>
      <c r="H938" s="16">
        <f t="shared" si="216"/>
        <v>2.0029366172787067E-11</v>
      </c>
      <c r="I938" s="16">
        <f t="shared" si="217"/>
        <v>49926692206.498863</v>
      </c>
      <c r="J938" s="16">
        <f t="shared" si="218"/>
        <v>26910787712.234501</v>
      </c>
      <c r="K938" s="18">
        <f t="shared" si="219"/>
        <v>-42053348254.205902</v>
      </c>
      <c r="L938" s="17">
        <f t="shared" si="220"/>
        <v>22.203736478498882</v>
      </c>
      <c r="M938" s="16">
        <f t="shared" si="221"/>
        <v>1.4406524752516604E-11</v>
      </c>
      <c r="N938" s="16">
        <f t="shared" si="222"/>
        <v>104119489312.5056</v>
      </c>
      <c r="O938" s="16">
        <f t="shared" si="224"/>
        <v>56121031651.890289</v>
      </c>
      <c r="P938" s="18">
        <f t="shared" si="223"/>
        <v>-87700044817.688065</v>
      </c>
    </row>
    <row r="939" spans="1:16" x14ac:dyDescent="0.4">
      <c r="A939" s="14">
        <v>0.92600000000000005</v>
      </c>
      <c r="B939" s="44">
        <f t="shared" si="225"/>
        <v>5.8182295944482973</v>
      </c>
      <c r="C939" s="40">
        <f t="shared" si="211"/>
        <v>6.7863076760717412E-12</v>
      </c>
      <c r="D939" s="15">
        <f t="shared" si="212"/>
        <v>147355535253.13351</v>
      </c>
      <c r="E939" s="15">
        <f t="shared" si="213"/>
        <v>131712481487.23264</v>
      </c>
      <c r="F939" s="29">
        <f t="shared" si="214"/>
        <v>-66071748805.468094</v>
      </c>
      <c r="G939" s="17">
        <f t="shared" si="215"/>
        <v>24.157289276149331</v>
      </c>
      <c r="H939" s="16">
        <f t="shared" si="216"/>
        <v>2.0110151097118098E-11</v>
      </c>
      <c r="I939" s="16">
        <f t="shared" si="217"/>
        <v>49726130607.905067</v>
      </c>
      <c r="J939" s="16">
        <f t="shared" si="218"/>
        <v>27886111424.359127</v>
      </c>
      <c r="K939" s="18">
        <f t="shared" si="219"/>
        <v>-41171019599.503006</v>
      </c>
      <c r="L939" s="17">
        <f t="shared" si="220"/>
        <v>22.2277405179351</v>
      </c>
      <c r="M939" s="16">
        <f t="shared" si="221"/>
        <v>1.4426345593784958E-11</v>
      </c>
      <c r="N939" s="16">
        <f t="shared" si="222"/>
        <v>103976436045.32932</v>
      </c>
      <c r="O939" s="16">
        <f t="shared" si="224"/>
        <v>58309352560.137962</v>
      </c>
      <c r="P939" s="18">
        <f t="shared" si="223"/>
        <v>-86087854292.611969</v>
      </c>
    </row>
    <row r="940" spans="1:16" x14ac:dyDescent="0.4">
      <c r="A940" s="14">
        <v>0.92700000000000005</v>
      </c>
      <c r="B940" s="44">
        <f t="shared" si="225"/>
        <v>5.8245127797554765</v>
      </c>
      <c r="C940" s="40">
        <f t="shared" si="211"/>
        <v>6.786620500558426E-12</v>
      </c>
      <c r="D940" s="15">
        <f t="shared" si="212"/>
        <v>147348743003.63733</v>
      </c>
      <c r="E940" s="15">
        <f t="shared" si="213"/>
        <v>132118929695.78262</v>
      </c>
      <c r="F940" s="29">
        <f t="shared" si="214"/>
        <v>-65239868798.096199</v>
      </c>
      <c r="G940" s="17">
        <f t="shared" si="215"/>
        <v>24.183377061544739</v>
      </c>
      <c r="H940" s="16">
        <f t="shared" si="216"/>
        <v>2.0189520983220507E-11</v>
      </c>
      <c r="I940" s="16">
        <f t="shared" si="217"/>
        <v>49530645171.378716</v>
      </c>
      <c r="J940" s="16">
        <f t="shared" si="218"/>
        <v>28836749946.169762</v>
      </c>
      <c r="K940" s="18">
        <f t="shared" si="219"/>
        <v>-40270667534.01413</v>
      </c>
      <c r="L940" s="17">
        <f t="shared" si="220"/>
        <v>22.251744557371314</v>
      </c>
      <c r="M940" s="16">
        <f t="shared" si="221"/>
        <v>1.4448243226071676E-11</v>
      </c>
      <c r="N940" s="16">
        <f t="shared" si="222"/>
        <v>103818850259.47435</v>
      </c>
      <c r="O940" s="16">
        <f t="shared" si="224"/>
        <v>60443352075.722</v>
      </c>
      <c r="P940" s="18">
        <f t="shared" si="223"/>
        <v>-84409447688.333267</v>
      </c>
    </row>
    <row r="941" spans="1:16" x14ac:dyDescent="0.4">
      <c r="A941" s="14">
        <v>0.92800000000000005</v>
      </c>
      <c r="B941" s="44">
        <f t="shared" si="225"/>
        <v>5.8307959650626566</v>
      </c>
      <c r="C941" s="40">
        <f t="shared" si="211"/>
        <v>6.7869293697425043E-12</v>
      </c>
      <c r="D941" s="15">
        <f t="shared" si="212"/>
        <v>147342037248.56796</v>
      </c>
      <c r="E941" s="15">
        <f t="shared" si="213"/>
        <v>132520202077.8499</v>
      </c>
      <c r="F941" s="29">
        <f t="shared" si="214"/>
        <v>-64405527571.818047</v>
      </c>
      <c r="G941" s="17">
        <f t="shared" si="215"/>
        <v>24.209464846940151</v>
      </c>
      <c r="H941" s="16">
        <f t="shared" si="216"/>
        <v>2.0267421817192254E-11</v>
      </c>
      <c r="I941" s="16">
        <f t="shared" si="217"/>
        <v>49340266809.45327</v>
      </c>
      <c r="J941" s="16">
        <f t="shared" si="218"/>
        <v>29762552951.14772</v>
      </c>
      <c r="K941" s="18">
        <f t="shared" si="219"/>
        <v>-39352920738.595306</v>
      </c>
      <c r="L941" s="17">
        <f t="shared" si="220"/>
        <v>22.275748596807531</v>
      </c>
      <c r="M941" s="16">
        <f t="shared" si="221"/>
        <v>1.4472205032700234E-11</v>
      </c>
      <c r="N941" s="16">
        <f t="shared" si="222"/>
        <v>103646956121.11079</v>
      </c>
      <c r="O941" s="16">
        <f t="shared" si="224"/>
        <v>62520902687.717476</v>
      </c>
      <c r="P941" s="18">
        <f t="shared" si="223"/>
        <v>-82666971882.877319</v>
      </c>
    </row>
    <row r="942" spans="1:16" x14ac:dyDescent="0.4">
      <c r="A942" s="14">
        <v>0.92900000000000005</v>
      </c>
      <c r="B942" s="44">
        <f t="shared" si="225"/>
        <v>5.8370791503698358</v>
      </c>
      <c r="C942" s="40">
        <f t="shared" si="211"/>
        <v>6.7872342714303525E-12</v>
      </c>
      <c r="D942" s="15">
        <f t="shared" si="212"/>
        <v>147335418229.08942</v>
      </c>
      <c r="E942" s="15">
        <f t="shared" si="213"/>
        <v>132916284202.17853</v>
      </c>
      <c r="F942" s="29">
        <f t="shared" si="214"/>
        <v>-63568756937.873199</v>
      </c>
      <c r="G942" s="17">
        <f t="shared" si="215"/>
        <v>24.235552632335558</v>
      </c>
      <c r="H942" s="16">
        <f t="shared" si="216"/>
        <v>2.03438005848711E-11</v>
      </c>
      <c r="I942" s="16">
        <f t="shared" si="217"/>
        <v>49155023705.042679</v>
      </c>
      <c r="J942" s="16">
        <f t="shared" si="218"/>
        <v>30663383386.814297</v>
      </c>
      <c r="K942" s="18">
        <f t="shared" si="219"/>
        <v>-38418397607.351463</v>
      </c>
      <c r="L942" s="17">
        <f t="shared" si="220"/>
        <v>22.299752636243742</v>
      </c>
      <c r="M942" s="16">
        <f t="shared" si="221"/>
        <v>1.4498217207686519E-11</v>
      </c>
      <c r="N942" s="16">
        <f t="shared" si="222"/>
        <v>103460996515.12636</v>
      </c>
      <c r="O942" s="16">
        <f t="shared" si="224"/>
        <v>64539979082.539291</v>
      </c>
      <c r="P942" s="18">
        <f t="shared" si="223"/>
        <v>-80862654544.161346</v>
      </c>
    </row>
    <row r="943" spans="1:16" x14ac:dyDescent="0.4">
      <c r="A943" s="14">
        <v>0.93</v>
      </c>
      <c r="B943" s="44">
        <f t="shared" si="225"/>
        <v>5.8433623356770159</v>
      </c>
      <c r="C943" s="40">
        <f t="shared" si="211"/>
        <v>6.7875351935849733E-12</v>
      </c>
      <c r="D943" s="15">
        <f t="shared" si="212"/>
        <v>147328886183.17865</v>
      </c>
      <c r="E943" s="15">
        <f t="shared" si="213"/>
        <v>133307161828.22723</v>
      </c>
      <c r="F943" s="29">
        <f t="shared" si="214"/>
        <v>-62729588786.144958</v>
      </c>
      <c r="G943" s="17">
        <f t="shared" si="215"/>
        <v>24.26164041773097</v>
      </c>
      <c r="H943" s="16">
        <f t="shared" si="216"/>
        <v>2.0418605307912653E-11</v>
      </c>
      <c r="I943" s="16">
        <f t="shared" si="217"/>
        <v>48974941477.14772</v>
      </c>
      <c r="J943" s="16">
        <f t="shared" si="218"/>
        <v>31539116668.906384</v>
      </c>
      <c r="K943" s="18">
        <f t="shared" si="219"/>
        <v>-37467706260.660736</v>
      </c>
      <c r="L943" s="17">
        <f t="shared" si="220"/>
        <v>22.323756675679959</v>
      </c>
      <c r="M943" s="16">
        <f t="shared" si="221"/>
        <v>1.4526264763693406E-11</v>
      </c>
      <c r="N943" s="16">
        <f t="shared" si="222"/>
        <v>103261232285.19583</v>
      </c>
      <c r="O943" s="16">
        <f t="shared" si="224"/>
        <v>66498661441.739136</v>
      </c>
      <c r="P943" s="18">
        <f t="shared" si="223"/>
        <v>-78998798215.631897</v>
      </c>
    </row>
    <row r="944" spans="1:16" x14ac:dyDescent="0.4">
      <c r="A944" s="14">
        <v>0.93100000000000005</v>
      </c>
      <c r="B944" s="44">
        <f t="shared" si="225"/>
        <v>5.8496455209841951</v>
      </c>
      <c r="C944" s="40">
        <f t="shared" si="211"/>
        <v>6.7878321243264736E-12</v>
      </c>
      <c r="D944" s="15">
        <f t="shared" si="212"/>
        <v>147322441345.61969</v>
      </c>
      <c r="E944" s="15">
        <f t="shared" si="213"/>
        <v>133692820906.52214</v>
      </c>
      <c r="F944" s="29">
        <f t="shared" si="214"/>
        <v>-61888055084.080238</v>
      </c>
      <c r="G944" s="17">
        <f t="shared" si="215"/>
        <v>24.287728203126377</v>
      </c>
      <c r="H944" s="16">
        <f t="shared" si="216"/>
        <v>2.0491785079163283E-11</v>
      </c>
      <c r="I944" s="16">
        <f t="shared" si="217"/>
        <v>48800043341.115883</v>
      </c>
      <c r="J944" s="16">
        <f t="shared" si="218"/>
        <v>32389639902.038986</v>
      </c>
      <c r="K944" s="18">
        <f t="shared" si="219"/>
        <v>-36501444589.372528</v>
      </c>
      <c r="L944" s="17">
        <f t="shared" si="220"/>
        <v>22.347760715116173</v>
      </c>
      <c r="M944" s="16">
        <f t="shared" si="221"/>
        <v>1.4556331540665906E-11</v>
      </c>
      <c r="N944" s="16">
        <f t="shared" si="222"/>
        <v>103047941427.37558</v>
      </c>
      <c r="O944" s="16">
        <f t="shared" si="224"/>
        <v>68395138343.39106</v>
      </c>
      <c r="P944" s="18">
        <f t="shared" si="223"/>
        <v>-77077774250.48175</v>
      </c>
    </row>
    <row r="945" spans="1:16" x14ac:dyDescent="0.4">
      <c r="A945" s="14">
        <v>0.93200000000000005</v>
      </c>
      <c r="B945" s="44">
        <f t="shared" si="225"/>
        <v>5.8559287062913743</v>
      </c>
      <c r="C945" s="40">
        <f t="shared" si="211"/>
        <v>6.7881250519325379E-12</v>
      </c>
      <c r="D945" s="15">
        <f t="shared" si="212"/>
        <v>147316083947.99771</v>
      </c>
      <c r="E945" s="15">
        <f t="shared" si="213"/>
        <v>134073247579.00475</v>
      </c>
      <c r="F945" s="29">
        <f t="shared" si="214"/>
        <v>-61044187875.60701</v>
      </c>
      <c r="G945" s="17">
        <f t="shared" si="215"/>
        <v>24.313815988521785</v>
      </c>
      <c r="H945" s="16">
        <f t="shared" si="216"/>
        <v>2.0563290097304245E-11</v>
      </c>
      <c r="I945" s="16">
        <f t="shared" si="217"/>
        <v>48630350263.409233</v>
      </c>
      <c r="J945" s="16">
        <f t="shared" si="218"/>
        <v>33214851127.074631</v>
      </c>
      <c r="K945" s="18">
        <f t="shared" si="219"/>
        <v>-35520200328.096909</v>
      </c>
      <c r="L945" s="17">
        <f t="shared" si="220"/>
        <v>22.371764754552387</v>
      </c>
      <c r="M945" s="16">
        <f t="shared" si="221"/>
        <v>1.4588400215142096E-11</v>
      </c>
      <c r="N945" s="16">
        <f t="shared" si="222"/>
        <v>102821418241.80751</v>
      </c>
      <c r="O945" s="16">
        <f t="shared" si="224"/>
        <v>70227709261.349869</v>
      </c>
      <c r="P945" s="18">
        <f t="shared" si="223"/>
        <v>-75102016625.12146</v>
      </c>
    </row>
    <row r="946" spans="1:16" x14ac:dyDescent="0.4">
      <c r="A946" s="14">
        <v>0.93300000000000005</v>
      </c>
      <c r="B946" s="44">
        <f t="shared" si="225"/>
        <v>5.8622118915985544</v>
      </c>
      <c r="C946" s="40">
        <f t="shared" si="211"/>
        <v>6.7884139648388863E-12</v>
      </c>
      <c r="D946" s="15">
        <f t="shared" si="212"/>
        <v>147309814218.69336</v>
      </c>
      <c r="E946" s="15">
        <f t="shared" si="213"/>
        <v>134448428179.37434</v>
      </c>
      <c r="F946" s="29">
        <f t="shared" si="214"/>
        <v>-60198019280.05249</v>
      </c>
      <c r="G946" s="17">
        <f t="shared" si="215"/>
        <v>24.3399037739172</v>
      </c>
      <c r="H946" s="16">
        <f t="shared" si="216"/>
        <v>2.0633071700743154E-11</v>
      </c>
      <c r="I946" s="16">
        <f t="shared" si="217"/>
        <v>48465881110.85672</v>
      </c>
      <c r="J946" s="16">
        <f t="shared" si="218"/>
        <v>34014658595.314831</v>
      </c>
      <c r="K946" s="18">
        <f t="shared" si="219"/>
        <v>-34524551155.603363</v>
      </c>
      <c r="L946" s="17">
        <f t="shared" si="220"/>
        <v>22.395768793988605</v>
      </c>
      <c r="M946" s="16">
        <f t="shared" si="221"/>
        <v>1.462245231023428E-11</v>
      </c>
      <c r="N946" s="16">
        <f t="shared" si="222"/>
        <v>102581972447.27188</v>
      </c>
      <c r="O946" s="16">
        <f t="shared" si="224"/>
        <v>71994786659.234344</v>
      </c>
      <c r="P946" s="18">
        <f t="shared" si="223"/>
        <v>-73074015662.642899</v>
      </c>
    </row>
    <row r="947" spans="1:16" x14ac:dyDescent="0.4">
      <c r="A947" s="14">
        <v>0.93400000000000005</v>
      </c>
      <c r="B947" s="44">
        <f t="shared" si="225"/>
        <v>5.8684950769057336</v>
      </c>
      <c r="C947" s="40">
        <f t="shared" si="211"/>
        <v>6.7886988516397306E-12</v>
      </c>
      <c r="D947" s="15">
        <f t="shared" si="212"/>
        <v>147303632382.87729</v>
      </c>
      <c r="E947" s="15">
        <f t="shared" si="213"/>
        <v>134818349233.42517</v>
      </c>
      <c r="F947" s="29">
        <f t="shared" si="214"/>
        <v>-59349581491.060776</v>
      </c>
      <c r="G947" s="17">
        <f t="shared" si="215"/>
        <v>24.365991559312608</v>
      </c>
      <c r="H947" s="16">
        <f t="shared" si="216"/>
        <v>2.0701082400729788E-11</v>
      </c>
      <c r="I947" s="16">
        <f t="shared" si="217"/>
        <v>48306652794.384628</v>
      </c>
      <c r="J947" s="16">
        <f t="shared" si="218"/>
        <v>34788980069.54406</v>
      </c>
      <c r="K947" s="18">
        <f t="shared" si="219"/>
        <v>-33515064820.437008</v>
      </c>
      <c r="L947" s="17">
        <f t="shared" si="220"/>
        <v>22.419772833424819</v>
      </c>
      <c r="M947" s="16">
        <f t="shared" si="221"/>
        <v>1.4658468206274749E-11</v>
      </c>
      <c r="N947" s="16">
        <f t="shared" si="222"/>
        <v>102329928263.43925</v>
      </c>
      <c r="O947" s="16">
        <f t="shared" si="224"/>
        <v>73694897678.534378</v>
      </c>
      <c r="P947" s="18">
        <f t="shared" si="223"/>
        <v>-70996311696.812622</v>
      </c>
    </row>
    <row r="948" spans="1:16" x14ac:dyDescent="0.4">
      <c r="A948" s="14">
        <v>0.93500000000000005</v>
      </c>
      <c r="B948" s="44">
        <f t="shared" si="225"/>
        <v>5.8747782622129137</v>
      </c>
      <c r="C948" s="40">
        <f t="shared" si="211"/>
        <v>6.788979701088227E-12</v>
      </c>
      <c r="D948" s="15">
        <f t="shared" si="212"/>
        <v>147297538662.5043</v>
      </c>
      <c r="E948" s="15">
        <f t="shared" si="213"/>
        <v>135182997459.37839</v>
      </c>
      <c r="F948" s="29">
        <f t="shared" si="214"/>
        <v>-58498906775.508591</v>
      </c>
      <c r="G948" s="17">
        <f t="shared" si="215"/>
        <v>24.392079344708019</v>
      </c>
      <c r="H948" s="16">
        <f t="shared" si="216"/>
        <v>2.0767275913673907E-11</v>
      </c>
      <c r="I948" s="16">
        <f t="shared" si="217"/>
        <v>48152680407.234573</v>
      </c>
      <c r="J948" s="16">
        <f t="shared" si="218"/>
        <v>35537742151.880814</v>
      </c>
      <c r="K948" s="18">
        <f t="shared" si="219"/>
        <v>-32492299289.950325</v>
      </c>
      <c r="L948" s="17">
        <f t="shared" si="220"/>
        <v>22.443776872861037</v>
      </c>
      <c r="M948" s="16">
        <f t="shared" si="221"/>
        <v>1.4696427152119995E-11</v>
      </c>
      <c r="N948" s="16">
        <f t="shared" si="222"/>
        <v>102065623465.74292</v>
      </c>
      <c r="O948" s="16">
        <f t="shared" si="224"/>
        <v>75326685422.71991</v>
      </c>
      <c r="P948" s="18">
        <f t="shared" si="223"/>
        <v>-68871488706.702194</v>
      </c>
    </row>
    <row r="949" spans="1:16" x14ac:dyDescent="0.4">
      <c r="A949" s="14">
        <v>0.93600000000000005</v>
      </c>
      <c r="B949" s="44">
        <f t="shared" si="225"/>
        <v>5.8810614475200929</v>
      </c>
      <c r="C949" s="40">
        <f t="shared" si="211"/>
        <v>6.7892565020969219E-12</v>
      </c>
      <c r="D949" s="15">
        <f t="shared" si="212"/>
        <v>147291533276.30811</v>
      </c>
      <c r="E949" s="15">
        <f t="shared" si="213"/>
        <v>135542359768.20856</v>
      </c>
      <c r="F949" s="29">
        <f t="shared" si="214"/>
        <v>-57646027472.422531</v>
      </c>
      <c r="G949" s="17">
        <f t="shared" si="215"/>
        <v>24.418167130103427</v>
      </c>
      <c r="H949" s="16">
        <f t="shared" si="216"/>
        <v>2.0831607192642701E-11</v>
      </c>
      <c r="I949" s="16">
        <f t="shared" si="217"/>
        <v>48003977357.694206</v>
      </c>
      <c r="J949" s="16">
        <f t="shared" si="218"/>
        <v>36260879638.313087</v>
      </c>
      <c r="K949" s="18">
        <f t="shared" si="219"/>
        <v>-31456802921.050156</v>
      </c>
      <c r="L949" s="17">
        <f t="shared" si="220"/>
        <v>22.46778091229725</v>
      </c>
      <c r="M949" s="16">
        <f t="shared" si="221"/>
        <v>1.4736307277106791E-11</v>
      </c>
      <c r="N949" s="16">
        <f t="shared" si="222"/>
        <v>101789408417.8257</v>
      </c>
      <c r="O949" s="16">
        <f t="shared" si="224"/>
        <v>76888909841.598175</v>
      </c>
      <c r="P949" s="18">
        <f t="shared" si="223"/>
        <v>-66702167951.435516</v>
      </c>
    </row>
    <row r="950" spans="1:16" x14ac:dyDescent="0.4">
      <c r="A950" s="14">
        <v>0.93700000000000006</v>
      </c>
      <c r="B950" s="44">
        <f t="shared" si="225"/>
        <v>5.8873446328272729</v>
      </c>
      <c r="C950" s="40">
        <f t="shared" si="211"/>
        <v>6.7895292437381858E-12</v>
      </c>
      <c r="D950" s="15">
        <f t="shared" si="212"/>
        <v>147285616439.7959</v>
      </c>
      <c r="E950" s="15">
        <f t="shared" si="213"/>
        <v>135896423263.96533</v>
      </c>
      <c r="F950" s="29">
        <f t="shared" si="214"/>
        <v>-56790975991.893791</v>
      </c>
      <c r="G950" s="17">
        <f t="shared" si="215"/>
        <v>24.444254915498838</v>
      </c>
      <c r="H950" s="16">
        <f t="shared" si="216"/>
        <v>2.0894032458016836E-11</v>
      </c>
      <c r="I950" s="16">
        <f t="shared" si="217"/>
        <v>47860555496.376183</v>
      </c>
      <c r="J950" s="16">
        <f t="shared" si="218"/>
        <v>36958334899.745384</v>
      </c>
      <c r="K950" s="18">
        <f t="shared" si="219"/>
        <v>-30409114651.03788</v>
      </c>
      <c r="L950" s="17">
        <f t="shared" si="220"/>
        <v>22.491784951733468</v>
      </c>
      <c r="M950" s="16">
        <f t="shared" si="221"/>
        <v>1.4778085603653349E-11</v>
      </c>
      <c r="N950" s="16">
        <f t="shared" si="222"/>
        <v>101501645086.50424</v>
      </c>
      <c r="O950" s="16">
        <f t="shared" si="224"/>
        <v>78380448222.464859</v>
      </c>
      <c r="P950" s="18">
        <f t="shared" si="223"/>
        <v>-64491001633.655647</v>
      </c>
    </row>
    <row r="951" spans="1:16" x14ac:dyDescent="0.4">
      <c r="A951" s="14">
        <v>0.93799999999999994</v>
      </c>
      <c r="B951" s="44">
        <f t="shared" si="225"/>
        <v>5.8936278181344512</v>
      </c>
      <c r="C951" s="40">
        <f t="shared" si="211"/>
        <v>6.7897979152446434E-12</v>
      </c>
      <c r="D951" s="15">
        <f t="shared" si="212"/>
        <v>147279788365.2431</v>
      </c>
      <c r="E951" s="15">
        <f t="shared" si="213"/>
        <v>136245175244.08916</v>
      </c>
      <c r="F951" s="29">
        <f t="shared" si="214"/>
        <v>-55933784813.994431</v>
      </c>
      <c r="G951" s="17">
        <f t="shared" si="215"/>
        <v>24.470342700894243</v>
      </c>
      <c r="H951" s="16">
        <f t="shared" si="216"/>
        <v>2.0954509227283895E-11</v>
      </c>
      <c r="I951" s="16">
        <f t="shared" si="217"/>
        <v>47722425238.093689</v>
      </c>
      <c r="J951" s="16">
        <f t="shared" si="218"/>
        <v>37630057289.322403</v>
      </c>
      <c r="K951" s="18">
        <f t="shared" si="219"/>
        <v>-29349764207.02142</v>
      </c>
      <c r="L951" s="17">
        <f t="shared" si="220"/>
        <v>22.515788991169675</v>
      </c>
      <c r="M951" s="16">
        <f t="shared" si="221"/>
        <v>1.4821738060498202E-11</v>
      </c>
      <c r="N951" s="16">
        <f t="shared" si="222"/>
        <v>101202706044.15071</v>
      </c>
      <c r="O951" s="16">
        <f t="shared" si="224"/>
        <v>79800295296.726837</v>
      </c>
      <c r="P951" s="18">
        <f t="shared" si="223"/>
        <v>-62240666619.293022</v>
      </c>
    </row>
    <row r="952" spans="1:16" x14ac:dyDescent="0.4">
      <c r="A952" s="14">
        <v>0.93899999999999995</v>
      </c>
      <c r="B952" s="44">
        <f t="shared" si="225"/>
        <v>5.8999110034416313</v>
      </c>
      <c r="C952" s="40">
        <f t="shared" si="211"/>
        <v>6.7900625060096058E-12</v>
      </c>
      <c r="D952" s="15">
        <f t="shared" si="212"/>
        <v>147274049261.68811</v>
      </c>
      <c r="E952" s="15">
        <f t="shared" si="213"/>
        <v>136588603199.72276</v>
      </c>
      <c r="F952" s="29">
        <f t="shared" si="214"/>
        <v>-55074486487.690628</v>
      </c>
      <c r="G952" s="17">
        <f t="shared" si="215"/>
        <v>24.496430486289654</v>
      </c>
      <c r="H952" s="16">
        <f t="shared" si="216"/>
        <v>2.101299634394927E-11</v>
      </c>
      <c r="I952" s="16">
        <f t="shared" si="217"/>
        <v>47589595678.388428</v>
      </c>
      <c r="J952" s="16">
        <f t="shared" si="218"/>
        <v>38276002575.757805</v>
      </c>
      <c r="K952" s="18">
        <f t="shared" si="219"/>
        <v>-28279272332.453468</v>
      </c>
      <c r="L952" s="17">
        <f t="shared" si="220"/>
        <v>22.539793030605892</v>
      </c>
      <c r="M952" s="16">
        <f t="shared" si="221"/>
        <v>1.4867239496569316E-11</v>
      </c>
      <c r="N952" s="16">
        <f t="shared" si="222"/>
        <v>100892973463.30716</v>
      </c>
      <c r="O952" s="16">
        <f t="shared" si="224"/>
        <v>81147562972.701096</v>
      </c>
      <c r="P952" s="18">
        <f t="shared" si="223"/>
        <v>-59953858239.975784</v>
      </c>
    </row>
    <row r="953" spans="1:16" x14ac:dyDescent="0.4">
      <c r="A953" s="14">
        <v>0.94</v>
      </c>
      <c r="B953" s="44">
        <f t="shared" si="225"/>
        <v>5.9061941887488105</v>
      </c>
      <c r="C953" s="40">
        <f t="shared" si="211"/>
        <v>6.7903230055874821E-12</v>
      </c>
      <c r="D953" s="15">
        <f t="shared" si="212"/>
        <v>147268399334.92715</v>
      </c>
      <c r="E953" s="15">
        <f t="shared" si="213"/>
        <v>136926694816.01624</v>
      </c>
      <c r="F953" s="29">
        <f t="shared" si="214"/>
        <v>-54213113629.75869</v>
      </c>
      <c r="G953" s="17">
        <f t="shared" si="215"/>
        <v>24.522518271685062</v>
      </c>
      <c r="H953" s="16">
        <f t="shared" si="216"/>
        <v>2.1069454005544443E-11</v>
      </c>
      <c r="I953" s="16">
        <f t="shared" si="217"/>
        <v>47462074704.776367</v>
      </c>
      <c r="J953" s="16">
        <f t="shared" si="218"/>
        <v>38896132402.350159</v>
      </c>
      <c r="K953" s="18">
        <f t="shared" si="219"/>
        <v>-27198151029.447189</v>
      </c>
      <c r="L953" s="17">
        <f t="shared" si="220"/>
        <v>22.563797070042106</v>
      </c>
      <c r="M953" s="16">
        <f t="shared" si="221"/>
        <v>1.4914563695475181E-11</v>
      </c>
      <c r="N953" s="16">
        <f t="shared" si="222"/>
        <v>100572838108.23604</v>
      </c>
      <c r="O953" s="16">
        <f t="shared" si="224"/>
        <v>82421479707.131317</v>
      </c>
      <c r="P953" s="18">
        <f t="shared" si="223"/>
        <v>-57633284203.074837</v>
      </c>
    </row>
    <row r="954" spans="1:16" x14ac:dyDescent="0.4">
      <c r="A954" s="14">
        <v>0.94099999999999995</v>
      </c>
      <c r="B954" s="44">
        <f t="shared" si="225"/>
        <v>5.9124773740559906</v>
      </c>
      <c r="C954" s="40">
        <f t="shared" si="211"/>
        <v>6.7905794036941951E-12</v>
      </c>
      <c r="D954" s="15">
        <f t="shared" si="212"/>
        <v>147262838787.5094</v>
      </c>
      <c r="E954" s="15">
        <f t="shared" si="213"/>
        <v>137259437972.42804</v>
      </c>
      <c r="F954" s="29">
        <f t="shared" si="214"/>
        <v>-53349698923.697395</v>
      </c>
      <c r="G954" s="17">
        <f t="shared" si="215"/>
        <v>24.548606057080473</v>
      </c>
      <c r="H954" s="16">
        <f t="shared" si="216"/>
        <v>2.1123843790713999E-11</v>
      </c>
      <c r="I954" s="16">
        <f t="shared" si="217"/>
        <v>47339869102.781288</v>
      </c>
      <c r="J954" s="16">
        <f t="shared" si="218"/>
        <v>39490413771.345779</v>
      </c>
      <c r="K954" s="18">
        <f t="shared" si="219"/>
        <v>-26106903815.588135</v>
      </c>
      <c r="L954" s="17">
        <f t="shared" si="220"/>
        <v>22.587801109478324</v>
      </c>
      <c r="M954" s="16">
        <f t="shared" si="221"/>
        <v>1.4963683390609926E-11</v>
      </c>
      <c r="N954" s="16">
        <f t="shared" si="222"/>
        <v>100242698327.95891</v>
      </c>
      <c r="O954" s="16">
        <f t="shared" si="224"/>
        <v>83621389529.670532</v>
      </c>
      <c r="P954" s="18">
        <f t="shared" si="223"/>
        <v>-55281658632.834846</v>
      </c>
    </row>
    <row r="955" spans="1:16" x14ac:dyDescent="0.4">
      <c r="A955" s="14">
        <v>0.94199999999999995</v>
      </c>
      <c r="B955" s="44">
        <f t="shared" si="225"/>
        <v>5.9187605593631698</v>
      </c>
      <c r="C955" s="40">
        <f t="shared" si="211"/>
        <v>6.7908316902075857E-12</v>
      </c>
      <c r="D955" s="15">
        <f t="shared" si="212"/>
        <v>147257367818.73199</v>
      </c>
      <c r="E955" s="15">
        <f t="shared" si="213"/>
        <v>137586820743.02017</v>
      </c>
      <c r="F955" s="29">
        <f t="shared" si="214"/>
        <v>-52484275118.642548</v>
      </c>
      <c r="G955" s="17">
        <f t="shared" si="215"/>
        <v>24.574693842475881</v>
      </c>
      <c r="H955" s="16">
        <f t="shared" si="216"/>
        <v>2.1176128685362622E-11</v>
      </c>
      <c r="I955" s="16">
        <f t="shared" si="217"/>
        <v>47222984656.832985</v>
      </c>
      <c r="J955" s="16">
        <f t="shared" si="218"/>
        <v>40058818553.274185</v>
      </c>
      <c r="K955" s="18">
        <f t="shared" si="219"/>
        <v>-25006025994.054703</v>
      </c>
      <c r="L955" s="17">
        <f t="shared" si="220"/>
        <v>22.611805148914534</v>
      </c>
      <c r="M955" s="16">
        <f t="shared" si="221"/>
        <v>1.5014570280863312E-11</v>
      </c>
      <c r="N955" s="16">
        <f t="shared" si="222"/>
        <v>99902959055.166016</v>
      </c>
      <c r="O955" s="16">
        <f t="shared" si="224"/>
        <v>84746750736.074081</v>
      </c>
      <c r="P955" s="18">
        <f t="shared" si="223"/>
        <v>-52901696264.447937</v>
      </c>
    </row>
    <row r="956" spans="1:16" x14ac:dyDescent="0.4">
      <c r="A956" s="14">
        <v>0.94299999999999995</v>
      </c>
      <c r="B956" s="44">
        <f t="shared" si="225"/>
        <v>5.9250437446703499</v>
      </c>
      <c r="C956" s="40">
        <f t="shared" si="211"/>
        <v>6.7910798551678146E-12</v>
      </c>
      <c r="D956" s="15">
        <f t="shared" si="212"/>
        <v>147251986624.6351</v>
      </c>
      <c r="E956" s="15">
        <f t="shared" si="213"/>
        <v>137908831396.74832</v>
      </c>
      <c r="F956" s="29">
        <f t="shared" si="214"/>
        <v>-51616875028.278854</v>
      </c>
      <c r="G956" s="17">
        <f t="shared" si="215"/>
        <v>24.600781627871292</v>
      </c>
      <c r="H956" s="16">
        <f t="shared" si="216"/>
        <v>2.1226273107844465E-11</v>
      </c>
      <c r="I956" s="16">
        <f t="shared" si="217"/>
        <v>47111426246.109879</v>
      </c>
      <c r="J956" s="16">
        <f t="shared" si="218"/>
        <v>40601323020.869492</v>
      </c>
      <c r="K956" s="18">
        <f t="shared" si="219"/>
        <v>-23896004935.923161</v>
      </c>
      <c r="L956" s="17">
        <f t="shared" si="220"/>
        <v>22.635809188350752</v>
      </c>
      <c r="M956" s="16">
        <f t="shared" si="221"/>
        <v>1.5067195046926989E-11</v>
      </c>
      <c r="N956" s="16">
        <f t="shared" si="222"/>
        <v>99554030815.173569</v>
      </c>
      <c r="O956" s="16">
        <f t="shared" si="224"/>
        <v>85797134267.193161</v>
      </c>
      <c r="P956" s="18">
        <f t="shared" si="223"/>
        <v>-50496106811.17662</v>
      </c>
    </row>
    <row r="957" spans="1:16" x14ac:dyDescent="0.4">
      <c r="A957" s="14">
        <v>0.94399999999999995</v>
      </c>
      <c r="B957" s="44">
        <f t="shared" si="225"/>
        <v>5.9313269299775291</v>
      </c>
      <c r="C957" s="40">
        <f t="shared" si="211"/>
        <v>6.7913238887777562E-12</v>
      </c>
      <c r="D957" s="15">
        <f t="shared" si="212"/>
        <v>147246695397.99719</v>
      </c>
      <c r="E957" s="15">
        <f t="shared" si="213"/>
        <v>138225458397.74683</v>
      </c>
      <c r="F957" s="29">
        <f t="shared" si="214"/>
        <v>-50747531529.753532</v>
      </c>
      <c r="G957" s="17">
        <f t="shared" si="215"/>
        <v>24.6268694132667</v>
      </c>
      <c r="H957" s="16">
        <f t="shared" si="216"/>
        <v>2.1274242933177647E-11</v>
      </c>
      <c r="I957" s="16">
        <f t="shared" si="217"/>
        <v>47005197935.409401</v>
      </c>
      <c r="J957" s="16">
        <f t="shared" si="218"/>
        <v>41117907407.170403</v>
      </c>
      <c r="K957" s="18">
        <f t="shared" si="219"/>
        <v>-22777320373.616772</v>
      </c>
      <c r="L957" s="17">
        <f t="shared" si="220"/>
        <v>22.659813227786966</v>
      </c>
      <c r="M957" s="16">
        <f t="shared" si="221"/>
        <v>1.5121527368187171E-11</v>
      </c>
      <c r="N957" s="16">
        <f t="shared" si="222"/>
        <v>99196328748.887878</v>
      </c>
      <c r="O957" s="16">
        <f t="shared" si="224"/>
        <v>86772221791.995789</v>
      </c>
      <c r="P957" s="18">
        <f t="shared" si="223"/>
        <v>-48067589522.859695</v>
      </c>
    </row>
    <row r="958" spans="1:16" x14ac:dyDescent="0.4">
      <c r="A958" s="14">
        <v>0.94499999999999995</v>
      </c>
      <c r="B958" s="44">
        <f t="shared" si="225"/>
        <v>5.9376101152847083</v>
      </c>
      <c r="C958" s="40">
        <f t="shared" si="211"/>
        <v>6.7915637814033767E-12</v>
      </c>
      <c r="D958" s="15">
        <f t="shared" si="212"/>
        <v>147241494328.33047</v>
      </c>
      <c r="E958" s="15">
        <f t="shared" si="213"/>
        <v>138536690405.60876</v>
      </c>
      <c r="F958" s="29">
        <f t="shared" si="214"/>
        <v>-49876277562.587662</v>
      </c>
      <c r="G958" s="17">
        <f t="shared" si="215"/>
        <v>24.652957198662108</v>
      </c>
      <c r="H958" s="16">
        <f t="shared" si="216"/>
        <v>2.132000551626748E-11</v>
      </c>
      <c r="I958" s="16">
        <f t="shared" si="217"/>
        <v>46904303061.131256</v>
      </c>
      <c r="J958" s="16">
        <f t="shared" si="218"/>
        <v>41608555487.387436</v>
      </c>
      <c r="K958" s="18">
        <f t="shared" si="219"/>
        <v>-21650444704.519295</v>
      </c>
      <c r="L958" s="17">
        <f t="shared" si="220"/>
        <v>22.68381726722318</v>
      </c>
      <c r="M958" s="16">
        <f t="shared" si="221"/>
        <v>1.517753594019444E-11</v>
      </c>
      <c r="N958" s="16">
        <f t="shared" si="222"/>
        <v>98830271653.488403</v>
      </c>
      <c r="O958" s="16">
        <f t="shared" si="224"/>
        <v>87671803513.81105</v>
      </c>
      <c r="P958" s="18">
        <f t="shared" si="223"/>
        <v>-45618827952.261337</v>
      </c>
    </row>
    <row r="959" spans="1:16" x14ac:dyDescent="0.4">
      <c r="A959" s="14">
        <v>0.94599999999999995</v>
      </c>
      <c r="B959" s="44">
        <f t="shared" si="225"/>
        <v>5.9438933005918884</v>
      </c>
      <c r="C959" s="40">
        <f t="shared" si="211"/>
        <v>6.791799523574132E-12</v>
      </c>
      <c r="D959" s="15">
        <f t="shared" si="212"/>
        <v>147236383601.87607</v>
      </c>
      <c r="E959" s="15">
        <f t="shared" si="213"/>
        <v>138842516275.66046</v>
      </c>
      <c r="F959" s="29">
        <f t="shared" si="214"/>
        <v>-49003146127.588196</v>
      </c>
      <c r="G959" s="17">
        <f t="shared" si="215"/>
        <v>24.679044984057523</v>
      </c>
      <c r="H959" s="16">
        <f t="shared" si="216"/>
        <v>2.1363529714122564E-11</v>
      </c>
      <c r="I959" s="16">
        <f t="shared" si="217"/>
        <v>46808744312.459778</v>
      </c>
      <c r="J959" s="16">
        <f t="shared" si="218"/>
        <v>42073254184.115631</v>
      </c>
      <c r="K959" s="18">
        <f t="shared" si="219"/>
        <v>-20515843303.847698</v>
      </c>
      <c r="L959" s="17">
        <f t="shared" si="220"/>
        <v>22.707821306659397</v>
      </c>
      <c r="M959" s="16">
        <f t="shared" si="221"/>
        <v>1.5235188492700291E-11</v>
      </c>
      <c r="N959" s="16">
        <f t="shared" si="222"/>
        <v>98456281044.287842</v>
      </c>
      <c r="O959" s="16">
        <f t="shared" si="224"/>
        <v>88495775719.76033</v>
      </c>
      <c r="P959" s="18">
        <f t="shared" si="223"/>
        <v>-43152484943.855446</v>
      </c>
    </row>
    <row r="960" spans="1:16" x14ac:dyDescent="0.4">
      <c r="A960" s="14">
        <v>0.94699999999999995</v>
      </c>
      <c r="B960" s="44">
        <f t="shared" si="225"/>
        <v>5.9501764858990676</v>
      </c>
      <c r="C960" s="40">
        <f t="shared" si="211"/>
        <v>6.79203110598332E-12</v>
      </c>
      <c r="D960" s="15">
        <f t="shared" si="212"/>
        <v>147231363401.59979</v>
      </c>
      <c r="E960" s="15">
        <f t="shared" si="213"/>
        <v>139142925059.23123</v>
      </c>
      <c r="F960" s="29">
        <f t="shared" si="214"/>
        <v>-48128170285.759888</v>
      </c>
      <c r="G960" s="17">
        <f t="shared" si="215"/>
        <v>24.705132769452931</v>
      </c>
      <c r="H960" s="16">
        <f t="shared" si="216"/>
        <v>2.1404785907048621E-11</v>
      </c>
      <c r="I960" s="16">
        <f t="shared" si="217"/>
        <v>46718523807.8321</v>
      </c>
      <c r="J960" s="16">
        <f t="shared" si="218"/>
        <v>42511993195.472633</v>
      </c>
      <c r="K960" s="18">
        <f t="shared" si="219"/>
        <v>-19373974845.938656</v>
      </c>
      <c r="L960" s="17">
        <f t="shared" si="220"/>
        <v>22.731825346095611</v>
      </c>
      <c r="M960" s="16">
        <f t="shared" si="221"/>
        <v>1.5294451808250116E-11</v>
      </c>
      <c r="N960" s="16">
        <f t="shared" si="222"/>
        <v>98074780240.954544</v>
      </c>
      <c r="O960" s="16">
        <f t="shared" si="224"/>
        <v>89244138093.934464</v>
      </c>
      <c r="P960" s="18">
        <f t="shared" si="223"/>
        <v>-40671197857.725845</v>
      </c>
    </row>
    <row r="961" spans="1:16" x14ac:dyDescent="0.4">
      <c r="A961" s="14">
        <v>0.94799999999999995</v>
      </c>
      <c r="B961" s="44">
        <f t="shared" si="225"/>
        <v>5.9564596712062476</v>
      </c>
      <c r="C961" s="40">
        <f t="shared" si="211"/>
        <v>6.7922585194884656E-12</v>
      </c>
      <c r="D961" s="15">
        <f t="shared" si="212"/>
        <v>147226433907.18753</v>
      </c>
      <c r="E961" s="15">
        <f t="shared" si="213"/>
        <v>139437906003.91803</v>
      </c>
      <c r="F961" s="29">
        <f t="shared" si="214"/>
        <v>-47251383157.215363</v>
      </c>
      <c r="G961" s="17">
        <f t="shared" si="215"/>
        <v>24.731220554848342</v>
      </c>
      <c r="H961" s="16">
        <f t="shared" si="216"/>
        <v>2.1443746018805757E-11</v>
      </c>
      <c r="I961" s="16">
        <f t="shared" si="217"/>
        <v>46633643166.777809</v>
      </c>
      <c r="J961" s="16">
        <f t="shared" si="218"/>
        <v>42924764645.745331</v>
      </c>
      <c r="K961" s="18">
        <f t="shared" si="219"/>
        <v>-18225291633.160065</v>
      </c>
      <c r="L961" s="17">
        <f t="shared" si="220"/>
        <v>22.755829385531829</v>
      </c>
      <c r="M961" s="16">
        <f t="shared" si="221"/>
        <v>1.5355291741322061E-11</v>
      </c>
      <c r="N961" s="16">
        <f t="shared" si="222"/>
        <v>97686193481.000763</v>
      </c>
      <c r="O961" s="16">
        <f t="shared" si="224"/>
        <v>89916990815.290604</v>
      </c>
      <c r="P961" s="18">
        <f t="shared" si="223"/>
        <v>-38177574039.355377</v>
      </c>
    </row>
    <row r="962" spans="1:16" x14ac:dyDescent="0.4">
      <c r="A962" s="14">
        <v>0.94899999999999995</v>
      </c>
      <c r="B962" s="44">
        <f t="shared" si="225"/>
        <v>5.9627428565134268</v>
      </c>
      <c r="C962" s="40">
        <f t="shared" si="211"/>
        <v>6.7924817551116728E-12</v>
      </c>
      <c r="D962" s="15">
        <f t="shared" si="212"/>
        <v>147221595295.04092</v>
      </c>
      <c r="E962" s="15">
        <f t="shared" si="213"/>
        <v>139727448553.8446</v>
      </c>
      <c r="F962" s="29">
        <f t="shared" si="214"/>
        <v>-46372817920.086838</v>
      </c>
      <c r="G962" s="17">
        <f t="shared" si="215"/>
        <v>24.75730834024375</v>
      </c>
      <c r="H962" s="16">
        <f t="shared" si="216"/>
        <v>2.1480383535715227E-11</v>
      </c>
      <c r="I962" s="16">
        <f t="shared" si="217"/>
        <v>46554103577.215446</v>
      </c>
      <c r="J962" s="16">
        <f t="shared" si="218"/>
        <v>43311562758.129524</v>
      </c>
      <c r="K962" s="18">
        <f t="shared" si="219"/>
        <v>-17070239931.726543</v>
      </c>
      <c r="L962" s="17">
        <f t="shared" si="220"/>
        <v>22.779833424968043</v>
      </c>
      <c r="M962" s="16">
        <f t="shared" si="221"/>
        <v>1.541767323800043E-11</v>
      </c>
      <c r="N962" s="16">
        <f t="shared" si="222"/>
        <v>97290945063.156631</v>
      </c>
      <c r="O962" s="16">
        <f t="shared" si="224"/>
        <v>90514531461.475143</v>
      </c>
      <c r="P962" s="18">
        <f t="shared" si="223"/>
        <v>-35674186544.219704</v>
      </c>
    </row>
    <row r="963" spans="1:16" x14ac:dyDescent="0.4">
      <c r="A963" s="14">
        <v>0.95</v>
      </c>
      <c r="B963" s="44">
        <f t="shared" si="225"/>
        <v>5.9690260418206069</v>
      </c>
      <c r="C963" s="40">
        <f t="shared" si="211"/>
        <v>6.7927008040399824E-12</v>
      </c>
      <c r="D963" s="15">
        <f t="shared" si="212"/>
        <v>147216847738.27319</v>
      </c>
      <c r="E963" s="15">
        <f t="shared" si="213"/>
        <v>140011542349.91617</v>
      </c>
      <c r="F963" s="29">
        <f t="shared" si="214"/>
        <v>-45492507809.435486</v>
      </c>
      <c r="G963" s="17">
        <f t="shared" si="215"/>
        <v>24.783396125639161</v>
      </c>
      <c r="H963" s="16">
        <f t="shared" si="216"/>
        <v>2.1514673524702962E-11</v>
      </c>
      <c r="I963" s="16">
        <f t="shared" si="217"/>
        <v>46479905858.288239</v>
      </c>
      <c r="J963" s="16">
        <f t="shared" si="218"/>
        <v>43672383549.161606</v>
      </c>
      <c r="K963" s="18">
        <f t="shared" si="219"/>
        <v>-15909260313.737284</v>
      </c>
      <c r="L963" s="17">
        <f t="shared" si="220"/>
        <v>22.803837464404261</v>
      </c>
      <c r="M963" s="16">
        <f t="shared" si="221"/>
        <v>1.5481560356172656E-11</v>
      </c>
      <c r="N963" s="16">
        <f t="shared" si="222"/>
        <v>96889458522.954025</v>
      </c>
      <c r="O963" s="16">
        <f t="shared" si="224"/>
        <v>91037051739.864838</v>
      </c>
      <c r="P963" s="18">
        <f t="shared" si="223"/>
        <v>-33163570124.225189</v>
      </c>
    </row>
    <row r="964" spans="1:16" x14ac:dyDescent="0.4">
      <c r="A964" s="14">
        <v>0.95099999999999996</v>
      </c>
      <c r="B964" s="44">
        <f t="shared" si="225"/>
        <v>5.9753092271277861</v>
      </c>
      <c r="C964" s="40">
        <f t="shared" si="211"/>
        <v>6.7929156576257163E-12</v>
      </c>
      <c r="D964" s="15">
        <f t="shared" si="212"/>
        <v>147212191406.70496</v>
      </c>
      <c r="E964" s="15">
        <f t="shared" si="213"/>
        <v>140290177230.06845</v>
      </c>
      <c r="F964" s="29">
        <f t="shared" si="214"/>
        <v>-44610486116.162453</v>
      </c>
      <c r="G964" s="17">
        <f t="shared" si="215"/>
        <v>24.809483911034569</v>
      </c>
      <c r="H964" s="16">
        <f t="shared" si="216"/>
        <v>2.1546592650267323E-11</v>
      </c>
      <c r="I964" s="16">
        <f t="shared" si="217"/>
        <v>46411050518.820351</v>
      </c>
      <c r="J964" s="16">
        <f t="shared" si="218"/>
        <v>44007224544.448219</v>
      </c>
      <c r="K964" s="18">
        <f t="shared" si="219"/>
        <v>-14742788004.818115</v>
      </c>
      <c r="L964" s="17">
        <f t="shared" si="220"/>
        <v>22.827841503840471</v>
      </c>
      <c r="M964" s="16">
        <f t="shared" si="221"/>
        <v>1.5546916286237848E-11</v>
      </c>
      <c r="N964" s="16">
        <f t="shared" si="222"/>
        <v>96482155842.5578</v>
      </c>
      <c r="O964" s="16">
        <f t="shared" si="224"/>
        <v>91484934067.030212</v>
      </c>
      <c r="P964" s="18">
        <f t="shared" si="223"/>
        <v>-30648217481.262207</v>
      </c>
    </row>
    <row r="965" spans="1:16" x14ac:dyDescent="0.4">
      <c r="A965" s="14">
        <v>0.95199999999999996</v>
      </c>
      <c r="B965" s="44">
        <f t="shared" si="225"/>
        <v>5.9815924124349662</v>
      </c>
      <c r="C965" s="40">
        <f t="shared" si="211"/>
        <v>6.7931263073868231E-12</v>
      </c>
      <c r="D965" s="15">
        <f t="shared" si="212"/>
        <v>147207626466.86008</v>
      </c>
      <c r="E965" s="15">
        <f t="shared" si="213"/>
        <v>140563343229.51221</v>
      </c>
      <c r="F965" s="29">
        <f t="shared" si="214"/>
        <v>-43726786185.917519</v>
      </c>
      <c r="G965" s="17">
        <f t="shared" si="215"/>
        <v>24.83557169642998</v>
      </c>
      <c r="H965" s="16">
        <f t="shared" si="216"/>
        <v>2.1576119190359737E-11</v>
      </c>
      <c r="I965" s="16">
        <f t="shared" si="217"/>
        <v>46347537811.470863</v>
      </c>
      <c r="J965" s="16">
        <f t="shared" si="218"/>
        <v>44316084515.317543</v>
      </c>
      <c r="K965" s="18">
        <f t="shared" si="219"/>
        <v>-13571253236.785244</v>
      </c>
      <c r="L965" s="17">
        <f t="shared" si="220"/>
        <v>22.851845543276688</v>
      </c>
      <c r="M965" s="16">
        <f t="shared" si="221"/>
        <v>1.5613703372315354E-11</v>
      </c>
      <c r="N965" s="16">
        <f t="shared" si="222"/>
        <v>96069456696.586716</v>
      </c>
      <c r="O965" s="16">
        <f t="shared" si="224"/>
        <v>91858648017.605759</v>
      </c>
      <c r="P965" s="18">
        <f t="shared" si="223"/>
        <v>-28130575791.386925</v>
      </c>
    </row>
    <row r="966" spans="1:16" x14ac:dyDescent="0.4">
      <c r="A966" s="14">
        <v>0.95299999999999996</v>
      </c>
      <c r="B966" s="44">
        <f t="shared" si="225"/>
        <v>5.9878755977421454</v>
      </c>
      <c r="C966" s="40">
        <f t="shared" si="211"/>
        <v>6.7933327450072126E-12</v>
      </c>
      <c r="D966" s="15">
        <f t="shared" si="212"/>
        <v>147203153081.96173</v>
      </c>
      <c r="E966" s="15">
        <f t="shared" si="213"/>
        <v>140831030580.97217</v>
      </c>
      <c r="F966" s="29">
        <f t="shared" si="214"/>
        <v>-42841441418.009521</v>
      </c>
      <c r="G966" s="17">
        <f t="shared" si="215"/>
        <v>24.861659481825388</v>
      </c>
      <c r="H966" s="16">
        <f t="shared" si="216"/>
        <v>2.1603233051167251E-11</v>
      </c>
      <c r="I966" s="16">
        <f t="shared" si="217"/>
        <v>46289367782.660141</v>
      </c>
      <c r="J966" s="16">
        <f t="shared" si="218"/>
        <v>44598963236.029053</v>
      </c>
      <c r="K966" s="18">
        <f t="shared" si="219"/>
        <v>-12395081604.802109</v>
      </c>
      <c r="L966" s="17">
        <f t="shared" si="220"/>
        <v>22.875849582712902</v>
      </c>
      <c r="M966" s="16">
        <f t="shared" si="221"/>
        <v>1.5681883133940661E-11</v>
      </c>
      <c r="N966" s="16">
        <f t="shared" si="222"/>
        <v>95651777735.386597</v>
      </c>
      <c r="O966" s="16">
        <f t="shared" si="224"/>
        <v>92158746663.188354</v>
      </c>
      <c r="P966" s="18">
        <f t="shared" si="223"/>
        <v>-25613043501.506557</v>
      </c>
    </row>
    <row r="967" spans="1:16" x14ac:dyDescent="0.4">
      <c r="A967" s="14">
        <v>0.95399999999999996</v>
      </c>
      <c r="B967" s="44">
        <f t="shared" si="225"/>
        <v>5.9941587830493246</v>
      </c>
      <c r="C967" s="40">
        <f t="shared" si="211"/>
        <v>6.793534962337079E-12</v>
      </c>
      <c r="D967" s="15">
        <f t="shared" si="212"/>
        <v>147198771411.9285</v>
      </c>
      <c r="E967" s="15">
        <f t="shared" si="213"/>
        <v>141093229714.92142</v>
      </c>
      <c r="F967" s="29">
        <f t="shared" si="214"/>
        <v>-41954485264.314598</v>
      </c>
      <c r="G967" s="17">
        <f t="shared" si="215"/>
        <v>24.887747267220796</v>
      </c>
      <c r="H967" s="16">
        <f t="shared" si="216"/>
        <v>2.1627915780787085E-11</v>
      </c>
      <c r="I967" s="16">
        <f t="shared" si="217"/>
        <v>46236540318.33889</v>
      </c>
      <c r="J967" s="16">
        <f t="shared" si="218"/>
        <v>44855861261.200279</v>
      </c>
      <c r="K967" s="18">
        <f t="shared" si="219"/>
        <v>-11214694428.531261</v>
      </c>
      <c r="L967" s="17">
        <f t="shared" si="220"/>
        <v>22.899853622149116</v>
      </c>
      <c r="M967" s="16">
        <f t="shared" si="221"/>
        <v>1.5751416288236668E-11</v>
      </c>
      <c r="N967" s="16">
        <f t="shared" si="222"/>
        <v>95229531906.931854</v>
      </c>
      <c r="O967" s="16">
        <f t="shared" si="224"/>
        <v>92385862821.40419</v>
      </c>
      <c r="P967" s="18">
        <f t="shared" si="223"/>
        <v>-23097967398.843586</v>
      </c>
    </row>
    <row r="968" spans="1:16" x14ac:dyDescent="0.4">
      <c r="A968" s="14">
        <v>0.95499999999999996</v>
      </c>
      <c r="B968" s="44">
        <f t="shared" si="225"/>
        <v>6.0004419683565047</v>
      </c>
      <c r="C968" s="40">
        <f t="shared" si="211"/>
        <v>6.7937329513932295E-12</v>
      </c>
      <c r="D968" s="15">
        <f t="shared" si="212"/>
        <v>147194481613.37048</v>
      </c>
      <c r="E968" s="15">
        <f t="shared" si="213"/>
        <v>141349931259.81055</v>
      </c>
      <c r="F968" s="29">
        <f t="shared" si="214"/>
        <v>-41065951228.185287</v>
      </c>
      <c r="G968" s="17">
        <f t="shared" si="215"/>
        <v>24.913835052616207</v>
      </c>
      <c r="H968" s="16">
        <f t="shared" si="216"/>
        <v>2.1650150581783774E-11</v>
      </c>
      <c r="I968" s="16">
        <f t="shared" si="217"/>
        <v>46189055185.666481</v>
      </c>
      <c r="J968" s="16">
        <f t="shared" si="218"/>
        <v>45086779723.126701</v>
      </c>
      <c r="K968" s="18">
        <f t="shared" si="219"/>
        <v>-10030509116.82926</v>
      </c>
      <c r="L968" s="17">
        <f t="shared" si="220"/>
        <v>22.92385766158533</v>
      </c>
      <c r="M968" s="16">
        <f t="shared" si="221"/>
        <v>1.5822262772547082E-11</v>
      </c>
      <c r="N968" s="16">
        <f t="shared" si="222"/>
        <v>94803127818.267715</v>
      </c>
      <c r="O968" s="16">
        <f t="shared" si="224"/>
        <v>92540705234.691513</v>
      </c>
      <c r="P968" s="18">
        <f t="shared" si="223"/>
        <v>-20587639951.989262</v>
      </c>
    </row>
    <row r="969" spans="1:16" x14ac:dyDescent="0.4">
      <c r="A969" s="14">
        <v>0.95599999999999996</v>
      </c>
      <c r="B969" s="44">
        <f t="shared" si="225"/>
        <v>6.0067251536636839</v>
      </c>
      <c r="C969" s="40">
        <f t="shared" si="211"/>
        <v>6.7939267043593937E-12</v>
      </c>
      <c r="D969" s="15">
        <f t="shared" si="212"/>
        <v>147190283839.58566</v>
      </c>
      <c r="E969" s="15">
        <f t="shared" si="213"/>
        <v>141601126042.29166</v>
      </c>
      <c r="F969" s="29">
        <f t="shared" si="214"/>
        <v>-40175872863.359497</v>
      </c>
      <c r="G969" s="17">
        <f t="shared" si="215"/>
        <v>24.939922838011615</v>
      </c>
      <c r="H969" s="16">
        <f t="shared" si="216"/>
        <v>2.1669922322620373E-11</v>
      </c>
      <c r="I969" s="16">
        <f t="shared" si="217"/>
        <v>46146912070.660248</v>
      </c>
      <c r="J969" s="16">
        <f t="shared" si="218"/>
        <v>45291720148.694519</v>
      </c>
      <c r="K969" s="18">
        <f t="shared" si="219"/>
        <v>-8842939535.5609818</v>
      </c>
      <c r="L969" s="17">
        <f t="shared" si="220"/>
        <v>22.947861701021544</v>
      </c>
      <c r="M969" s="16">
        <f t="shared" si="221"/>
        <v>1.5894381767519208E-11</v>
      </c>
      <c r="N969" s="16">
        <f t="shared" si="222"/>
        <v>94372969137.139313</v>
      </c>
      <c r="O969" s="16">
        <f t="shared" si="224"/>
        <v>92624054697.654739</v>
      </c>
      <c r="P969" s="18">
        <f t="shared" si="223"/>
        <v>-18084296920.956375</v>
      </c>
    </row>
    <row r="970" spans="1:16" x14ac:dyDescent="0.4">
      <c r="A970" s="14">
        <v>0.95699999999999996</v>
      </c>
      <c r="B970" s="44">
        <f t="shared" si="225"/>
        <v>6.013008338970864</v>
      </c>
      <c r="C970" s="40">
        <f t="shared" si="211"/>
        <v>6.7941162135865381E-12</v>
      </c>
      <c r="D970" s="15">
        <f t="shared" si="212"/>
        <v>147186178240.55606</v>
      </c>
      <c r="E970" s="15">
        <f t="shared" si="213"/>
        <v>141846805087.43765</v>
      </c>
      <c r="F970" s="29">
        <f t="shared" si="214"/>
        <v>-39284283772.867828</v>
      </c>
      <c r="G970" s="17">
        <f t="shared" si="215"/>
        <v>24.966010623407026</v>
      </c>
      <c r="H970" s="16">
        <f t="shared" si="216"/>
        <v>2.168721754795601E-11</v>
      </c>
      <c r="I970" s="16">
        <f t="shared" si="217"/>
        <v>46110110611.87278</v>
      </c>
      <c r="J970" s="16">
        <f t="shared" si="218"/>
        <v>45470684295.609207</v>
      </c>
      <c r="K970" s="18">
        <f t="shared" si="219"/>
        <v>-7652396378.1406889</v>
      </c>
      <c r="L970" s="17">
        <f t="shared" si="220"/>
        <v>22.971865740457762</v>
      </c>
      <c r="M970" s="16">
        <f t="shared" si="221"/>
        <v>1.596773172062265E-11</v>
      </c>
      <c r="N970" s="16">
        <f t="shared" si="222"/>
        <v>93939454034.208221</v>
      </c>
      <c r="O970" s="16">
        <f t="shared" si="224"/>
        <v>92636760151.07019</v>
      </c>
      <c r="P970" s="18">
        <f t="shared" si="223"/>
        <v>-15590115232.358404</v>
      </c>
    </row>
    <row r="971" spans="1:16" x14ac:dyDescent="0.4">
      <c r="A971" s="14">
        <v>0.95799999999999996</v>
      </c>
      <c r="B971" s="44">
        <f t="shared" si="225"/>
        <v>6.0192915242780431</v>
      </c>
      <c r="C971" s="40">
        <f t="shared" si="211"/>
        <v>6.794301471593162E-12</v>
      </c>
      <c r="D971" s="15">
        <f t="shared" si="212"/>
        <v>147182164962.94431</v>
      </c>
      <c r="E971" s="15">
        <f t="shared" si="213"/>
        <v>142086959618.95639</v>
      </c>
      <c r="F971" s="29">
        <f t="shared" si="214"/>
        <v>-38391217607.942581</v>
      </c>
      <c r="G971" s="17">
        <f t="shared" si="215"/>
        <v>24.992098408802438</v>
      </c>
      <c r="H971" s="16">
        <f t="shared" si="216"/>
        <v>2.1702024487802672E-11</v>
      </c>
      <c r="I971" s="16">
        <f t="shared" si="217"/>
        <v>46078650430.149338</v>
      </c>
      <c r="J971" s="16">
        <f t="shared" si="218"/>
        <v>45623674007.686523</v>
      </c>
      <c r="K971" s="18">
        <f t="shared" si="219"/>
        <v>-6459287538.4403791</v>
      </c>
      <c r="L971" s="17">
        <f t="shared" si="220"/>
        <v>22.99586977989398</v>
      </c>
      <c r="M971" s="16">
        <f t="shared" si="221"/>
        <v>1.6042270370090489E-11</v>
      </c>
      <c r="N971" s="16">
        <f t="shared" si="222"/>
        <v>93502974666.019104</v>
      </c>
      <c r="O971" s="16">
        <f t="shared" si="224"/>
        <v>92579734759.770859</v>
      </c>
      <c r="P971" s="18">
        <f t="shared" si="223"/>
        <v>-13107211114.676006</v>
      </c>
    </row>
    <row r="972" spans="1:16" x14ac:dyDescent="0.4">
      <c r="A972" s="14">
        <v>0.95899999999999996</v>
      </c>
      <c r="B972" s="44">
        <f t="shared" si="225"/>
        <v>6.0255747095852232</v>
      </c>
      <c r="C972" s="40">
        <f t="shared" si="211"/>
        <v>6.7944824710655972E-12</v>
      </c>
      <c r="D972" s="15">
        <f t="shared" si="212"/>
        <v>147178244150.09012</v>
      </c>
      <c r="E972" s="15">
        <f t="shared" si="213"/>
        <v>142321581059.40005</v>
      </c>
      <c r="F972" s="29">
        <f t="shared" si="214"/>
        <v>-37496708066.924484</v>
      </c>
      <c r="G972" s="17">
        <f t="shared" si="215"/>
        <v>25.018186194197849</v>
      </c>
      <c r="H972" s="16">
        <f t="shared" si="216"/>
        <v>2.1714333065535108E-11</v>
      </c>
      <c r="I972" s="16">
        <f t="shared" si="217"/>
        <v>46052531154.511742</v>
      </c>
      <c r="J972" s="16">
        <f t="shared" si="218"/>
        <v>45750691088.979668</v>
      </c>
      <c r="K972" s="18">
        <f t="shared" si="219"/>
        <v>-5264018485.7227888</v>
      </c>
      <c r="L972" s="17">
        <f t="shared" si="220"/>
        <v>23.019873819330193</v>
      </c>
      <c r="M972" s="16">
        <f t="shared" si="221"/>
        <v>1.6117954769269074E-11</v>
      </c>
      <c r="N972" s="16">
        <f t="shared" si="222"/>
        <v>93063916698.65834</v>
      </c>
      <c r="O972" s="16">
        <f t="shared" si="224"/>
        <v>92453951990.730606</v>
      </c>
      <c r="P972" s="18">
        <f t="shared" si="223"/>
        <v>-10637638487.488628</v>
      </c>
    </row>
    <row r="973" spans="1:16" x14ac:dyDescent="0.4">
      <c r="A973" s="14">
        <v>0.96</v>
      </c>
      <c r="B973" s="44">
        <f t="shared" si="225"/>
        <v>6.0318578948924024</v>
      </c>
      <c r="C973" s="40">
        <f t="shared" ref="C973:C1013" si="226">((semiejeMayorTierra*(1-(excentricidadTierra^2)))^-1)*(1+excentricidadTierra*COS(Φ))</f>
        <v>6.7946592048582939E-12</v>
      </c>
      <c r="D973" s="15">
        <f t="shared" ref="D973:D1013" si="227">1/u0Tierra</f>
        <v>147174415942.00684</v>
      </c>
      <c r="E973" s="15">
        <f t="shared" ref="E973:E1013" si="228">r0Tierra*COS(Φ)</f>
        <v>142550661030.36896</v>
      </c>
      <c r="F973" s="29">
        <f t="shared" ref="F973:F1013" si="229">r0Tierra*SIN(Φ)</f>
        <v>-36600788894.171165</v>
      </c>
      <c r="G973" s="17">
        <f t="shared" ref="G973:G1013" si="230">Φ*relaciónOrbitas</f>
        <v>25.044273979593257</v>
      </c>
      <c r="H973" s="16">
        <f t="shared" ref="H973:H1013" si="231">((semiejeMayorMercurio*(1-(excentricidadMercurio^2)))^-1)*(1+excentricidadMercurio*COS(ΦMercurio))</f>
        <v>2.1724134904748307E-11</v>
      </c>
      <c r="I973" s="16">
        <f t="shared" ref="I973:I1013" si="232">1/u0Mercurio</f>
        <v>46031752444.210197</v>
      </c>
      <c r="J973" s="16">
        <f t="shared" ref="J973:J1013" si="233">r0Mercurio*COS(ΦMercurio)</f>
        <v>45851737196.542358</v>
      </c>
      <c r="K973" s="18">
        <f t="shared" ref="K973:K1013" si="234">r0Mercurio*SIN(ΦMercurio)</f>
        <v>-4066992641.284884</v>
      </c>
      <c r="L973" s="17">
        <f t="shared" ref="L973:L1013" si="235">ΦMercurio*(1-(simulaciónÁngulo*((3/2)*rsSol*((semiejeMayorMercurio*(1-(excentricidadMercurio^2)))^-1))))</f>
        <v>23.043877858766407</v>
      </c>
      <c r="M973" s="16">
        <f t="shared" ref="M973:M1013" si="236">((semiejeMayorMercurio*(1-(excentricidadMercurio^2)))^-1)*(1+excentricidadMercurio*COS(ΦLPMercurio))</f>
        <v>1.6194741311362481E-11</v>
      </c>
      <c r="N973" s="16">
        <f t="shared" ref="N973:N1013" si="237">1*simulaciónRadio/uMercurio</f>
        <v>92622658871.838654</v>
      </c>
      <c r="O973" s="16">
        <f t="shared" si="224"/>
        <v>92260441706.70517</v>
      </c>
      <c r="P973" s="18">
        <f t="shared" ref="P973:P1013" si="238">rMercurio*SIN(ΦMercurio)</f>
        <v>-8183387597.6057491</v>
      </c>
    </row>
    <row r="974" spans="1:16" x14ac:dyDescent="0.4">
      <c r="A974" s="14">
        <v>0.96099999999999997</v>
      </c>
      <c r="B974" s="44">
        <f t="shared" si="225"/>
        <v>6.0381410801995825</v>
      </c>
      <c r="C974" s="40">
        <f t="shared" si="226"/>
        <v>6.7948316659941032E-12</v>
      </c>
      <c r="D974" s="15">
        <f t="shared" si="227"/>
        <v>147170680475.3782</v>
      </c>
      <c r="E974" s="15">
        <f t="shared" si="228"/>
        <v>142774191352.71152</v>
      </c>
      <c r="F974" s="29">
        <f t="shared" si="229"/>
        <v>-35703493878.963455</v>
      </c>
      <c r="G974" s="17">
        <f t="shared" si="230"/>
        <v>25.070361764988668</v>
      </c>
      <c r="H974" s="16">
        <f t="shared" si="231"/>
        <v>2.1731423334957913E-11</v>
      </c>
      <c r="I974" s="16">
        <f t="shared" si="232"/>
        <v>46016314006.978355</v>
      </c>
      <c r="J974" s="16">
        <f t="shared" si="233"/>
        <v>45926813751.655312</v>
      </c>
      <c r="K974" s="18">
        <f t="shared" si="234"/>
        <v>-2868611756.5116515</v>
      </c>
      <c r="L974" s="17">
        <f t="shared" si="235"/>
        <v>23.067881898202625</v>
      </c>
      <c r="M974" s="16">
        <f t="shared" si="236"/>
        <v>1.6272585754557233E-11</v>
      </c>
      <c r="N974" s="16">
        <f t="shared" si="237"/>
        <v>92179572602.953796</v>
      </c>
      <c r="O974" s="16">
        <f t="shared" ref="O974:O1013" si="239">rMercurio*COS(ΦMercurio)</f>
        <v>92000286289.793594</v>
      </c>
      <c r="P974" s="18">
        <f t="shared" si="238"/>
        <v>-5746383894.1761456</v>
      </c>
    </row>
    <row r="975" spans="1:16" x14ac:dyDescent="0.4">
      <c r="A975" s="14">
        <v>0.96199999999999997</v>
      </c>
      <c r="B975" s="44">
        <f t="shared" ref="B975:B1013" si="240">A975*2*PI()</f>
        <v>6.0444242655067617</v>
      </c>
      <c r="C975" s="40">
        <f t="shared" si="226"/>
        <v>6.7949998476645573E-12</v>
      </c>
      <c r="D975" s="15">
        <f t="shared" si="227"/>
        <v>147167037883.55496</v>
      </c>
      <c r="E975" s="15">
        <f t="shared" si="228"/>
        <v>142992164046.71796</v>
      </c>
      <c r="F975" s="29">
        <f t="shared" si="229"/>
        <v>-34804856854.413315</v>
      </c>
      <c r="G975" s="17">
        <f t="shared" si="230"/>
        <v>25.096449550384076</v>
      </c>
      <c r="H975" s="16">
        <f t="shared" si="231"/>
        <v>2.1736193396139726E-11</v>
      </c>
      <c r="I975" s="16">
        <f t="shared" si="232"/>
        <v>46006215613.52121</v>
      </c>
      <c r="J975" s="16">
        <f t="shared" si="233"/>
        <v>45975921869.371666</v>
      </c>
      <c r="K975" s="18">
        <f t="shared" si="234"/>
        <v>-1669276292.0603936</v>
      </c>
      <c r="L975" s="17">
        <f t="shared" si="235"/>
        <v>23.091885937638839</v>
      </c>
      <c r="M975" s="16">
        <f t="shared" si="236"/>
        <v>1.6351443247512921E-11</v>
      </c>
      <c r="N975" s="16">
        <f t="shared" si="237"/>
        <v>91735021630.469971</v>
      </c>
      <c r="O975" s="16">
        <f t="shared" si="239"/>
        <v>91674616808.257004</v>
      </c>
      <c r="P975" s="18">
        <f t="shared" si="238"/>
        <v>-3328487134.1251059</v>
      </c>
    </row>
    <row r="976" spans="1:16" x14ac:dyDescent="0.4">
      <c r="A976" s="14">
        <v>0.96299999999999997</v>
      </c>
      <c r="B976" s="44">
        <f t="shared" si="240"/>
        <v>6.0507074508139409</v>
      </c>
      <c r="C976" s="40">
        <f t="shared" si="226"/>
        <v>6.7951637432301301E-12</v>
      </c>
      <c r="D976" s="15">
        <f t="shared" si="227"/>
        <v>147163488296.55176</v>
      </c>
      <c r="E976" s="15">
        <f t="shared" si="228"/>
        <v>143204571332.31009</v>
      </c>
      <c r="F976" s="29">
        <f t="shared" si="229"/>
        <v>-33904911696.369831</v>
      </c>
      <c r="G976" s="17">
        <f t="shared" si="230"/>
        <v>25.122537335779484</v>
      </c>
      <c r="H976" s="16">
        <f t="shared" si="231"/>
        <v>2.1738441842105183E-11</v>
      </c>
      <c r="I976" s="16">
        <f t="shared" si="232"/>
        <v>46001457108.25972</v>
      </c>
      <c r="J976" s="16">
        <f t="shared" si="233"/>
        <v>45999062306.266495</v>
      </c>
      <c r="K976" s="18">
        <f t="shared" si="234"/>
        <v>-469385797.90169263</v>
      </c>
      <c r="L976" s="17">
        <f t="shared" si="235"/>
        <v>23.115889977075053</v>
      </c>
      <c r="M976" s="16">
        <f t="shared" si="236"/>
        <v>1.6431268355204092E-11</v>
      </c>
      <c r="N976" s="16">
        <f t="shared" si="237"/>
        <v>91289361695.862122</v>
      </c>
      <c r="O976" s="16">
        <f t="shared" si="239"/>
        <v>91284609238.894623</v>
      </c>
      <c r="P976" s="18">
        <f t="shared" si="238"/>
        <v>-931490708.62484932</v>
      </c>
    </row>
    <row r="977" spans="1:16" x14ac:dyDescent="0.4">
      <c r="A977" s="14">
        <v>0.96399999999999997</v>
      </c>
      <c r="B977" s="44">
        <f t="shared" si="240"/>
        <v>6.056990636121121</v>
      </c>
      <c r="C977" s="40">
        <f t="shared" si="226"/>
        <v>6.795323346220506E-12</v>
      </c>
      <c r="D977" s="15">
        <f t="shared" si="227"/>
        <v>147160031841.0441</v>
      </c>
      <c r="E977" s="15">
        <f t="shared" si="228"/>
        <v>143411405629.2258</v>
      </c>
      <c r="F977" s="29">
        <f t="shared" si="229"/>
        <v>-33003692322.32618</v>
      </c>
      <c r="G977" s="17">
        <f t="shared" si="230"/>
        <v>25.148625121174895</v>
      </c>
      <c r="H977" s="16">
        <f t="shared" si="231"/>
        <v>2.1738167142710459E-11</v>
      </c>
      <c r="I977" s="16">
        <f t="shared" si="232"/>
        <v>46002038416.349823</v>
      </c>
      <c r="J977" s="16">
        <f t="shared" si="233"/>
        <v>45996235426.303917</v>
      </c>
      <c r="K977" s="18">
        <f t="shared" si="234"/>
        <v>730660706.03900754</v>
      </c>
      <c r="L977" s="17">
        <f t="shared" si="235"/>
        <v>23.139894016511267</v>
      </c>
      <c r="M977" s="16">
        <f t="shared" si="236"/>
        <v>1.6512015085098344E-11</v>
      </c>
      <c r="N977" s="16">
        <f t="shared" si="237"/>
        <v>90842940263.160873</v>
      </c>
      <c r="O977" s="16">
        <f t="shared" si="239"/>
        <v>90831480756.229538</v>
      </c>
      <c r="P977" s="18">
        <f t="shared" si="238"/>
        <v>1442878819.2079268</v>
      </c>
    </row>
    <row r="978" spans="1:16" x14ac:dyDescent="0.4">
      <c r="A978" s="14">
        <v>0.96499999999999997</v>
      </c>
      <c r="B978" s="44">
        <f t="shared" si="240"/>
        <v>6.0632738214283002</v>
      </c>
      <c r="C978" s="40">
        <f t="shared" si="226"/>
        <v>6.7954786503348313E-12</v>
      </c>
      <c r="D978" s="15">
        <f t="shared" si="227"/>
        <v>147156668640.36536</v>
      </c>
      <c r="E978" s="15">
        <f t="shared" si="228"/>
        <v>143612659557.19855</v>
      </c>
      <c r="F978" s="29">
        <f t="shared" si="229"/>
        <v>-32101232690.326355</v>
      </c>
      <c r="G978" s="17">
        <f t="shared" si="230"/>
        <v>25.174712906570303</v>
      </c>
      <c r="H978" s="16">
        <f t="shared" si="231"/>
        <v>2.1735369484897818E-11</v>
      </c>
      <c r="I978" s="16">
        <f t="shared" si="232"/>
        <v>46007959546.987251</v>
      </c>
      <c r="J978" s="16">
        <f t="shared" si="233"/>
        <v>45967441184.765388</v>
      </c>
      <c r="K978" s="18">
        <f t="shared" si="234"/>
        <v>1930464348.8938801</v>
      </c>
      <c r="L978" s="17">
        <f t="shared" si="235"/>
        <v>23.163898055947481</v>
      </c>
      <c r="M978" s="16">
        <f t="shared" si="236"/>
        <v>1.659363691365566E-11</v>
      </c>
      <c r="N978" s="16">
        <f t="shared" si="237"/>
        <v>90396096275.047562</v>
      </c>
      <c r="O978" s="16">
        <f t="shared" si="239"/>
        <v>90316486098.713303</v>
      </c>
      <c r="P978" s="18">
        <f t="shared" si="238"/>
        <v>3792961975.632441</v>
      </c>
    </row>
    <row r="979" spans="1:16" x14ac:dyDescent="0.4">
      <c r="A979" s="14">
        <v>0.96599999999999997</v>
      </c>
      <c r="B979" s="44">
        <f t="shared" si="240"/>
        <v>6.0695570067354803</v>
      </c>
      <c r="C979" s="40">
        <f t="shared" si="226"/>
        <v>6.7956296494419681E-12</v>
      </c>
      <c r="D979" s="15">
        <f t="shared" si="227"/>
        <v>147153398814.50372</v>
      </c>
      <c r="E979" s="15">
        <f t="shared" si="228"/>
        <v>143808325936.13205</v>
      </c>
      <c r="F979" s="29">
        <f t="shared" si="229"/>
        <v>-31197566797.870476</v>
      </c>
      <c r="G979" s="17">
        <f t="shared" si="230"/>
        <v>25.200800691965714</v>
      </c>
      <c r="H979" s="16">
        <f t="shared" si="231"/>
        <v>2.1730050772568393E-11</v>
      </c>
      <c r="I979" s="16">
        <f t="shared" si="232"/>
        <v>46019220593.003914</v>
      </c>
      <c r="J979" s="16">
        <f t="shared" si="233"/>
        <v>45912679130.212608</v>
      </c>
      <c r="K979" s="18">
        <f t="shared" si="234"/>
        <v>3129626027.7698841</v>
      </c>
      <c r="L979" s="17">
        <f t="shared" si="235"/>
        <v>23.187902095383699</v>
      </c>
      <c r="M979" s="16">
        <f t="shared" si="236"/>
        <v>1.6676086813133732E-11</v>
      </c>
      <c r="N979" s="16">
        <f t="shared" si="237"/>
        <v>89949159944.324097</v>
      </c>
      <c r="O979" s="16">
        <f t="shared" si="239"/>
        <v>89740914021.124481</v>
      </c>
      <c r="P979" s="18">
        <f t="shared" si="238"/>
        <v>6117166447.199439</v>
      </c>
    </row>
    <row r="980" spans="1:16" x14ac:dyDescent="0.4">
      <c r="A980" s="14">
        <v>0.96699999999999997</v>
      </c>
      <c r="B980" s="44">
        <f t="shared" si="240"/>
        <v>6.0758401920426595</v>
      </c>
      <c r="C980" s="40">
        <f t="shared" si="226"/>
        <v>6.7957763375807279E-12</v>
      </c>
      <c r="D980" s="15">
        <f t="shared" si="227"/>
        <v>147150222480.09952</v>
      </c>
      <c r="E980" s="15">
        <f t="shared" si="228"/>
        <v>143998397786.27017</v>
      </c>
      <c r="F980" s="29">
        <f t="shared" si="229"/>
        <v>-30292728680.821819</v>
      </c>
      <c r="G980" s="17">
        <f t="shared" si="230"/>
        <v>25.226888477361122</v>
      </c>
      <c r="H980" s="16">
        <f t="shared" si="231"/>
        <v>2.1722214625286478E-11</v>
      </c>
      <c r="I980" s="16">
        <f t="shared" si="232"/>
        <v>46035821726.755074</v>
      </c>
      <c r="J980" s="16">
        <f t="shared" si="233"/>
        <v>45831948424.488419</v>
      </c>
      <c r="K980" s="18">
        <f t="shared" si="234"/>
        <v>4327746026.8144493</v>
      </c>
      <c r="L980" s="17">
        <f t="shared" si="235"/>
        <v>23.211906134819912</v>
      </c>
      <c r="M980" s="16">
        <f t="shared" si="236"/>
        <v>1.6759317278683706E-11</v>
      </c>
      <c r="N980" s="16">
        <f t="shared" si="237"/>
        <v>89502452579.489059</v>
      </c>
      <c r="O980" s="16">
        <f t="shared" si="239"/>
        <v>89106083841.321396</v>
      </c>
      <c r="P980" s="18">
        <f t="shared" si="238"/>
        <v>8413966972.0702772</v>
      </c>
    </row>
    <row r="981" spans="1:16" x14ac:dyDescent="0.4">
      <c r="A981" s="14">
        <v>0.96799999999999997</v>
      </c>
      <c r="B981" s="44">
        <f t="shared" si="240"/>
        <v>6.0821233773498395</v>
      </c>
      <c r="C981" s="40">
        <f t="shared" si="226"/>
        <v>6.7959187089601137E-12</v>
      </c>
      <c r="D981" s="15">
        <f t="shared" si="227"/>
        <v>147147139750.44241</v>
      </c>
      <c r="E981" s="15">
        <f t="shared" si="228"/>
        <v>144182868328.36185</v>
      </c>
      <c r="F981" s="29">
        <f t="shared" si="229"/>
        <v>-29386752412.311607</v>
      </c>
      <c r="G981" s="17">
        <f t="shared" si="230"/>
        <v>25.252976262756533</v>
      </c>
      <c r="H981" s="16">
        <f t="shared" si="231"/>
        <v>2.1711866375816338E-11</v>
      </c>
      <c r="I981" s="16">
        <f t="shared" si="232"/>
        <v>46057763192.290344</v>
      </c>
      <c r="J981" s="16">
        <f t="shared" si="233"/>
        <v>45725247880.788338</v>
      </c>
      <c r="K981" s="18">
        <f t="shared" si="234"/>
        <v>5524423636.6843567</v>
      </c>
      <c r="L981" s="17">
        <f t="shared" si="235"/>
        <v>23.235910174256126</v>
      </c>
      <c r="M981" s="16">
        <f t="shared" si="236"/>
        <v>1.6843280355720941E-11</v>
      </c>
      <c r="N981" s="16">
        <f t="shared" si="237"/>
        <v>89056286443.068924</v>
      </c>
      <c r="O981" s="16">
        <f t="shared" si="239"/>
        <v>88413342088.515778</v>
      </c>
      <c r="P981" s="18">
        <f t="shared" si="238"/>
        <v>10681905062.722986</v>
      </c>
    </row>
    <row r="982" spans="1:16" x14ac:dyDescent="0.4">
      <c r="A982" s="14">
        <v>0.96899999999999997</v>
      </c>
      <c r="B982" s="44">
        <f t="shared" si="240"/>
        <v>6.0884065626570187</v>
      </c>
      <c r="C982" s="40">
        <f t="shared" si="226"/>
        <v>6.7960567579595488E-12</v>
      </c>
      <c r="D982" s="15">
        <f t="shared" si="227"/>
        <v>147144150735.46863</v>
      </c>
      <c r="E982" s="15">
        <f t="shared" si="228"/>
        <v>144361730983.82086</v>
      </c>
      <c r="F982" s="29">
        <f t="shared" si="229"/>
        <v>-28479672101.645634</v>
      </c>
      <c r="G982" s="17">
        <f t="shared" si="230"/>
        <v>25.279064048151941</v>
      </c>
      <c r="H982" s="16">
        <f t="shared" si="231"/>
        <v>2.1699013066493055E-11</v>
      </c>
      <c r="I982" s="16">
        <f t="shared" si="232"/>
        <v>46085045293.79583</v>
      </c>
      <c r="J982" s="16">
        <f t="shared" si="233"/>
        <v>45592576019.866501</v>
      </c>
      <c r="K982" s="18">
        <f t="shared" si="234"/>
        <v>6719256774.6669168</v>
      </c>
      <c r="L982" s="17">
        <f t="shared" si="235"/>
        <v>23.25991421369234</v>
      </c>
      <c r="M982" s="16">
        <f t="shared" si="236"/>
        <v>1.6927927667554774E-11</v>
      </c>
      <c r="N982" s="16">
        <f t="shared" si="237"/>
        <v>88610964641.289368</v>
      </c>
      <c r="O982" s="16">
        <f t="shared" si="239"/>
        <v>87664059259.274963</v>
      </c>
      <c r="P982" s="18">
        <f t="shared" si="238"/>
        <v>12919588571.087063</v>
      </c>
    </row>
    <row r="983" spans="1:16" x14ac:dyDescent="0.4">
      <c r="A983" s="14">
        <v>0.97</v>
      </c>
      <c r="B983" s="44">
        <f t="shared" si="240"/>
        <v>6.0946897479641988</v>
      </c>
      <c r="C983" s="40">
        <f t="shared" si="226"/>
        <v>6.796190479129094E-12</v>
      </c>
      <c r="D983" s="15">
        <f t="shared" si="227"/>
        <v>147141255541.75848</v>
      </c>
      <c r="E983" s="15">
        <f t="shared" si="228"/>
        <v>144534979374.88138</v>
      </c>
      <c r="F983" s="29">
        <f t="shared" si="229"/>
        <v>-27571521893.208752</v>
      </c>
      <c r="G983" s="17">
        <f t="shared" si="230"/>
        <v>25.305151833547356</v>
      </c>
      <c r="H983" s="16">
        <f t="shared" si="231"/>
        <v>2.1683663444429979E-11</v>
      </c>
      <c r="I983" s="16">
        <f t="shared" si="232"/>
        <v>46117668380.288223</v>
      </c>
      <c r="J983" s="16">
        <f t="shared" si="233"/>
        <v>45433931144.467606</v>
      </c>
      <c r="K983" s="18">
        <f t="shared" si="234"/>
        <v>7911841605.7206564</v>
      </c>
      <c r="L983" s="17">
        <f t="shared" si="235"/>
        <v>23.283918253128562</v>
      </c>
      <c r="M983" s="16">
        <f t="shared" si="236"/>
        <v>1.7013210443261575E-11</v>
      </c>
      <c r="N983" s="16">
        <f t="shared" si="237"/>
        <v>88166781043.615738</v>
      </c>
      <c r="O983" s="16">
        <f t="shared" si="239"/>
        <v>86859626686.529251</v>
      </c>
      <c r="P983" s="18">
        <f t="shared" si="238"/>
        <v>15125691107.174372</v>
      </c>
    </row>
    <row r="984" spans="1:16" x14ac:dyDescent="0.4">
      <c r="A984" s="14">
        <v>0.97099999999999997</v>
      </c>
      <c r="B984" s="44">
        <f t="shared" si="240"/>
        <v>6.100972933271378</v>
      </c>
      <c r="C984" s="40">
        <f t="shared" si="226"/>
        <v>6.7963198671896671E-12</v>
      </c>
      <c r="D984" s="15">
        <f t="shared" si="227"/>
        <v>147138454272.53381</v>
      </c>
      <c r="E984" s="15">
        <f t="shared" si="228"/>
        <v>144702607324.74796</v>
      </c>
      <c r="F984" s="29">
        <f t="shared" si="229"/>
        <v>-26662335965.371185</v>
      </c>
      <c r="G984" s="17">
        <f t="shared" si="230"/>
        <v>25.331239618942764</v>
      </c>
      <c r="H984" s="16">
        <f t="shared" si="231"/>
        <v>2.1665827955566048E-11</v>
      </c>
      <c r="I984" s="16">
        <f t="shared" si="232"/>
        <v>46155632826.535736</v>
      </c>
      <c r="J984" s="16">
        <f t="shared" si="233"/>
        <v>45249311432.107407</v>
      </c>
      <c r="K984" s="18">
        <f t="shared" si="234"/>
        <v>9101772164.7016354</v>
      </c>
      <c r="L984" s="17">
        <f t="shared" si="235"/>
        <v>23.307922292564776</v>
      </c>
      <c r="M984" s="16">
        <f t="shared" si="236"/>
        <v>1.7099079545784812E-11</v>
      </c>
      <c r="N984" s="16">
        <f t="shared" si="237"/>
        <v>87724020230.654648</v>
      </c>
      <c r="O984" s="16">
        <f t="shared" si="239"/>
        <v>86001453525.977234</v>
      </c>
      <c r="P984" s="18">
        <f t="shared" si="238"/>
        <v>17298951322.189548</v>
      </c>
    </row>
    <row r="985" spans="1:16" x14ac:dyDescent="0.4">
      <c r="A985" s="14">
        <v>0.97199999999999998</v>
      </c>
      <c r="B985" s="44">
        <f t="shared" si="240"/>
        <v>6.1072561185785581</v>
      </c>
      <c r="C985" s="40">
        <f t="shared" si="226"/>
        <v>6.7964449170332479E-12</v>
      </c>
      <c r="D985" s="15">
        <f t="shared" si="227"/>
        <v>147135747027.65564</v>
      </c>
      <c r="E985" s="15">
        <f t="shared" si="228"/>
        <v>144864608857.7413</v>
      </c>
      <c r="F985" s="29">
        <f t="shared" si="229"/>
        <v>-25752148529.392666</v>
      </c>
      <c r="G985" s="17">
        <f t="shared" si="230"/>
        <v>25.357327404338175</v>
      </c>
      <c r="H985" s="16">
        <f t="shared" si="231"/>
        <v>2.1645518737556929E-11</v>
      </c>
      <c r="I985" s="16">
        <f t="shared" si="232"/>
        <v>46198939010.175339</v>
      </c>
      <c r="J985" s="16">
        <f t="shared" si="233"/>
        <v>45038715046.351295</v>
      </c>
      <c r="K985" s="18">
        <f t="shared" si="234"/>
        <v>10288639980.068783</v>
      </c>
      <c r="L985" s="17">
        <f t="shared" si="235"/>
        <v>23.33192633200099</v>
      </c>
      <c r="M985" s="16">
        <f t="shared" si="236"/>
        <v>1.7185485500246302E-11</v>
      </c>
      <c r="N985" s="16">
        <f t="shared" si="237"/>
        <v>87282957468.876984</v>
      </c>
      <c r="O985" s="16">
        <f t="shared" si="239"/>
        <v>85090963863.428131</v>
      </c>
      <c r="P985" s="18">
        <f t="shared" si="238"/>
        <v>19438172067.00658</v>
      </c>
    </row>
    <row r="986" spans="1:16" x14ac:dyDescent="0.4">
      <c r="A986" s="14">
        <v>0.97299999999999998</v>
      </c>
      <c r="B986" s="44">
        <f t="shared" si="240"/>
        <v>6.1135393038857373</v>
      </c>
      <c r="C986" s="40">
        <f t="shared" si="226"/>
        <v>6.7965656237230842E-12</v>
      </c>
      <c r="D986" s="15">
        <f t="shared" si="227"/>
        <v>147133133903.62161</v>
      </c>
      <c r="E986" s="15">
        <f t="shared" si="228"/>
        <v>145020978199.43842</v>
      </c>
      <c r="F986" s="29">
        <f t="shared" si="229"/>
        <v>-24840993828.328419</v>
      </c>
      <c r="G986" s="17">
        <f t="shared" si="230"/>
        <v>25.383415189733583</v>
      </c>
      <c r="H986" s="16">
        <f t="shared" si="231"/>
        <v>2.1622749611514968E-11</v>
      </c>
      <c r="I986" s="16">
        <f t="shared" si="232"/>
        <v>46247587284.988976</v>
      </c>
      <c r="J986" s="16">
        <f t="shared" si="233"/>
        <v>44802140266.770531</v>
      </c>
      <c r="K986" s="18">
        <f t="shared" si="234"/>
        <v>11472033699.36178</v>
      </c>
      <c r="L986" s="17">
        <f t="shared" si="235"/>
        <v>23.355930371437204</v>
      </c>
      <c r="M986" s="16">
        <f t="shared" si="236"/>
        <v>1.7272378522451881E-11</v>
      </c>
      <c r="N986" s="16">
        <f t="shared" si="237"/>
        <v>86843858710.610825</v>
      </c>
      <c r="O986" s="16">
        <f t="shared" si="239"/>
        <v>84129593945.828598</v>
      </c>
      <c r="P986" s="18">
        <f t="shared" si="238"/>
        <v>21542219436.690727</v>
      </c>
    </row>
    <row r="987" spans="1:16" x14ac:dyDescent="0.4">
      <c r="A987" s="14">
        <v>0.97399999999999998</v>
      </c>
      <c r="B987" s="44">
        <f t="shared" si="240"/>
        <v>6.1198224891929165</v>
      </c>
      <c r="C987" s="40">
        <f t="shared" si="226"/>
        <v>6.796681982493884E-12</v>
      </c>
      <c r="D987" s="15">
        <f t="shared" si="227"/>
        <v>147130614993.56387</v>
      </c>
      <c r="E987" s="15">
        <f t="shared" si="228"/>
        <v>145171709776.80887</v>
      </c>
      <c r="F987" s="29">
        <f t="shared" si="229"/>
        <v>-23928906135.933174</v>
      </c>
      <c r="G987" s="17">
        <f t="shared" si="230"/>
        <v>25.409502975128991</v>
      </c>
      <c r="H987" s="16">
        <f t="shared" si="231"/>
        <v>2.159753607260344E-11</v>
      </c>
      <c r="I987" s="16">
        <f t="shared" si="232"/>
        <v>46301577950.29702</v>
      </c>
      <c r="J987" s="16">
        <f t="shared" si="233"/>
        <v>44539585637.781097</v>
      </c>
      <c r="K987" s="18">
        <f t="shared" si="234"/>
        <v>12651538716.780453</v>
      </c>
      <c r="L987" s="17">
        <f t="shared" si="235"/>
        <v>23.379934410873418</v>
      </c>
      <c r="M987" s="16">
        <f t="shared" si="236"/>
        <v>1.7359708547575379E-11</v>
      </c>
      <c r="N987" s="16">
        <f t="shared" si="237"/>
        <v>86406980617.742233</v>
      </c>
      <c r="O987" s="16">
        <f t="shared" si="239"/>
        <v>83118789537.956421</v>
      </c>
      <c r="P987" s="18">
        <f t="shared" si="238"/>
        <v>23610021711.548412</v>
      </c>
    </row>
    <row r="988" spans="1:16" x14ac:dyDescent="0.4">
      <c r="A988" s="14">
        <v>0.97499999999999998</v>
      </c>
      <c r="B988" s="44">
        <f t="shared" si="240"/>
        <v>6.1261056745000966</v>
      </c>
      <c r="C988" s="40">
        <f t="shared" si="226"/>
        <v>6.7967939887519973E-12</v>
      </c>
      <c r="D988" s="15">
        <f t="shared" si="227"/>
        <v>147128190387.24704</v>
      </c>
      <c r="E988" s="15">
        <f t="shared" si="228"/>
        <v>145316798218.34552</v>
      </c>
      <c r="F988" s="29">
        <f t="shared" si="229"/>
        <v>-23015919755.566265</v>
      </c>
      <c r="G988" s="17">
        <f t="shared" si="230"/>
        <v>25.435590760524402</v>
      </c>
      <c r="H988" s="16">
        <f t="shared" si="231"/>
        <v>2.1569895279491553E-11</v>
      </c>
      <c r="I988" s="16">
        <f t="shared" si="232"/>
        <v>46360911216.420708</v>
      </c>
      <c r="J988" s="16">
        <f t="shared" si="233"/>
        <v>44251050136.598572</v>
      </c>
      <c r="K988" s="18">
        <f t="shared" si="234"/>
        <v>13826736803.204264</v>
      </c>
      <c r="L988" s="17">
        <f t="shared" si="235"/>
        <v>23.403938450309635</v>
      </c>
      <c r="M988" s="16">
        <f t="shared" si="236"/>
        <v>1.744742525900432E-11</v>
      </c>
      <c r="N988" s="16">
        <f t="shared" si="237"/>
        <v>85972570607.567184</v>
      </c>
      <c r="O988" s="16">
        <f t="shared" si="239"/>
        <v>82060003406.064041</v>
      </c>
      <c r="P988" s="18">
        <f t="shared" si="238"/>
        <v>25640568204.895206</v>
      </c>
    </row>
    <row r="989" spans="1:16" x14ac:dyDescent="0.4">
      <c r="A989" s="14">
        <v>0.97599999999999998</v>
      </c>
      <c r="B989" s="44">
        <f t="shared" si="240"/>
        <v>6.1323888598072758</v>
      </c>
      <c r="C989" s="40">
        <f t="shared" si="226"/>
        <v>6.7969016380756131E-12</v>
      </c>
      <c r="D989" s="15">
        <f t="shared" si="227"/>
        <v>147125860171.0657</v>
      </c>
      <c r="E989" s="15">
        <f t="shared" si="228"/>
        <v>145456238354.19046</v>
      </c>
      <c r="F989" s="29">
        <f t="shared" si="229"/>
        <v>-22102069019.096561</v>
      </c>
      <c r="G989" s="17">
        <f t="shared" si="230"/>
        <v>25.46167854591981</v>
      </c>
      <c r="H989" s="16">
        <f t="shared" si="231"/>
        <v>2.1539846042677413E-11</v>
      </c>
      <c r="I989" s="16">
        <f t="shared" si="232"/>
        <v>46425587166.160614</v>
      </c>
      <c r="J989" s="16">
        <f t="shared" si="233"/>
        <v>43936533360.56678</v>
      </c>
      <c r="K989" s="18">
        <f t="shared" si="234"/>
        <v>14997205739.022854</v>
      </c>
      <c r="L989" s="17">
        <f t="shared" si="235"/>
        <v>23.427942489745849</v>
      </c>
      <c r="M989" s="16">
        <f t="shared" si="236"/>
        <v>1.7535478117330596E-11</v>
      </c>
      <c r="N989" s="16">
        <f t="shared" si="237"/>
        <v>85540866919.250168</v>
      </c>
      <c r="O989" s="16">
        <f t="shared" si="239"/>
        <v>80954692929.094391</v>
      </c>
      <c r="P989" s="18">
        <f t="shared" si="238"/>
        <v>27632908027.439003</v>
      </c>
    </row>
    <row r="990" spans="1:16" x14ac:dyDescent="0.4">
      <c r="A990" s="14">
        <v>0.97699999999999998</v>
      </c>
      <c r="B990" s="44">
        <f t="shared" si="240"/>
        <v>6.1386720451144559</v>
      </c>
      <c r="C990" s="40">
        <f t="shared" si="226"/>
        <v>6.7970049262149197E-12</v>
      </c>
      <c r="D990" s="15">
        <f t="shared" si="227"/>
        <v>147123624428.04272</v>
      </c>
      <c r="E990" s="15">
        <f t="shared" si="228"/>
        <v>145590025216.25668</v>
      </c>
      <c r="F990" s="29">
        <f t="shared" si="229"/>
        <v>-21187388285.806095</v>
      </c>
      <c r="G990" s="17">
        <f t="shared" si="230"/>
        <v>25.487766331315221</v>
      </c>
      <c r="H990" s="16">
        <f t="shared" si="231"/>
        <v>2.150740881168683E-11</v>
      </c>
      <c r="I990" s="16">
        <f t="shared" si="232"/>
        <v>46495605712.233162</v>
      </c>
      <c r="J990" s="16">
        <f t="shared" si="233"/>
        <v>43596035734.142464</v>
      </c>
      <c r="K990" s="18">
        <f t="shared" si="234"/>
        <v>16162518950.17675</v>
      </c>
      <c r="L990" s="17">
        <f t="shared" si="235"/>
        <v>23.451946529182063</v>
      </c>
      <c r="M990" s="16">
        <f t="shared" si="236"/>
        <v>1.7623816389469634E-11</v>
      </c>
      <c r="N990" s="16">
        <f t="shared" si="237"/>
        <v>85112098699.363525</v>
      </c>
      <c r="O990" s="16">
        <f t="shared" si="239"/>
        <v>79804317837.4823</v>
      </c>
      <c r="P990" s="18">
        <f t="shared" si="238"/>
        <v>29586148777.836975</v>
      </c>
    </row>
    <row r="991" spans="1:16" x14ac:dyDescent="0.4">
      <c r="A991" s="14">
        <v>0.97799999999999998</v>
      </c>
      <c r="B991" s="44">
        <f t="shared" si="240"/>
        <v>6.1449552304216351</v>
      </c>
      <c r="C991" s="40">
        <f t="shared" si="226"/>
        <v>6.7971038490922771E-12</v>
      </c>
      <c r="D991" s="15">
        <f t="shared" si="227"/>
        <v>147121483237.82718</v>
      </c>
      <c r="E991" s="15">
        <f t="shared" si="228"/>
        <v>145718154038.34427</v>
      </c>
      <c r="F991" s="29">
        <f t="shared" si="229"/>
        <v>-20271911941.295387</v>
      </c>
      <c r="G991" s="17">
        <f t="shared" si="230"/>
        <v>25.513854116710629</v>
      </c>
      <c r="H991" s="16">
        <f t="shared" si="231"/>
        <v>2.1472605661156716E-11</v>
      </c>
      <c r="I991" s="16">
        <f t="shared" si="232"/>
        <v>46570966550.602158</v>
      </c>
      <c r="J991" s="16">
        <f t="shared" si="233"/>
        <v>43229558735.842636</v>
      </c>
      <c r="K991" s="18">
        <f t="shared" si="234"/>
        <v>17322245147.83337</v>
      </c>
      <c r="L991" s="17">
        <f t="shared" si="235"/>
        <v>23.475950568618277</v>
      </c>
      <c r="M991" s="16">
        <f t="shared" si="236"/>
        <v>1.7712389177891048E-11</v>
      </c>
      <c r="N991" s="16">
        <f t="shared" si="237"/>
        <v>84686486105.01001</v>
      </c>
      <c r="O991" s="16">
        <f t="shared" si="239"/>
        <v>78610338079.000336</v>
      </c>
      <c r="P991" s="18">
        <f t="shared" si="238"/>
        <v>31499455168.61084</v>
      </c>
    </row>
    <row r="992" spans="1:16" x14ac:dyDescent="0.4">
      <c r="A992" s="14">
        <v>0.97899999999999998</v>
      </c>
      <c r="B992" s="44">
        <f t="shared" si="240"/>
        <v>6.1512384157288151</v>
      </c>
      <c r="C992" s="40">
        <f t="shared" si="226"/>
        <v>6.7971984028023789E-12</v>
      </c>
      <c r="D992" s="15">
        <f t="shared" si="227"/>
        <v>147119436676.6925</v>
      </c>
      <c r="E992" s="15">
        <f t="shared" si="228"/>
        <v>145840620256.25232</v>
      </c>
      <c r="F992" s="29">
        <f t="shared" si="229"/>
        <v>-19355674396.386696</v>
      </c>
      <c r="G992" s="17">
        <f t="shared" si="230"/>
        <v>25.53994190210604</v>
      </c>
      <c r="H992" s="16">
        <f t="shared" si="231"/>
        <v>2.1435460275812556E-11</v>
      </c>
      <c r="I992" s="16">
        <f t="shared" si="232"/>
        <v>46651669109.638138</v>
      </c>
      <c r="J992" s="16">
        <f t="shared" si="233"/>
        <v>42837105145.480377</v>
      </c>
      <c r="K992" s="18">
        <f t="shared" si="234"/>
        <v>18475947972.167053</v>
      </c>
      <c r="L992" s="17">
        <f t="shared" si="235"/>
        <v>23.499954608054495</v>
      </c>
      <c r="M992" s="16">
        <f t="shared" si="236"/>
        <v>1.78011454499441E-11</v>
      </c>
      <c r="N992" s="16">
        <f t="shared" si="237"/>
        <v>84264240423.06279</v>
      </c>
      <c r="O992" s="16">
        <f t="shared" si="239"/>
        <v>77374211810.59169</v>
      </c>
      <c r="P992" s="18">
        <f t="shared" si="238"/>
        <v>33372047596.235729</v>
      </c>
    </row>
    <row r="993" spans="1:16" x14ac:dyDescent="0.4">
      <c r="A993" s="14">
        <v>0.98</v>
      </c>
      <c r="B993" s="44">
        <f t="shared" si="240"/>
        <v>6.1575216010359943</v>
      </c>
      <c r="C993" s="40">
        <f t="shared" si="226"/>
        <v>6.7972885836124086E-12</v>
      </c>
      <c r="D993" s="15">
        <f t="shared" si="227"/>
        <v>147117484817.53464</v>
      </c>
      <c r="E993" s="15">
        <f t="shared" si="228"/>
        <v>145957419507.88559</v>
      </c>
      <c r="F993" s="29">
        <f t="shared" si="229"/>
        <v>-18438710086.02911</v>
      </c>
      <c r="G993" s="17">
        <f t="shared" si="230"/>
        <v>25.566029687501448</v>
      </c>
      <c r="H993" s="16">
        <f t="shared" si="231"/>
        <v>2.1395997934350147E-11</v>
      </c>
      <c r="I993" s="16">
        <f t="shared" si="232"/>
        <v>46737712495.034073</v>
      </c>
      <c r="J993" s="16">
        <f t="shared" si="233"/>
        <v>42418679312.038063</v>
      </c>
      <c r="K993" s="18">
        <f t="shared" si="234"/>
        <v>19623185640.73983</v>
      </c>
      <c r="L993" s="17">
        <f t="shared" si="235"/>
        <v>23.523958647490709</v>
      </c>
      <c r="M993" s="16">
        <f t="shared" si="236"/>
        <v>1.7890034067260937E-11</v>
      </c>
      <c r="N993" s="16">
        <f t="shared" si="237"/>
        <v>83845564204.096466</v>
      </c>
      <c r="O993" s="16">
        <f t="shared" si="239"/>
        <v>76097393514.677475</v>
      </c>
      <c r="P993" s="18">
        <f t="shared" si="238"/>
        <v>35203200663.797394</v>
      </c>
    </row>
    <row r="994" spans="1:16" x14ac:dyDescent="0.4">
      <c r="A994" s="14">
        <v>0.98099999999999998</v>
      </c>
      <c r="B994" s="44">
        <f t="shared" si="240"/>
        <v>6.1638047863431744</v>
      </c>
      <c r="C994" s="40">
        <f t="shared" si="226"/>
        <v>6.797374387962181E-12</v>
      </c>
      <c r="D994" s="15">
        <f t="shared" si="227"/>
        <v>147115627729.87042</v>
      </c>
      <c r="E994" s="15">
        <f t="shared" si="228"/>
        <v>146068547633.35684</v>
      </c>
      <c r="F994" s="29">
        <f t="shared" si="229"/>
        <v>-17521053468.201626</v>
      </c>
      <c r="G994" s="17">
        <f t="shared" si="230"/>
        <v>25.592117472896859</v>
      </c>
      <c r="H994" s="16">
        <f t="shared" si="231"/>
        <v>2.1354245492232568E-11</v>
      </c>
      <c r="I994" s="16">
        <f t="shared" si="232"/>
        <v>46829095430.402435</v>
      </c>
      <c r="J994" s="16">
        <f t="shared" si="233"/>
        <v>41974287442.541489</v>
      </c>
      <c r="K994" s="18">
        <f t="shared" si="234"/>
        <v>20763510602.03072</v>
      </c>
      <c r="L994" s="17">
        <f t="shared" si="235"/>
        <v>23.547962686926923</v>
      </c>
      <c r="M994" s="16">
        <f t="shared" si="236"/>
        <v>1.7979003815220872E-11</v>
      </c>
      <c r="N994" s="16">
        <f t="shared" si="237"/>
        <v>83430651409.62442</v>
      </c>
      <c r="O994" s="16">
        <f t="shared" si="239"/>
        <v>74781332238.002609</v>
      </c>
      <c r="P994" s="18">
        <f t="shared" si="238"/>
        <v>36992241664.215698</v>
      </c>
    </row>
    <row r="995" spans="1:16" x14ac:dyDescent="0.4">
      <c r="A995" s="14">
        <v>0.98199999999999998</v>
      </c>
      <c r="B995" s="44">
        <f t="shared" si="240"/>
        <v>6.1700879716503536</v>
      </c>
      <c r="C995" s="40">
        <f t="shared" si="226"/>
        <v>6.7974558124642887E-12</v>
      </c>
      <c r="D995" s="15">
        <f t="shared" si="227"/>
        <v>147113865479.83591</v>
      </c>
      <c r="E995" s="15">
        <f t="shared" si="228"/>
        <v>146174000675.08398</v>
      </c>
      <c r="F995" s="29">
        <f t="shared" si="229"/>
        <v>-16602739022.818018</v>
      </c>
      <c r="G995" s="17">
        <f t="shared" si="230"/>
        <v>25.618205258292267</v>
      </c>
      <c r="H995" s="16">
        <f t="shared" si="231"/>
        <v>2.1310231363414166E-11</v>
      </c>
      <c r="I995" s="16">
        <f t="shared" si="232"/>
        <v>46925816193.475029</v>
      </c>
      <c r="J995" s="16">
        <f t="shared" si="233"/>
        <v>41503937912.317886</v>
      </c>
      <c r="K995" s="18">
        <f t="shared" si="234"/>
        <v>21896469194.695866</v>
      </c>
      <c r="L995" s="17">
        <f t="shared" si="235"/>
        <v>23.571966726363137</v>
      </c>
      <c r="M995" s="16">
        <f t="shared" si="236"/>
        <v>1.8068003432458467E-11</v>
      </c>
      <c r="N995" s="16">
        <f t="shared" si="237"/>
        <v>83019687571.306763</v>
      </c>
      <c r="O995" s="16">
        <f t="shared" si="239"/>
        <v>73427469950.723145</v>
      </c>
      <c r="P995" s="18">
        <f t="shared" si="238"/>
        <v>38738549031.591728</v>
      </c>
    </row>
    <row r="996" spans="1:16" x14ac:dyDescent="0.4">
      <c r="A996" s="14">
        <v>0.98299999999999998</v>
      </c>
      <c r="B996" s="44">
        <f t="shared" si="240"/>
        <v>6.1763711569575328</v>
      </c>
      <c r="C996" s="40">
        <f t="shared" si="226"/>
        <v>6.7975328539042287E-12</v>
      </c>
      <c r="D996" s="15">
        <f t="shared" si="227"/>
        <v>147112198130.18488</v>
      </c>
      <c r="E996" s="15">
        <f t="shared" si="228"/>
        <v>146273774877.88272</v>
      </c>
      <c r="F996" s="29">
        <f t="shared" si="229"/>
        <v>-15683801250.629847</v>
      </c>
      <c r="G996" s="17">
        <f t="shared" si="230"/>
        <v>25.644293043687679</v>
      </c>
      <c r="H996" s="16">
        <f t="shared" si="231"/>
        <v>2.1263985501003848E-11</v>
      </c>
      <c r="I996" s="16">
        <f t="shared" si="232"/>
        <v>47027872547.824638</v>
      </c>
      <c r="J996" s="16">
        <f t="shared" si="233"/>
        <v>41007641597.030937</v>
      </c>
      <c r="K996" s="18">
        <f t="shared" si="234"/>
        <v>23021601313.199226</v>
      </c>
      <c r="L996" s="17">
        <f t="shared" si="235"/>
        <v>23.595970765799354</v>
      </c>
      <c r="M996" s="16">
        <f t="shared" si="236"/>
        <v>1.8156981640398626E-11</v>
      </c>
      <c r="N996" s="16">
        <f t="shared" si="237"/>
        <v>82612849960.841202</v>
      </c>
      <c r="O996" s="16">
        <f t="shared" si="239"/>
        <v>72037240023.101456</v>
      </c>
      <c r="P996" s="18">
        <f t="shared" si="238"/>
        <v>40441550767.824554</v>
      </c>
    </row>
    <row r="997" spans="1:16" x14ac:dyDescent="0.4">
      <c r="A997" s="14">
        <v>0.98399999999999999</v>
      </c>
      <c r="B997" s="44">
        <f t="shared" si="240"/>
        <v>6.1826543422647129</v>
      </c>
      <c r="C997" s="40">
        <f t="shared" si="226"/>
        <v>6.7976055092405412E-12</v>
      </c>
      <c r="D997" s="15">
        <f t="shared" si="227"/>
        <v>147110625740.28726</v>
      </c>
      <c r="E997" s="15">
        <f t="shared" si="228"/>
        <v>146367866689.05426</v>
      </c>
      <c r="F997" s="29">
        <f t="shared" si="229"/>
        <v>-14764274672.130533</v>
      </c>
      <c r="G997" s="17">
        <f t="shared" si="230"/>
        <v>25.67038082908309</v>
      </c>
      <c r="H997" s="16">
        <f t="shared" si="231"/>
        <v>2.1215539376881012E-11</v>
      </c>
      <c r="I997" s="16">
        <f t="shared" si="232"/>
        <v>47135261670.024734</v>
      </c>
      <c r="J997" s="16">
        <f t="shared" si="233"/>
        <v>40485412226.900429</v>
      </c>
      <c r="K997" s="18">
        <f t="shared" si="234"/>
        <v>24138440080.494934</v>
      </c>
      <c r="L997" s="17">
        <f t="shared" si="235"/>
        <v>23.619974805235572</v>
      </c>
      <c r="M997" s="16">
        <f t="shared" si="236"/>
        <v>1.8245887172801551E-11</v>
      </c>
      <c r="N997" s="16">
        <f t="shared" si="237"/>
        <v>82210307769.303375</v>
      </c>
      <c r="O997" s="16">
        <f t="shared" si="239"/>
        <v>70612065816.900238</v>
      </c>
      <c r="P997" s="18">
        <f t="shared" si="238"/>
        <v>42100722851.19735</v>
      </c>
    </row>
    <row r="998" spans="1:16" x14ac:dyDescent="0.4">
      <c r="A998" s="14">
        <v>0.98499999999999999</v>
      </c>
      <c r="B998" s="44">
        <f t="shared" si="240"/>
        <v>6.1889375275718921</v>
      </c>
      <c r="C998" s="40">
        <f t="shared" si="226"/>
        <v>6.7976737756049128E-12</v>
      </c>
      <c r="D998" s="15">
        <f t="shared" si="227"/>
        <v>147109148366.1279</v>
      </c>
      <c r="E998" s="15">
        <f t="shared" si="228"/>
        <v>146456272758.46826</v>
      </c>
      <c r="F998" s="29">
        <f t="shared" si="229"/>
        <v>-13844193826.459459</v>
      </c>
      <c r="G998" s="17">
        <f t="shared" si="230"/>
        <v>25.696468614478498</v>
      </c>
      <c r="H998" s="16">
        <f t="shared" si="231"/>
        <v>2.1164925960277845E-11</v>
      </c>
      <c r="I998" s="16">
        <f t="shared" si="232"/>
        <v>47247980072.162384</v>
      </c>
      <c r="J998" s="16">
        <f t="shared" si="233"/>
        <v>39937266763.519348</v>
      </c>
      <c r="K998" s="18">
        <f t="shared" si="234"/>
        <v>25246511528.505211</v>
      </c>
      <c r="L998" s="17">
        <f t="shared" si="235"/>
        <v>23.643978844671782</v>
      </c>
      <c r="M998" s="16">
        <f t="shared" si="236"/>
        <v>1.8334668805300609E-11</v>
      </c>
      <c r="N998" s="16">
        <f t="shared" si="237"/>
        <v>81812222294.756989</v>
      </c>
      <c r="O998" s="16">
        <f t="shared" si="239"/>
        <v>69153359388.312119</v>
      </c>
      <c r="P998" s="18">
        <f t="shared" si="238"/>
        <v>43715587633.219292</v>
      </c>
    </row>
    <row r="999" spans="1:16" x14ac:dyDescent="0.4">
      <c r="A999" s="14">
        <v>0.98599999999999999</v>
      </c>
      <c r="B999" s="44">
        <f t="shared" si="240"/>
        <v>6.1952207128790722</v>
      </c>
      <c r="C999" s="40">
        <f t="shared" si="226"/>
        <v>6.7977376503023098E-12</v>
      </c>
      <c r="D999" s="15">
        <f t="shared" si="227"/>
        <v>147107766060.30505</v>
      </c>
      <c r="E999" s="15">
        <f t="shared" si="228"/>
        <v>146538989938.64117</v>
      </c>
      <c r="F999" s="29">
        <f t="shared" si="229"/>
        <v>-12923593270.304621</v>
      </c>
      <c r="G999" s="17">
        <f t="shared" si="230"/>
        <v>25.722556399873909</v>
      </c>
      <c r="H999" s="16">
        <f t="shared" si="231"/>
        <v>2.1112179695342637E-11</v>
      </c>
      <c r="I999" s="16">
        <f t="shared" si="232"/>
        <v>47366023519.617958</v>
      </c>
      <c r="J999" s="16">
        <f t="shared" si="233"/>
        <v>39363225799.687927</v>
      </c>
      <c r="K999" s="18">
        <f t="shared" si="234"/>
        <v>26345334287.189907</v>
      </c>
      <c r="L999" s="17">
        <f t="shared" si="235"/>
        <v>23.667982884108</v>
      </c>
      <c r="M999" s="16">
        <f t="shared" si="236"/>
        <v>1.842327538491619E-11</v>
      </c>
      <c r="N999" s="16">
        <f t="shared" si="237"/>
        <v>81418747137.010437</v>
      </c>
      <c r="O999" s="16">
        <f t="shared" si="239"/>
        <v>67662520299.058594</v>
      </c>
      <c r="P999" s="18">
        <f t="shared" si="238"/>
        <v>45285712229.575554</v>
      </c>
    </row>
    <row r="1000" spans="1:16" x14ac:dyDescent="0.4">
      <c r="A1000" s="14">
        <v>0.98699999999999999</v>
      </c>
      <c r="B1000" s="44">
        <f t="shared" si="240"/>
        <v>6.2015038981862514</v>
      </c>
      <c r="C1000" s="40">
        <f t="shared" si="226"/>
        <v>6.7977971308110641E-12</v>
      </c>
      <c r="D1000" s="15">
        <f t="shared" si="227"/>
        <v>147106478872.02942</v>
      </c>
      <c r="E1000" s="15">
        <f t="shared" si="228"/>
        <v>146616015284.8096</v>
      </c>
      <c r="F1000" s="29">
        <f t="shared" si="229"/>
        <v>-12002507576.807199</v>
      </c>
      <c r="G1000" s="17">
        <f t="shared" si="230"/>
        <v>25.748644185269317</v>
      </c>
      <c r="H1000" s="16">
        <f t="shared" si="231"/>
        <v>2.1057336477699392E-11</v>
      </c>
      <c r="I1000" s="16">
        <f t="shared" si="232"/>
        <v>47489386944.025055</v>
      </c>
      <c r="J1000" s="16">
        <f t="shared" si="233"/>
        <v>38763313982.68644</v>
      </c>
      <c r="K1000" s="18">
        <f t="shared" si="234"/>
        <v>27434419283.064899</v>
      </c>
      <c r="L1000" s="17">
        <f t="shared" si="235"/>
        <v>23.691986923544214</v>
      </c>
      <c r="M1000" s="16">
        <f t="shared" si="236"/>
        <v>1.8511655859528158E-11</v>
      </c>
      <c r="N1000" s="16">
        <f t="shared" si="237"/>
        <v>81030028398.455399</v>
      </c>
      <c r="O1000" s="16">
        <f t="shared" si="239"/>
        <v>66140934532.121056</v>
      </c>
      <c r="P1000" s="18">
        <f t="shared" si="238"/>
        <v>46810706910.622116</v>
      </c>
    </row>
    <row r="1001" spans="1:16" x14ac:dyDescent="0.4">
      <c r="A1001" s="14">
        <v>0.98799999999999999</v>
      </c>
      <c r="B1001" s="44">
        <f t="shared" si="240"/>
        <v>6.2077870834934314</v>
      </c>
      <c r="C1001" s="40">
        <f t="shared" si="226"/>
        <v>6.7978522147829892E-12</v>
      </c>
      <c r="D1001" s="15">
        <f t="shared" si="227"/>
        <v>147105286847.12271</v>
      </c>
      <c r="E1001" s="15">
        <f t="shared" si="228"/>
        <v>146687346054.99902</v>
      </c>
      <c r="F1001" s="29">
        <f t="shared" si="229"/>
        <v>-11080971334.463972</v>
      </c>
      <c r="G1001" s="17">
        <f t="shared" si="230"/>
        <v>25.774731970664728</v>
      </c>
      <c r="H1001" s="16">
        <f t="shared" si="231"/>
        <v>2.1000433630019606E-11</v>
      </c>
      <c r="I1001" s="16">
        <f t="shared" si="232"/>
        <v>47618064351.324844</v>
      </c>
      <c r="J1001" s="16">
        <f t="shared" si="233"/>
        <v>38137560461.403481</v>
      </c>
      <c r="K1001" s="18">
        <f t="shared" si="234"/>
        <v>28513269448.095699</v>
      </c>
      <c r="L1001" s="17">
        <f t="shared" si="235"/>
        <v>23.715990962980431</v>
      </c>
      <c r="M1001" s="16">
        <f t="shared" si="236"/>
        <v>1.859975930729052E-11</v>
      </c>
      <c r="N1001" s="16">
        <f t="shared" si="237"/>
        <v>80646204889.976578</v>
      </c>
      <c r="O1001" s="16">
        <f t="shared" si="239"/>
        <v>64589973508.417992</v>
      </c>
      <c r="P1001" s="18">
        <f t="shared" si="238"/>
        <v>48290223496.458817</v>
      </c>
    </row>
    <row r="1002" spans="1:16" x14ac:dyDescent="0.4">
      <c r="A1002" s="14">
        <v>0.98899999999999999</v>
      </c>
      <c r="B1002" s="44">
        <f t="shared" si="240"/>
        <v>6.2140702688006106</v>
      </c>
      <c r="C1002" s="40">
        <f t="shared" si="226"/>
        <v>6.7979029000434637E-12</v>
      </c>
      <c r="D1002" s="15">
        <f t="shared" si="227"/>
        <v>147104190028.01678</v>
      </c>
      <c r="E1002" s="15">
        <f t="shared" si="228"/>
        <v>146752979710.08777</v>
      </c>
      <c r="F1002" s="29">
        <f t="shared" si="229"/>
        <v>-10159019146.031733</v>
      </c>
      <c r="G1002" s="17">
        <f t="shared" si="230"/>
        <v>25.800819756060136</v>
      </c>
      <c r="H1002" s="16">
        <f t="shared" si="231"/>
        <v>2.0941509876622955E-11</v>
      </c>
      <c r="I1002" s="16">
        <f t="shared" si="232"/>
        <v>47752048724.829613</v>
      </c>
      <c r="J1002" s="16">
        <f t="shared" si="233"/>
        <v>37485999357.734642</v>
      </c>
      <c r="K1002" s="18">
        <f t="shared" si="234"/>
        <v>29581379439.952076</v>
      </c>
      <c r="L1002" s="17">
        <f t="shared" si="235"/>
        <v>23.739995002416642</v>
      </c>
      <c r="M1002" s="16">
        <f t="shared" si="236"/>
        <v>1.8687534965970724E-11</v>
      </c>
      <c r="N1002" s="16">
        <f t="shared" si="237"/>
        <v>80267408340.984604</v>
      </c>
      <c r="O1002" s="16">
        <f t="shared" si="239"/>
        <v>63010993200.646378</v>
      </c>
      <c r="P1002" s="18">
        <f t="shared" si="238"/>
        <v>49723953761.205086</v>
      </c>
    </row>
    <row r="1003" spans="1:16" x14ac:dyDescent="0.4">
      <c r="A1003" s="14">
        <v>0.99</v>
      </c>
      <c r="B1003" s="44">
        <f t="shared" si="240"/>
        <v>6.2203534541077907</v>
      </c>
      <c r="C1003" s="40">
        <f t="shared" si="226"/>
        <v>6.7979491845915207E-12</v>
      </c>
      <c r="D1003" s="15">
        <f t="shared" si="227"/>
        <v>147103188453.75256</v>
      </c>
      <c r="E1003" s="15">
        <f t="shared" si="228"/>
        <v>146812913913.86615</v>
      </c>
      <c r="F1003" s="29">
        <f t="shared" si="229"/>
        <v>-9236685627.4295998</v>
      </c>
      <c r="G1003" s="17">
        <f t="shared" si="230"/>
        <v>25.826907541455547</v>
      </c>
      <c r="H1003" s="16">
        <f t="shared" si="231"/>
        <v>2.0880605317124045E-11</v>
      </c>
      <c r="I1003" s="16">
        <f t="shared" si="232"/>
        <v>47891331923.213295</v>
      </c>
      <c r="J1003" s="16">
        <f t="shared" si="233"/>
        <v>36808670262.650543</v>
      </c>
      <c r="K1003" s="18">
        <f t="shared" si="234"/>
        <v>30638235374.689167</v>
      </c>
      <c r="L1003" s="17">
        <f t="shared" si="235"/>
        <v>23.763999041852859</v>
      </c>
      <c r="M1003" s="16">
        <f t="shared" si="236"/>
        <v>1.8774932262197317E-11</v>
      </c>
      <c r="N1003" s="16">
        <f t="shared" si="237"/>
        <v>79893763612.676178</v>
      </c>
      <c r="O1003" s="16">
        <f t="shared" si="239"/>
        <v>61405333340.410301</v>
      </c>
      <c r="P1003" s="18">
        <f t="shared" si="238"/>
        <v>51111627850.727623</v>
      </c>
    </row>
    <row r="1004" spans="1:16" x14ac:dyDescent="0.4">
      <c r="A1004" s="14">
        <v>0.99099999999999999</v>
      </c>
      <c r="B1004" s="44">
        <f t="shared" si="240"/>
        <v>6.2266366394149699</v>
      </c>
      <c r="C1004" s="40">
        <f t="shared" si="226"/>
        <v>6.7979910665999239E-12</v>
      </c>
      <c r="D1004" s="15">
        <f t="shared" si="227"/>
        <v>147102282159.97922</v>
      </c>
      <c r="E1004" s="15">
        <f t="shared" si="228"/>
        <v>146867146533.09106</v>
      </c>
      <c r="F1004" s="29">
        <f t="shared" si="229"/>
        <v>-8314005406.6433277</v>
      </c>
      <c r="G1004" s="17">
        <f t="shared" si="230"/>
        <v>25.852995326850955</v>
      </c>
      <c r="H1004" s="16">
        <f t="shared" si="231"/>
        <v>2.0817761399143305E-11</v>
      </c>
      <c r="I1004" s="16">
        <f t="shared" si="232"/>
        <v>48035904573.349182</v>
      </c>
      <c r="J1004" s="16">
        <f t="shared" si="233"/>
        <v>36105618757.323181</v>
      </c>
      <c r="K1004" s="18">
        <f t="shared" si="234"/>
        <v>31683314572.985283</v>
      </c>
      <c r="L1004" s="17">
        <f t="shared" si="235"/>
        <v>23.788003081289073</v>
      </c>
      <c r="M1004" s="16">
        <f t="shared" si="236"/>
        <v>1.8861900840598434E-11</v>
      </c>
      <c r="N1004" s="16">
        <f t="shared" si="237"/>
        <v>79525388913.687515</v>
      </c>
      <c r="O1004" s="16">
        <f t="shared" si="239"/>
        <v>59774316714.720329</v>
      </c>
      <c r="P1004" s="18">
        <f t="shared" si="238"/>
        <v>52453012717.68438</v>
      </c>
    </row>
    <row r="1005" spans="1:16" x14ac:dyDescent="0.4">
      <c r="A1005" s="14">
        <v>0.99199999999999999</v>
      </c>
      <c r="B1005" s="44">
        <f t="shared" si="240"/>
        <v>6.2329198247221491</v>
      </c>
      <c r="C1005" s="40">
        <f t="shared" si="226"/>
        <v>6.7980285444152459E-12</v>
      </c>
      <c r="D1005" s="15">
        <f t="shared" si="227"/>
        <v>147101471178.95313</v>
      </c>
      <c r="E1005" s="15">
        <f t="shared" si="228"/>
        <v>146915675637.53543</v>
      </c>
      <c r="F1005" s="29">
        <f t="shared" si="229"/>
        <v>-7391013122.6276197</v>
      </c>
      <c r="G1005" s="17">
        <f t="shared" si="230"/>
        <v>25.879083112246363</v>
      </c>
      <c r="H1005" s="16">
        <f t="shared" si="231"/>
        <v>2.0753020890100433E-11</v>
      </c>
      <c r="I1005" s="16">
        <f t="shared" si="232"/>
        <v>48185755957.920235</v>
      </c>
      <c r="J1005" s="16">
        <f t="shared" si="233"/>
        <v>35376896959.673058</v>
      </c>
      <c r="K1005" s="18">
        <f t="shared" si="234"/>
        <v>32716085321.152355</v>
      </c>
      <c r="L1005" s="17">
        <f t="shared" si="235"/>
        <v>23.812007120725287</v>
      </c>
      <c r="M1005" s="16">
        <f t="shared" si="236"/>
        <v>1.8948390592814994E-11</v>
      </c>
      <c r="N1005" s="16">
        <f t="shared" si="237"/>
        <v>79162396017.357925</v>
      </c>
      <c r="O1005" s="16">
        <f t="shared" si="239"/>
        <v>58119248547.901756</v>
      </c>
      <c r="P1005" s="18">
        <f t="shared" si="238"/>
        <v>53747910577.40036</v>
      </c>
    </row>
    <row r="1006" spans="1:16" x14ac:dyDescent="0.4">
      <c r="A1006" s="14">
        <v>0.99299999999999999</v>
      </c>
      <c r="B1006" s="44">
        <f t="shared" si="240"/>
        <v>6.2392030100293292</v>
      </c>
      <c r="C1006" s="40">
        <f t="shared" si="226"/>
        <v>6.7980616165579247E-12</v>
      </c>
      <c r="D1006" s="15">
        <f t="shared" si="227"/>
        <v>147100755539.53745</v>
      </c>
      <c r="E1006" s="15">
        <f t="shared" si="228"/>
        <v>146958499500.03351</v>
      </c>
      <c r="F1006" s="29">
        <f t="shared" si="229"/>
        <v>-6467743424.2097292</v>
      </c>
      <c r="G1006" s="17">
        <f t="shared" si="230"/>
        <v>25.905170897641774</v>
      </c>
      <c r="H1006" s="16">
        <f t="shared" si="231"/>
        <v>2.0686427848109721E-11</v>
      </c>
      <c r="I1006" s="16">
        <f t="shared" si="232"/>
        <v>48340873897.731827</v>
      </c>
      <c r="J1006" s="16">
        <f t="shared" si="233"/>
        <v>34622564096.677834</v>
      </c>
      <c r="K1006" s="18">
        <f t="shared" si="234"/>
        <v>33736006648.20668</v>
      </c>
      <c r="L1006" s="17">
        <f t="shared" si="235"/>
        <v>23.836011160161505</v>
      </c>
      <c r="M1006" s="16">
        <f t="shared" si="236"/>
        <v>1.9034351686371404E-11</v>
      </c>
      <c r="N1006" s="16">
        <f t="shared" si="237"/>
        <v>78804890479.879074</v>
      </c>
      <c r="O1006" s="16">
        <f t="shared" si="239"/>
        <v>56441415964.95443</v>
      </c>
      <c r="P1006" s="18">
        <f t="shared" si="238"/>
        <v>54996157387.736855</v>
      </c>
    </row>
    <row r="1007" spans="1:16" x14ac:dyDescent="0.4">
      <c r="A1007" s="14">
        <v>0.99399999999999999</v>
      </c>
      <c r="B1007" s="44">
        <f t="shared" si="240"/>
        <v>6.2454861953365084</v>
      </c>
      <c r="C1007" s="40">
        <f t="shared" si="226"/>
        <v>6.7980902817223291E-12</v>
      </c>
      <c r="D1007" s="15">
        <f t="shared" si="227"/>
        <v>147100135267.20111</v>
      </c>
      <c r="E1007" s="15">
        <f t="shared" si="228"/>
        <v>146995616596.52072</v>
      </c>
      <c r="F1007" s="29">
        <f t="shared" si="229"/>
        <v>-5544230968.9929724</v>
      </c>
      <c r="G1007" s="17">
        <f t="shared" si="230"/>
        <v>25.931258683037182</v>
      </c>
      <c r="H1007" s="16">
        <f t="shared" si="231"/>
        <v>2.0618027591997071E-11</v>
      </c>
      <c r="I1007" s="16">
        <f t="shared" si="232"/>
        <v>48501244628.664291</v>
      </c>
      <c r="J1007" s="16">
        <f t="shared" si="233"/>
        <v>33842687102.747528</v>
      </c>
      <c r="K1007" s="18">
        <f t="shared" si="234"/>
        <v>34742528120.375221</v>
      </c>
      <c r="L1007" s="17">
        <f t="shared" si="235"/>
        <v>23.860015199597715</v>
      </c>
      <c r="M1007" s="16">
        <f t="shared" si="236"/>
        <v>1.9119734593387295E-11</v>
      </c>
      <c r="N1007" s="16">
        <f t="shared" si="237"/>
        <v>78452971858.656784</v>
      </c>
      <c r="O1007" s="16">
        <f t="shared" si="239"/>
        <v>54742087532.410164</v>
      </c>
      <c r="P1007" s="18">
        <f t="shared" si="238"/>
        <v>56197621355.793495</v>
      </c>
    </row>
    <row r="1008" spans="1:16" x14ac:dyDescent="0.4">
      <c r="A1008" s="14">
        <v>0.995</v>
      </c>
      <c r="B1008" s="44">
        <f t="shared" si="240"/>
        <v>6.2517693806436885</v>
      </c>
      <c r="C1008" s="40">
        <f t="shared" si="226"/>
        <v>6.7981145387768092E-12</v>
      </c>
      <c r="D1008" s="15">
        <f t="shared" si="227"/>
        <v>147099610384.01846</v>
      </c>
      <c r="E1008" s="15">
        <f t="shared" si="228"/>
        <v>147027025606.06955</v>
      </c>
      <c r="F1008" s="29">
        <f t="shared" si="229"/>
        <v>-4620510422.2589531</v>
      </c>
      <c r="G1008" s="17">
        <f t="shared" si="230"/>
        <v>25.957346468432597</v>
      </c>
      <c r="H1008" s="16">
        <f t="shared" si="231"/>
        <v>2.0547866670458885E-11</v>
      </c>
      <c r="I1008" s="16">
        <f t="shared" si="232"/>
        <v>48666852673.210747</v>
      </c>
      <c r="J1008" s="16">
        <f t="shared" si="233"/>
        <v>33037341244.431515</v>
      </c>
      <c r="K1008" s="18">
        <f t="shared" si="234"/>
        <v>35735089654.497635</v>
      </c>
      <c r="L1008" s="17">
        <f t="shared" si="235"/>
        <v>23.884019239033936</v>
      </c>
      <c r="M1008" s="16">
        <f t="shared" si="236"/>
        <v>1.9204490119113959E-11</v>
      </c>
      <c r="N1008" s="16">
        <f t="shared" si="237"/>
        <v>78106733930.263062</v>
      </c>
      <c r="O1008" s="16">
        <f t="shared" si="239"/>
        <v>53022512872.761787</v>
      </c>
      <c r="P1008" s="18">
        <f t="shared" si="238"/>
        <v>57352201473.968872</v>
      </c>
    </row>
    <row r="1009" spans="1:16" x14ac:dyDescent="0.4">
      <c r="A1009" s="14">
        <v>0.996</v>
      </c>
      <c r="B1009" s="44">
        <f t="shared" si="240"/>
        <v>6.2580525659508677</v>
      </c>
      <c r="C1009" s="40">
        <f t="shared" si="226"/>
        <v>6.7981343867637361E-12</v>
      </c>
      <c r="D1009" s="15">
        <f t="shared" si="227"/>
        <v>147099180908.66864</v>
      </c>
      <c r="E1009" s="15">
        <f t="shared" si="228"/>
        <v>147052725410.91989</v>
      </c>
      <c r="F1009" s="29">
        <f t="shared" si="229"/>
        <v>-3696616455.8716769</v>
      </c>
      <c r="G1009" s="17">
        <f t="shared" si="230"/>
        <v>25.983434253828005</v>
      </c>
      <c r="H1009" s="16">
        <f t="shared" si="231"/>
        <v>2.0475992830384234E-11</v>
      </c>
      <c r="I1009" s="16">
        <f t="shared" si="232"/>
        <v>48837680706.554283</v>
      </c>
      <c r="J1009" s="16">
        <f t="shared" si="233"/>
        <v>32206610771.680286</v>
      </c>
      <c r="K1009" s="18">
        <f t="shared" si="234"/>
        <v>36713121351.865898</v>
      </c>
      <c r="L1009" s="17">
        <f t="shared" si="235"/>
        <v>23.90802327847015</v>
      </c>
      <c r="M1009" s="16">
        <f t="shared" si="236"/>
        <v>1.9288569430278491E-11</v>
      </c>
      <c r="N1009" s="16">
        <f t="shared" si="237"/>
        <v>77766264907.409607</v>
      </c>
      <c r="O1009" s="16">
        <f t="shared" si="239"/>
        <v>51283922348.593254</v>
      </c>
      <c r="P1009" s="18">
        <f t="shared" si="238"/>
        <v>58459826087.603645</v>
      </c>
    </row>
    <row r="1010" spans="1:16" x14ac:dyDescent="0.4">
      <c r="A1010" s="14">
        <v>0.997</v>
      </c>
      <c r="B1010" s="44">
        <f t="shared" si="240"/>
        <v>6.2643357512580478</v>
      </c>
      <c r="C1010" s="40">
        <f t="shared" si="226"/>
        <v>6.7981498248995444E-12</v>
      </c>
      <c r="D1010" s="15">
        <f t="shared" si="227"/>
        <v>147098846856.43521</v>
      </c>
      <c r="E1010" s="15">
        <f t="shared" si="228"/>
        <v>147072715096.50543</v>
      </c>
      <c r="F1010" s="29">
        <f t="shared" si="229"/>
        <v>-2772583747.1795731</v>
      </c>
      <c r="G1010" s="17">
        <f t="shared" si="230"/>
        <v>26.009522039223416</v>
      </c>
      <c r="H1010" s="16">
        <f t="shared" si="231"/>
        <v>2.0402454984361337E-11</v>
      </c>
      <c r="I1010" s="16">
        <f t="shared" si="232"/>
        <v>49013709417.151459</v>
      </c>
      <c r="J1010" s="16">
        <f t="shared" si="233"/>
        <v>31350589595.822712</v>
      </c>
      <c r="K1010" s="18">
        <f t="shared" si="234"/>
        <v>37676043354.142891</v>
      </c>
      <c r="L1010" s="17">
        <f t="shared" si="235"/>
        <v>23.932027317906368</v>
      </c>
      <c r="M1010" s="16">
        <f t="shared" si="236"/>
        <v>1.9371924083220085E-11</v>
      </c>
      <c r="N1010" s="16">
        <f t="shared" si="237"/>
        <v>77431647654.416351</v>
      </c>
      <c r="O1010" s="16">
        <f t="shared" si="239"/>
        <v>49527526812.57962</v>
      </c>
      <c r="P1010" s="18">
        <f t="shared" si="238"/>
        <v>59520451496.161285</v>
      </c>
    </row>
    <row r="1011" spans="1:16" x14ac:dyDescent="0.4">
      <c r="A1011" s="14">
        <v>0.998</v>
      </c>
      <c r="B1011" s="44">
        <f t="shared" si="240"/>
        <v>6.270618936565227</v>
      </c>
      <c r="C1011" s="40">
        <f t="shared" si="226"/>
        <v>6.7981608525747651E-12</v>
      </c>
      <c r="D1011" s="15">
        <f t="shared" si="227"/>
        <v>147098608239.20569</v>
      </c>
      <c r="E1011" s="15">
        <f t="shared" si="228"/>
        <v>147086993951.47461</v>
      </c>
      <c r="F1011" s="29">
        <f t="shared" si="229"/>
        <v>-1848446977.9195709</v>
      </c>
      <c r="G1011" s="17">
        <f t="shared" si="230"/>
        <v>26.035609824618824</v>
      </c>
      <c r="H1011" s="16">
        <f t="shared" si="231"/>
        <v>2.0327303177391008E-11</v>
      </c>
      <c r="I1011" s="16">
        <f t="shared" si="232"/>
        <v>49194917361.799744</v>
      </c>
      <c r="J1011" s="16">
        <f t="shared" si="233"/>
        <v>30469381994.367619</v>
      </c>
      <c r="K1011" s="18">
        <f t="shared" si="234"/>
        <v>38623265723.079559</v>
      </c>
      <c r="L1011" s="17">
        <f t="shared" si="235"/>
        <v>23.956031357342578</v>
      </c>
      <c r="M1011" s="16">
        <f t="shared" si="236"/>
        <v>1.945450605180147E-11</v>
      </c>
      <c r="N1011" s="16">
        <f t="shared" si="237"/>
        <v>77102959900.701324</v>
      </c>
      <c r="O1011" s="16">
        <f t="shared" si="239"/>
        <v>47754517419.620918</v>
      </c>
      <c r="P1011" s="18">
        <f t="shared" si="238"/>
        <v>60534060589.624077</v>
      </c>
    </row>
    <row r="1012" spans="1:16" x14ac:dyDescent="0.4">
      <c r="A1012" s="14">
        <v>0.999</v>
      </c>
      <c r="B1012" s="44">
        <f t="shared" si="240"/>
        <v>6.276902121872407</v>
      </c>
      <c r="C1012" s="40">
        <f t="shared" si="226"/>
        <v>6.7981674693540445E-12</v>
      </c>
      <c r="D1012" s="15">
        <f t="shared" si="227"/>
        <v>147098465065.47141</v>
      </c>
      <c r="E1012" s="15">
        <f t="shared" si="228"/>
        <v>147095561467.70746</v>
      </c>
      <c r="F1012" s="29">
        <f t="shared" si="229"/>
        <v>-924240833.11907935</v>
      </c>
      <c r="G1012" s="17">
        <f t="shared" si="230"/>
        <v>26.061697610014235</v>
      </c>
      <c r="H1012" s="16">
        <f t="shared" si="231"/>
        <v>2.0250588552829232E-11</v>
      </c>
      <c r="I1012" s="16">
        <f t="shared" si="232"/>
        <v>49381280815.183464</v>
      </c>
      <c r="J1012" s="16">
        <f t="shared" si="233"/>
        <v>29563103342.65667</v>
      </c>
      <c r="K1012" s="18">
        <f t="shared" si="234"/>
        <v>39554188345.855469</v>
      </c>
      <c r="L1012" s="17">
        <f t="shared" si="235"/>
        <v>23.980035396778796</v>
      </c>
      <c r="M1012" s="16">
        <f t="shared" si="236"/>
        <v>1.9536267755080104E-11</v>
      </c>
      <c r="N1012" s="16">
        <f t="shared" si="237"/>
        <v>76780274451.856247</v>
      </c>
      <c r="O1012" s="16">
        <f t="shared" si="239"/>
        <v>45966065497.431244</v>
      </c>
      <c r="P1012" s="18">
        <f t="shared" si="238"/>
        <v>61500661521.549751</v>
      </c>
    </row>
    <row r="1013" spans="1:16" x14ac:dyDescent="0.4">
      <c r="A1013" s="19">
        <v>1</v>
      </c>
      <c r="B1013" s="45">
        <f t="shared" si="240"/>
        <v>6.2831853071795862</v>
      </c>
      <c r="C1013" s="41">
        <f t="shared" si="226"/>
        <v>6.7981696749761629E-12</v>
      </c>
      <c r="D1013" s="20">
        <f t="shared" si="227"/>
        <v>147098417340.32718</v>
      </c>
      <c r="E1013" s="20">
        <f t="shared" si="228"/>
        <v>147098417340.32718</v>
      </c>
      <c r="F1013" s="30">
        <f t="shared" si="229"/>
        <v>-3.6043479744801042E-5</v>
      </c>
      <c r="G1013" s="22">
        <f t="shared" si="230"/>
        <v>26.087785395409643</v>
      </c>
      <c r="H1013" s="21">
        <f t="shared" si="231"/>
        <v>2.0172363317582461E-11</v>
      </c>
      <c r="I1013" s="21">
        <f t="shared" si="232"/>
        <v>49572773613.907135</v>
      </c>
      <c r="J1013" s="21">
        <f t="shared" si="233"/>
        <v>28631880872.324402</v>
      </c>
      <c r="K1013" s="23">
        <f t="shared" si="234"/>
        <v>40468200867.949539</v>
      </c>
      <c r="L1013" s="22">
        <f t="shared" si="235"/>
        <v>24.00403943621501</v>
      </c>
      <c r="M1013" s="21">
        <f t="shared" si="236"/>
        <v>1.9617162084722535E-11</v>
      </c>
      <c r="N1013" s="21">
        <f t="shared" si="237"/>
        <v>76463659397.919281</v>
      </c>
      <c r="O1013" s="21">
        <f t="shared" si="239"/>
        <v>44163322472.015717</v>
      </c>
      <c r="P1013" s="23">
        <f t="shared" si="238"/>
        <v>62420286419.991386</v>
      </c>
    </row>
  </sheetData>
  <mergeCells count="7">
    <mergeCell ref="A1:P1"/>
    <mergeCell ref="G3:H3"/>
    <mergeCell ref="L11:P11"/>
    <mergeCell ref="C11:F11"/>
    <mergeCell ref="G4:H4"/>
    <mergeCell ref="G11:K11"/>
    <mergeCell ref="A3:E4"/>
  </mergeCells>
  <hyperlinks>
    <hyperlink ref="A5" r:id="rId1" xr:uid="{55AB74A3-1D3A-48FF-8B5E-418D1A943ECB}"/>
    <hyperlink ref="A5:D5" r:id="rId2" display=" https://ssd.jpl.nasa.gov/planets/approx_pos.html" xr:uid="{9FC7C459-D866-48F3-BAD1-9DDDAE89CE1D}"/>
  </hyperlinks>
  <pageMargins left="0.7" right="0.7" top="0.75" bottom="0.75" header="0.3" footer="0.3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  <vt:variant>
        <vt:lpstr>Rangos con nombre</vt:lpstr>
      </vt:variant>
      <vt:variant>
        <vt:i4>19</vt:i4>
      </vt:variant>
    </vt:vector>
  </HeadingPairs>
  <TitlesOfParts>
    <vt:vector size="21" baseType="lpstr">
      <vt:lpstr>Data</vt:lpstr>
      <vt:lpstr>Órbita</vt:lpstr>
      <vt:lpstr>excentricidadMercurio</vt:lpstr>
      <vt:lpstr>excentricidadTierra</vt:lpstr>
      <vt:lpstr>r0Mercurio</vt:lpstr>
      <vt:lpstr>r0Tierra</vt:lpstr>
      <vt:lpstr>relaciónOrbitas</vt:lpstr>
      <vt:lpstr>rMercurio</vt:lpstr>
      <vt:lpstr>rsSol</vt:lpstr>
      <vt:lpstr>rTierra</vt:lpstr>
      <vt:lpstr>semiejeMayorMercurio</vt:lpstr>
      <vt:lpstr>semiejeMayorTierra</vt:lpstr>
      <vt:lpstr>simulaciónÁngulo</vt:lpstr>
      <vt:lpstr>simulaciónRadio</vt:lpstr>
      <vt:lpstr>u0Mercurio</vt:lpstr>
      <vt:lpstr>u0Tierra</vt:lpstr>
      <vt:lpstr>uMercurio</vt:lpstr>
      <vt:lpstr>uTierra</vt:lpstr>
      <vt:lpstr>Φ</vt:lpstr>
      <vt:lpstr>ΦLPMercurio</vt:lpstr>
      <vt:lpstr>ΦMercurio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Urdiales</dc:creator>
  <cp:lastModifiedBy>Fernando Urdiales</cp:lastModifiedBy>
  <dcterms:created xsi:type="dcterms:W3CDTF">2026-08-28T15:06:51Z</dcterms:created>
  <dcterms:modified xsi:type="dcterms:W3CDTF">2026-08-30T15:30:46Z</dcterms:modified>
</cp:coreProperties>
</file>